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https://d.docs.live.net/2b8122ea2db4d19b/Apps/Project_Management_Pumpkinzzz/"/>
    </mc:Choice>
  </mc:AlternateContent>
  <xr:revisionPtr revIDLastSave="0" documentId="8_{1606172F-EC78-40C9-8A22-1F983BE41AF0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README" sheetId="1" r:id="rId1"/>
    <sheet name="Dashboard" sheetId="5" r:id="rId2"/>
    <sheet name="Project_Tracker" sheetId="4" r:id="rId3"/>
    <sheet name="Product_Registry" sheetId="3" r:id="rId4"/>
    <sheet name="BOM_Tracker" sheetId="6" r:id="rId5"/>
    <sheet name="Logic &amp; Lists" sheetId="2" r:id="rId6"/>
    <sheet name="Comments_Log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4" l="1"/>
  <c r="S4" i="3"/>
  <c r="R4" i="3"/>
  <c r="Q4" i="3"/>
  <c r="P4" i="3"/>
  <c r="O4" i="3"/>
  <c r="S3" i="3"/>
  <c r="R3" i="3"/>
  <c r="Q3" i="3"/>
  <c r="P3" i="3"/>
  <c r="O3" i="3"/>
  <c r="AL4" i="4"/>
  <c r="AM4" i="4" s="1"/>
  <c r="Z4" i="4"/>
  <c r="Y4" i="4"/>
  <c r="M4" i="4"/>
  <c r="J4" i="4"/>
  <c r="I4" i="4"/>
  <c r="AL3" i="4"/>
  <c r="AK3" i="4" s="1"/>
  <c r="O3" i="4"/>
  <c r="G3" i="4"/>
  <c r="H4" i="7"/>
  <c r="A4" i="7"/>
  <c r="E1705" i="6"/>
  <c r="E1704" i="6"/>
  <c r="E1703" i="6"/>
  <c r="E1702" i="6"/>
  <c r="E1701" i="6"/>
  <c r="E1700" i="6"/>
  <c r="E1699" i="6"/>
  <c r="E1698" i="6"/>
  <c r="E1697" i="6"/>
  <c r="E1696" i="6"/>
  <c r="E1695" i="6"/>
  <c r="E1694" i="6"/>
  <c r="E1693" i="6"/>
  <c r="E1692" i="6"/>
  <c r="E1691" i="6"/>
  <c r="E1690" i="6"/>
  <c r="E1689" i="6"/>
  <c r="E1688" i="6"/>
  <c r="E1687" i="6"/>
  <c r="E1686" i="6"/>
  <c r="E1685" i="6"/>
  <c r="E1684" i="6"/>
  <c r="E1683" i="6"/>
  <c r="E1682" i="6"/>
  <c r="E1681" i="6"/>
  <c r="E1680" i="6"/>
  <c r="E1679" i="6"/>
  <c r="E1678" i="6"/>
  <c r="E1677" i="6"/>
  <c r="E1676" i="6"/>
  <c r="E1675" i="6"/>
  <c r="E1674" i="6"/>
  <c r="E1673" i="6"/>
  <c r="E1672" i="6"/>
  <c r="E1671" i="6"/>
  <c r="E1670" i="6"/>
  <c r="E1669" i="6"/>
  <c r="E1668" i="6"/>
  <c r="E1667" i="6"/>
  <c r="E1666" i="6"/>
  <c r="E1665" i="6"/>
  <c r="E1664" i="6"/>
  <c r="E1663" i="6"/>
  <c r="E1662" i="6"/>
  <c r="E1661" i="6"/>
  <c r="E1660" i="6"/>
  <c r="E1659" i="6"/>
  <c r="E1658" i="6"/>
  <c r="E1657" i="6"/>
  <c r="E1656" i="6"/>
  <c r="E1655" i="6"/>
  <c r="E1654" i="6"/>
  <c r="E1653" i="6"/>
  <c r="E1652" i="6"/>
  <c r="E1651" i="6"/>
  <c r="E1650" i="6"/>
  <c r="E1649" i="6"/>
  <c r="E1648" i="6"/>
  <c r="E1647" i="6"/>
  <c r="E1646" i="6"/>
  <c r="E1645" i="6"/>
  <c r="E1644" i="6"/>
  <c r="E1643" i="6"/>
  <c r="E1642" i="6"/>
  <c r="E1641" i="6"/>
  <c r="E1640" i="6"/>
  <c r="E1639" i="6"/>
  <c r="E1638" i="6"/>
  <c r="E1637" i="6"/>
  <c r="E1636" i="6"/>
  <c r="E1635" i="6"/>
  <c r="E1634" i="6"/>
  <c r="E1633" i="6"/>
  <c r="E1632" i="6"/>
  <c r="E1631" i="6"/>
  <c r="E1630" i="6"/>
  <c r="E1629" i="6"/>
  <c r="E1628" i="6"/>
  <c r="E1627" i="6"/>
  <c r="E1626" i="6"/>
  <c r="E1625" i="6"/>
  <c r="E1624" i="6"/>
  <c r="E1623" i="6"/>
  <c r="E1622" i="6"/>
  <c r="E1621" i="6"/>
  <c r="E1620" i="6"/>
  <c r="E1619" i="6"/>
  <c r="E1618" i="6"/>
  <c r="E1617" i="6"/>
  <c r="E1616" i="6"/>
  <c r="E1615" i="6"/>
  <c r="E1614" i="6"/>
  <c r="E1613" i="6"/>
  <c r="E1612" i="6"/>
  <c r="E1611" i="6"/>
  <c r="E1610" i="6"/>
  <c r="E1609" i="6"/>
  <c r="E1608" i="6"/>
  <c r="E1607" i="6"/>
  <c r="E1606" i="6"/>
  <c r="E1605" i="6"/>
  <c r="E1604" i="6"/>
  <c r="E1603" i="6"/>
  <c r="E1602" i="6"/>
  <c r="E1601" i="6"/>
  <c r="E1600" i="6"/>
  <c r="E1599" i="6"/>
  <c r="E1598" i="6"/>
  <c r="E1597" i="6"/>
  <c r="E1596" i="6"/>
  <c r="E1595" i="6"/>
  <c r="E1594" i="6"/>
  <c r="E1593" i="6"/>
  <c r="E1592" i="6"/>
  <c r="E1591" i="6"/>
  <c r="E1590" i="6"/>
  <c r="E1589" i="6"/>
  <c r="E1588" i="6"/>
  <c r="E1587" i="6"/>
  <c r="E1586" i="6"/>
  <c r="E1585" i="6"/>
  <c r="E1584" i="6"/>
  <c r="E1583" i="6"/>
  <c r="E1582" i="6"/>
  <c r="E1581" i="6"/>
  <c r="E1580" i="6"/>
  <c r="E1579" i="6"/>
  <c r="E1578" i="6"/>
  <c r="E1577" i="6"/>
  <c r="E1576" i="6"/>
  <c r="E1575" i="6"/>
  <c r="E1574" i="6"/>
  <c r="E1573" i="6"/>
  <c r="E1572" i="6"/>
  <c r="E1571" i="6"/>
  <c r="E1570" i="6"/>
  <c r="E1569" i="6"/>
  <c r="E1568" i="6"/>
  <c r="E1567" i="6"/>
  <c r="E1566" i="6"/>
  <c r="E1565" i="6"/>
  <c r="E1564" i="6"/>
  <c r="E1563" i="6"/>
  <c r="E1562" i="6"/>
  <c r="E1561" i="6"/>
  <c r="E1560" i="6"/>
  <c r="E1559" i="6"/>
  <c r="E1558" i="6"/>
  <c r="E1557" i="6"/>
  <c r="E1556" i="6"/>
  <c r="E1555" i="6"/>
  <c r="E1554" i="6"/>
  <c r="E1553" i="6"/>
  <c r="E1552" i="6"/>
  <c r="E1551" i="6"/>
  <c r="E1550" i="6"/>
  <c r="E1549" i="6"/>
  <c r="E1548" i="6"/>
  <c r="E1547" i="6"/>
  <c r="E1546" i="6"/>
  <c r="E1545" i="6"/>
  <c r="E1544" i="6"/>
  <c r="E1543" i="6"/>
  <c r="E1542" i="6"/>
  <c r="E1541" i="6"/>
  <c r="E1540" i="6"/>
  <c r="E1539" i="6"/>
  <c r="E1538" i="6"/>
  <c r="E1537" i="6"/>
  <c r="E1536" i="6"/>
  <c r="E1535" i="6"/>
  <c r="E1534" i="6"/>
  <c r="E1533" i="6"/>
  <c r="E1532" i="6"/>
  <c r="E1531" i="6"/>
  <c r="E1530" i="6"/>
  <c r="E1529" i="6"/>
  <c r="E1528" i="6"/>
  <c r="E1527" i="6"/>
  <c r="E1526" i="6"/>
  <c r="E1525" i="6"/>
  <c r="E1524" i="6"/>
  <c r="E1523" i="6"/>
  <c r="E1522" i="6"/>
  <c r="E1521" i="6"/>
  <c r="E1520" i="6"/>
  <c r="E1519" i="6"/>
  <c r="E1518" i="6"/>
  <c r="E1517" i="6"/>
  <c r="E1516" i="6"/>
  <c r="E1515" i="6"/>
  <c r="E1514" i="6"/>
  <c r="E1513" i="6"/>
  <c r="E1512" i="6"/>
  <c r="E1511" i="6"/>
  <c r="E1510" i="6"/>
  <c r="E1509" i="6"/>
  <c r="E1508" i="6"/>
  <c r="E1507" i="6"/>
  <c r="E1506" i="6"/>
  <c r="E1505" i="6"/>
  <c r="E1504" i="6"/>
  <c r="E1503" i="6"/>
  <c r="E1502" i="6"/>
  <c r="E1501" i="6"/>
  <c r="E1500" i="6"/>
  <c r="E1499" i="6"/>
  <c r="E1498" i="6"/>
  <c r="E1497" i="6"/>
  <c r="E1496" i="6"/>
  <c r="E1495" i="6"/>
  <c r="E1494" i="6"/>
  <c r="E1493" i="6"/>
  <c r="E1492" i="6"/>
  <c r="E1491" i="6"/>
  <c r="E1490" i="6"/>
  <c r="E1489" i="6"/>
  <c r="E1488" i="6"/>
  <c r="E1487" i="6"/>
  <c r="E1486" i="6"/>
  <c r="E1485" i="6"/>
  <c r="E1484" i="6"/>
  <c r="E1483" i="6"/>
  <c r="E1482" i="6"/>
  <c r="E1481" i="6"/>
  <c r="E1480" i="6"/>
  <c r="E1479" i="6"/>
  <c r="E1478" i="6"/>
  <c r="E1477" i="6"/>
  <c r="E1476" i="6"/>
  <c r="E1475" i="6"/>
  <c r="E1474" i="6"/>
  <c r="E1473" i="6"/>
  <c r="E1472" i="6"/>
  <c r="E1471" i="6"/>
  <c r="E1470" i="6"/>
  <c r="E1469" i="6"/>
  <c r="E1468" i="6"/>
  <c r="E1467" i="6"/>
  <c r="E1466" i="6"/>
  <c r="E1465" i="6"/>
  <c r="E1464" i="6"/>
  <c r="E1463" i="6"/>
  <c r="E1462" i="6"/>
  <c r="E1461" i="6"/>
  <c r="E1460" i="6"/>
  <c r="E1459" i="6"/>
  <c r="E1458" i="6"/>
  <c r="E1457" i="6"/>
  <c r="E1456" i="6"/>
  <c r="E1455" i="6"/>
  <c r="E1454" i="6"/>
  <c r="E1453" i="6"/>
  <c r="E1452" i="6"/>
  <c r="E1451" i="6"/>
  <c r="E1450" i="6"/>
  <c r="E1449" i="6"/>
  <c r="E1448" i="6"/>
  <c r="E1447" i="6"/>
  <c r="E1446" i="6"/>
  <c r="E1445" i="6"/>
  <c r="E1444" i="6"/>
  <c r="E1443" i="6"/>
  <c r="E1442" i="6"/>
  <c r="E1441" i="6"/>
  <c r="E1440" i="6"/>
  <c r="E1439" i="6"/>
  <c r="E1438" i="6"/>
  <c r="E1437" i="6"/>
  <c r="E1436" i="6"/>
  <c r="E1435" i="6"/>
  <c r="E1434" i="6"/>
  <c r="E1433" i="6"/>
  <c r="E1432" i="6"/>
  <c r="E1431" i="6"/>
  <c r="E1430" i="6"/>
  <c r="E1429" i="6"/>
  <c r="E1428" i="6"/>
  <c r="E1427" i="6"/>
  <c r="E1426" i="6"/>
  <c r="E1425" i="6"/>
  <c r="E1424" i="6"/>
  <c r="E1423" i="6"/>
  <c r="E1422" i="6"/>
  <c r="E1421" i="6"/>
  <c r="E1420" i="6"/>
  <c r="E1419" i="6"/>
  <c r="E1418" i="6"/>
  <c r="E1417" i="6"/>
  <c r="E1416" i="6"/>
  <c r="E1415" i="6"/>
  <c r="E1414" i="6"/>
  <c r="E1413" i="6"/>
  <c r="E1412" i="6"/>
  <c r="E1411" i="6"/>
  <c r="E1410" i="6"/>
  <c r="E1409" i="6"/>
  <c r="E1408" i="6"/>
  <c r="E1407" i="6"/>
  <c r="E1406" i="6"/>
  <c r="E1405" i="6"/>
  <c r="E1404" i="6"/>
  <c r="E1403" i="6"/>
  <c r="E1402" i="6"/>
  <c r="E1401" i="6"/>
  <c r="E1400" i="6"/>
  <c r="E1399" i="6"/>
  <c r="E1398" i="6"/>
  <c r="E1397" i="6"/>
  <c r="E1396" i="6"/>
  <c r="E1395" i="6"/>
  <c r="E1394" i="6"/>
  <c r="E1393" i="6"/>
  <c r="E1392" i="6"/>
  <c r="E1391" i="6"/>
  <c r="E1390" i="6"/>
  <c r="E1389" i="6"/>
  <c r="E1388" i="6"/>
  <c r="E1387" i="6"/>
  <c r="E1386" i="6"/>
  <c r="E1385" i="6"/>
  <c r="E1384" i="6"/>
  <c r="E1383" i="6"/>
  <c r="E1382" i="6"/>
  <c r="E1381" i="6"/>
  <c r="E1380" i="6"/>
  <c r="E1379" i="6"/>
  <c r="E1378" i="6"/>
  <c r="E1377" i="6"/>
  <c r="E1376" i="6"/>
  <c r="E1375" i="6"/>
  <c r="E1374" i="6"/>
  <c r="E1373" i="6"/>
  <c r="E1372" i="6"/>
  <c r="E1371" i="6"/>
  <c r="E1370" i="6"/>
  <c r="E1369" i="6"/>
  <c r="E1368" i="6"/>
  <c r="E1367" i="6"/>
  <c r="E1366" i="6"/>
  <c r="E1365" i="6"/>
  <c r="E1364" i="6"/>
  <c r="E1363" i="6"/>
  <c r="E1362" i="6"/>
  <c r="E1361" i="6"/>
  <c r="E1360" i="6"/>
  <c r="E1359" i="6"/>
  <c r="E1358" i="6"/>
  <c r="E1357" i="6"/>
  <c r="E1356" i="6"/>
  <c r="E1355" i="6"/>
  <c r="E1354" i="6"/>
  <c r="E1353" i="6"/>
  <c r="E1352" i="6"/>
  <c r="E1351" i="6"/>
  <c r="E1350" i="6"/>
  <c r="E1349" i="6"/>
  <c r="E1348" i="6"/>
  <c r="E1347" i="6"/>
  <c r="E1346" i="6"/>
  <c r="E1345" i="6"/>
  <c r="E1344" i="6"/>
  <c r="E1343" i="6"/>
  <c r="E1342" i="6"/>
  <c r="E1341" i="6"/>
  <c r="E1340" i="6"/>
  <c r="E1339" i="6"/>
  <c r="E1338" i="6"/>
  <c r="E1337" i="6"/>
  <c r="E1336" i="6"/>
  <c r="E1335" i="6"/>
  <c r="E1334" i="6"/>
  <c r="E1333" i="6"/>
  <c r="E1332" i="6"/>
  <c r="E1331" i="6"/>
  <c r="E1330" i="6"/>
  <c r="E1329" i="6"/>
  <c r="E1328" i="6"/>
  <c r="E1327" i="6"/>
  <c r="E1326" i="6"/>
  <c r="E1325" i="6"/>
  <c r="E1324" i="6"/>
  <c r="E1323" i="6"/>
  <c r="E1322" i="6"/>
  <c r="E1321" i="6"/>
  <c r="E1320" i="6"/>
  <c r="E1319" i="6"/>
  <c r="E1318" i="6"/>
  <c r="E1317" i="6"/>
  <c r="E1316" i="6"/>
  <c r="E1315" i="6"/>
  <c r="E1314" i="6"/>
  <c r="E1313" i="6"/>
  <c r="E1312" i="6"/>
  <c r="E1311" i="6"/>
  <c r="E1310" i="6"/>
  <c r="E1309" i="6"/>
  <c r="E1308" i="6"/>
  <c r="E1307" i="6"/>
  <c r="E1306" i="6"/>
  <c r="E1305" i="6"/>
  <c r="E1304" i="6"/>
  <c r="E1303" i="6"/>
  <c r="E1302" i="6"/>
  <c r="E1301" i="6"/>
  <c r="E1300" i="6"/>
  <c r="E1299" i="6"/>
  <c r="E1298" i="6"/>
  <c r="E1297" i="6"/>
  <c r="E1296" i="6"/>
  <c r="E1295" i="6"/>
  <c r="E1294" i="6"/>
  <c r="E1293" i="6"/>
  <c r="E1292" i="6"/>
  <c r="E1291" i="6"/>
  <c r="E1290" i="6"/>
  <c r="E1289" i="6"/>
  <c r="E1288" i="6"/>
  <c r="E1287" i="6"/>
  <c r="E1286" i="6"/>
  <c r="E1285" i="6"/>
  <c r="E1284" i="6"/>
  <c r="E1283" i="6"/>
  <c r="E1282" i="6"/>
  <c r="E1281" i="6"/>
  <c r="E1280" i="6"/>
  <c r="E1279" i="6"/>
  <c r="E1278" i="6"/>
  <c r="E1277" i="6"/>
  <c r="E1276" i="6"/>
  <c r="E1275" i="6"/>
  <c r="E1274" i="6"/>
  <c r="E1273" i="6"/>
  <c r="E1272" i="6"/>
  <c r="E1271" i="6"/>
  <c r="E1270" i="6"/>
  <c r="E1269" i="6"/>
  <c r="E1268" i="6"/>
  <c r="E1267" i="6"/>
  <c r="E1266" i="6"/>
  <c r="E1265" i="6"/>
  <c r="E1264" i="6"/>
  <c r="E1263" i="6"/>
  <c r="E1262" i="6"/>
  <c r="E1261" i="6"/>
  <c r="E1260" i="6"/>
  <c r="E1259" i="6"/>
  <c r="E1258" i="6"/>
  <c r="E1257" i="6"/>
  <c r="E1256" i="6"/>
  <c r="E1255" i="6"/>
  <c r="E1254" i="6"/>
  <c r="E1253" i="6"/>
  <c r="E1252" i="6"/>
  <c r="E1251" i="6"/>
  <c r="E1250" i="6"/>
  <c r="E1249" i="6"/>
  <c r="E1248" i="6"/>
  <c r="E1247" i="6"/>
  <c r="E1246" i="6"/>
  <c r="E1245" i="6"/>
  <c r="E1244" i="6"/>
  <c r="E1243" i="6"/>
  <c r="E1242" i="6"/>
  <c r="E1241" i="6"/>
  <c r="E1240" i="6"/>
  <c r="E1239" i="6"/>
  <c r="E1238" i="6"/>
  <c r="E1237" i="6"/>
  <c r="E1236" i="6"/>
  <c r="E1235" i="6"/>
  <c r="E1234" i="6"/>
  <c r="E1233" i="6"/>
  <c r="E1232" i="6"/>
  <c r="E1231" i="6"/>
  <c r="E1230" i="6"/>
  <c r="E1229" i="6"/>
  <c r="E1228" i="6"/>
  <c r="E1227" i="6"/>
  <c r="E1226" i="6"/>
  <c r="E1225" i="6"/>
  <c r="E1224" i="6"/>
  <c r="E1223" i="6"/>
  <c r="E1222" i="6"/>
  <c r="E1221" i="6"/>
  <c r="E1220" i="6"/>
  <c r="E1219" i="6"/>
  <c r="E1218" i="6"/>
  <c r="E1217" i="6"/>
  <c r="E1216" i="6"/>
  <c r="E1215" i="6"/>
  <c r="E1214" i="6"/>
  <c r="E1213" i="6"/>
  <c r="E1212" i="6"/>
  <c r="E1211" i="6"/>
  <c r="E1210" i="6"/>
  <c r="E1209" i="6"/>
  <c r="E1208" i="6"/>
  <c r="E1207" i="6"/>
  <c r="E1206" i="6"/>
  <c r="E1205" i="6"/>
  <c r="E1204" i="6"/>
  <c r="E1203" i="6"/>
  <c r="E1202" i="6"/>
  <c r="E1201" i="6"/>
  <c r="E1200" i="6"/>
  <c r="E1199" i="6"/>
  <c r="E1198" i="6"/>
  <c r="E1197" i="6"/>
  <c r="E1196" i="6"/>
  <c r="E1195" i="6"/>
  <c r="E1194" i="6"/>
  <c r="E1193" i="6"/>
  <c r="E1192" i="6"/>
  <c r="E1191" i="6"/>
  <c r="E1190" i="6"/>
  <c r="E1189" i="6"/>
  <c r="E1188" i="6"/>
  <c r="E1187" i="6"/>
  <c r="E1186" i="6"/>
  <c r="E1185" i="6"/>
  <c r="E1184" i="6"/>
  <c r="E1183" i="6"/>
  <c r="E1182" i="6"/>
  <c r="E1181" i="6"/>
  <c r="E1180" i="6"/>
  <c r="E1179" i="6"/>
  <c r="E1178" i="6"/>
  <c r="E1177" i="6"/>
  <c r="E1176" i="6"/>
  <c r="E1175" i="6"/>
  <c r="E1174" i="6"/>
  <c r="E1173" i="6"/>
  <c r="E1172" i="6"/>
  <c r="E1171" i="6"/>
  <c r="E1170" i="6"/>
  <c r="E1169" i="6"/>
  <c r="E1168" i="6"/>
  <c r="E1167" i="6"/>
  <c r="E1166" i="6"/>
  <c r="E1165" i="6"/>
  <c r="E1164" i="6"/>
  <c r="E1163" i="6"/>
  <c r="E1162" i="6"/>
  <c r="E1161" i="6"/>
  <c r="E1160" i="6"/>
  <c r="E1159" i="6"/>
  <c r="E1158" i="6"/>
  <c r="E1157" i="6"/>
  <c r="E1156" i="6"/>
  <c r="E1155" i="6"/>
  <c r="E1154" i="6"/>
  <c r="E1153" i="6"/>
  <c r="E1152" i="6"/>
  <c r="E1151" i="6"/>
  <c r="E1150" i="6"/>
  <c r="E1149" i="6"/>
  <c r="E1148" i="6"/>
  <c r="E1147" i="6"/>
  <c r="E1146" i="6"/>
  <c r="E1145" i="6"/>
  <c r="E1144" i="6"/>
  <c r="E1143" i="6"/>
  <c r="E1142" i="6"/>
  <c r="E1141" i="6"/>
  <c r="E1140" i="6"/>
  <c r="E1139" i="6"/>
  <c r="E1138" i="6"/>
  <c r="E1137" i="6"/>
  <c r="E1136" i="6"/>
  <c r="E1135" i="6"/>
  <c r="E1134" i="6"/>
  <c r="E1133" i="6"/>
  <c r="E1132" i="6"/>
  <c r="E1131" i="6"/>
  <c r="E1130" i="6"/>
  <c r="E1129" i="6"/>
  <c r="E1128" i="6"/>
  <c r="E1127" i="6"/>
  <c r="E1126" i="6"/>
  <c r="E1125" i="6"/>
  <c r="E1124" i="6"/>
  <c r="E1123" i="6"/>
  <c r="E1122" i="6"/>
  <c r="E1121" i="6"/>
  <c r="E1120" i="6"/>
  <c r="E1119" i="6"/>
  <c r="E1118" i="6"/>
  <c r="E1117" i="6"/>
  <c r="E1116" i="6"/>
  <c r="E1115" i="6"/>
  <c r="E1114" i="6"/>
  <c r="E1113" i="6"/>
  <c r="E1112" i="6"/>
  <c r="E1111" i="6"/>
  <c r="E1110" i="6"/>
  <c r="E1109" i="6"/>
  <c r="E1108" i="6"/>
  <c r="E1107" i="6"/>
  <c r="E1106" i="6"/>
  <c r="E1105" i="6"/>
  <c r="E1104" i="6"/>
  <c r="E1103" i="6"/>
  <c r="E1102" i="6"/>
  <c r="E1101" i="6"/>
  <c r="E1100" i="6"/>
  <c r="E1099" i="6"/>
  <c r="E1098" i="6"/>
  <c r="E1097" i="6"/>
  <c r="E1096" i="6"/>
  <c r="E1095" i="6"/>
  <c r="E1094" i="6"/>
  <c r="E1093" i="6"/>
  <c r="E1092" i="6"/>
  <c r="E1091" i="6"/>
  <c r="E1090" i="6"/>
  <c r="E1089" i="6"/>
  <c r="E1088" i="6"/>
  <c r="E1087" i="6"/>
  <c r="E1086" i="6"/>
  <c r="E1085" i="6"/>
  <c r="E1084" i="6"/>
  <c r="E1083" i="6"/>
  <c r="E1082" i="6"/>
  <c r="E1081" i="6"/>
  <c r="E1080" i="6"/>
  <c r="E1079" i="6"/>
  <c r="E1078" i="6"/>
  <c r="E1077" i="6"/>
  <c r="E1076" i="6"/>
  <c r="E1075" i="6"/>
  <c r="E1074" i="6"/>
  <c r="E1073" i="6"/>
  <c r="E1072" i="6"/>
  <c r="E1071" i="6"/>
  <c r="E1070" i="6"/>
  <c r="E1069" i="6"/>
  <c r="E1068" i="6"/>
  <c r="E1067" i="6"/>
  <c r="E1066" i="6"/>
  <c r="E1065" i="6"/>
  <c r="E1064" i="6"/>
  <c r="E1063" i="6"/>
  <c r="E1062" i="6"/>
  <c r="E1061" i="6"/>
  <c r="E1060" i="6"/>
  <c r="E1059" i="6"/>
  <c r="E1058" i="6"/>
  <c r="E1057" i="6"/>
  <c r="E1056" i="6"/>
  <c r="E1055" i="6"/>
  <c r="E1054" i="6"/>
  <c r="E1053" i="6"/>
  <c r="E1052" i="6"/>
  <c r="E1051" i="6"/>
  <c r="E1050" i="6"/>
  <c r="E1049" i="6"/>
  <c r="E1048" i="6"/>
  <c r="E1047" i="6"/>
  <c r="E1046" i="6"/>
  <c r="E1045" i="6"/>
  <c r="E1044" i="6"/>
  <c r="E1043" i="6"/>
  <c r="E1042" i="6"/>
  <c r="E1041" i="6"/>
  <c r="E1040" i="6"/>
  <c r="E1039" i="6"/>
  <c r="E1038" i="6"/>
  <c r="E1037" i="6"/>
  <c r="E1036" i="6"/>
  <c r="E1035" i="6"/>
  <c r="E1034" i="6"/>
  <c r="E1033" i="6"/>
  <c r="E1032" i="6"/>
  <c r="E1031" i="6"/>
  <c r="E1030" i="6"/>
  <c r="E1029" i="6"/>
  <c r="E1028" i="6"/>
  <c r="E1027" i="6"/>
  <c r="E1026" i="6"/>
  <c r="E1025" i="6"/>
  <c r="E1024" i="6"/>
  <c r="E1023" i="6"/>
  <c r="E1022" i="6"/>
  <c r="E1021" i="6"/>
  <c r="E1020" i="6"/>
  <c r="E1019" i="6"/>
  <c r="E1018" i="6"/>
  <c r="E1017" i="6"/>
  <c r="E1016" i="6"/>
  <c r="E1015" i="6"/>
  <c r="E1014" i="6"/>
  <c r="E1013" i="6"/>
  <c r="E1012" i="6"/>
  <c r="E1011" i="6"/>
  <c r="E1010" i="6"/>
  <c r="E1009" i="6"/>
  <c r="E1008" i="6"/>
  <c r="E1007" i="6"/>
  <c r="E1006" i="6"/>
  <c r="E1005" i="6"/>
  <c r="E1004" i="6"/>
  <c r="E1003" i="6"/>
  <c r="E1002" i="6"/>
  <c r="E1001" i="6"/>
  <c r="E1000" i="6"/>
  <c r="E999" i="6"/>
  <c r="E998" i="6"/>
  <c r="E997" i="6"/>
  <c r="E996" i="6"/>
  <c r="E995" i="6"/>
  <c r="E994" i="6"/>
  <c r="E993" i="6"/>
  <c r="E992" i="6"/>
  <c r="E991" i="6"/>
  <c r="E990" i="6"/>
  <c r="E989" i="6"/>
  <c r="E988" i="6"/>
  <c r="E987" i="6"/>
  <c r="E986" i="6"/>
  <c r="E985" i="6"/>
  <c r="E984" i="6"/>
  <c r="E983" i="6"/>
  <c r="E982" i="6"/>
  <c r="E981" i="6"/>
  <c r="E980" i="6"/>
  <c r="E979" i="6"/>
  <c r="E978" i="6"/>
  <c r="E977" i="6"/>
  <c r="E976" i="6"/>
  <c r="E975" i="6"/>
  <c r="E974" i="6"/>
  <c r="E973" i="6"/>
  <c r="E972" i="6"/>
  <c r="E971" i="6"/>
  <c r="E970" i="6"/>
  <c r="E969" i="6"/>
  <c r="E968" i="6"/>
  <c r="E967" i="6"/>
  <c r="E966" i="6"/>
  <c r="E965" i="6"/>
  <c r="E964" i="6"/>
  <c r="E963" i="6"/>
  <c r="E962" i="6"/>
  <c r="E961" i="6"/>
  <c r="E960" i="6"/>
  <c r="E959" i="6"/>
  <c r="E958" i="6"/>
  <c r="E957" i="6"/>
  <c r="E956" i="6"/>
  <c r="E955" i="6"/>
  <c r="E954" i="6"/>
  <c r="E953" i="6"/>
  <c r="E952" i="6"/>
  <c r="E951" i="6"/>
  <c r="E950" i="6"/>
  <c r="E949" i="6"/>
  <c r="E948" i="6"/>
  <c r="E947" i="6"/>
  <c r="E946" i="6"/>
  <c r="E945" i="6"/>
  <c r="E944" i="6"/>
  <c r="E943" i="6"/>
  <c r="E942" i="6"/>
  <c r="E941" i="6"/>
  <c r="E940" i="6"/>
  <c r="E939" i="6"/>
  <c r="E938" i="6"/>
  <c r="E937" i="6"/>
  <c r="E936" i="6"/>
  <c r="E935" i="6"/>
  <c r="E934" i="6"/>
  <c r="E933" i="6"/>
  <c r="E932" i="6"/>
  <c r="E931" i="6"/>
  <c r="E930" i="6"/>
  <c r="E929" i="6"/>
  <c r="E928" i="6"/>
  <c r="E927" i="6"/>
  <c r="E926" i="6"/>
  <c r="E925" i="6"/>
  <c r="E924" i="6"/>
  <c r="E923" i="6"/>
  <c r="E922" i="6"/>
  <c r="E921" i="6"/>
  <c r="E920" i="6"/>
  <c r="E919" i="6"/>
  <c r="E918" i="6"/>
  <c r="E917" i="6"/>
  <c r="E916" i="6"/>
  <c r="E915" i="6"/>
  <c r="E914" i="6"/>
  <c r="E913" i="6"/>
  <c r="E912" i="6"/>
  <c r="E911" i="6"/>
  <c r="E910" i="6"/>
  <c r="E909" i="6"/>
  <c r="E908" i="6"/>
  <c r="E907" i="6"/>
  <c r="E906" i="6"/>
  <c r="E905" i="6"/>
  <c r="E904" i="6"/>
  <c r="E903" i="6"/>
  <c r="E902" i="6"/>
  <c r="E901" i="6"/>
  <c r="E900" i="6"/>
  <c r="E899" i="6"/>
  <c r="E898" i="6"/>
  <c r="E897" i="6"/>
  <c r="E896" i="6"/>
  <c r="E895" i="6"/>
  <c r="E894" i="6"/>
  <c r="E893" i="6"/>
  <c r="E892" i="6"/>
  <c r="E891" i="6"/>
  <c r="E890" i="6"/>
  <c r="E889" i="6"/>
  <c r="E888" i="6"/>
  <c r="E887" i="6"/>
  <c r="E886" i="6"/>
  <c r="E885" i="6"/>
  <c r="E884" i="6"/>
  <c r="E883" i="6"/>
  <c r="E882" i="6"/>
  <c r="E881" i="6"/>
  <c r="E880" i="6"/>
  <c r="E879" i="6"/>
  <c r="E878" i="6"/>
  <c r="E877" i="6"/>
  <c r="E876" i="6"/>
  <c r="E875" i="6"/>
  <c r="E874" i="6"/>
  <c r="E873" i="6"/>
  <c r="E872" i="6"/>
  <c r="E871" i="6"/>
  <c r="E870" i="6"/>
  <c r="E869" i="6"/>
  <c r="E868" i="6"/>
  <c r="E867" i="6"/>
  <c r="E866" i="6"/>
  <c r="E865" i="6"/>
  <c r="E864" i="6"/>
  <c r="E863" i="6"/>
  <c r="E862" i="6"/>
  <c r="E861" i="6"/>
  <c r="E860" i="6"/>
  <c r="E859" i="6"/>
  <c r="E858" i="6"/>
  <c r="E857" i="6"/>
  <c r="E856" i="6"/>
  <c r="E855" i="6"/>
  <c r="E854" i="6"/>
  <c r="E853" i="6"/>
  <c r="E852" i="6"/>
  <c r="E851" i="6"/>
  <c r="E850" i="6"/>
  <c r="E849" i="6"/>
  <c r="E848" i="6"/>
  <c r="E847" i="6"/>
  <c r="E846" i="6"/>
  <c r="E845" i="6"/>
  <c r="E844" i="6"/>
  <c r="E843" i="6"/>
  <c r="E842" i="6"/>
  <c r="E841" i="6"/>
  <c r="E840" i="6"/>
  <c r="E839" i="6"/>
  <c r="E838" i="6"/>
  <c r="E837" i="6"/>
  <c r="E836" i="6"/>
  <c r="E835" i="6"/>
  <c r="E834" i="6"/>
  <c r="E833" i="6"/>
  <c r="E832" i="6"/>
  <c r="E831" i="6"/>
  <c r="E830" i="6"/>
  <c r="E829" i="6"/>
  <c r="E828" i="6"/>
  <c r="E827" i="6"/>
  <c r="E826" i="6"/>
  <c r="E825" i="6"/>
  <c r="E824" i="6"/>
  <c r="E823" i="6"/>
  <c r="E822" i="6"/>
  <c r="E821" i="6"/>
  <c r="E820" i="6"/>
  <c r="E819" i="6"/>
  <c r="E818" i="6"/>
  <c r="E817" i="6"/>
  <c r="E816" i="6"/>
  <c r="E815" i="6"/>
  <c r="E814" i="6"/>
  <c r="E813" i="6"/>
  <c r="E812" i="6"/>
  <c r="E811" i="6"/>
  <c r="E810" i="6"/>
  <c r="E809" i="6"/>
  <c r="E808" i="6"/>
  <c r="E807" i="6"/>
  <c r="E806" i="6"/>
  <c r="E805" i="6"/>
  <c r="E804" i="6"/>
  <c r="E803" i="6"/>
  <c r="E802" i="6"/>
  <c r="E801" i="6"/>
  <c r="E800" i="6"/>
  <c r="E799" i="6"/>
  <c r="E798" i="6"/>
  <c r="E797" i="6"/>
  <c r="E796" i="6"/>
  <c r="E795" i="6"/>
  <c r="E794" i="6"/>
  <c r="E793" i="6"/>
  <c r="E792" i="6"/>
  <c r="E791" i="6"/>
  <c r="E790" i="6"/>
  <c r="E789" i="6"/>
  <c r="E788" i="6"/>
  <c r="E787" i="6"/>
  <c r="E786" i="6"/>
  <c r="E785" i="6"/>
  <c r="E784" i="6"/>
  <c r="E783" i="6"/>
  <c r="E782" i="6"/>
  <c r="E781" i="6"/>
  <c r="E780" i="6"/>
  <c r="E779" i="6"/>
  <c r="E778" i="6"/>
  <c r="E777" i="6"/>
  <c r="E776" i="6"/>
  <c r="E775" i="6"/>
  <c r="E774" i="6"/>
  <c r="E773" i="6"/>
  <c r="E772" i="6"/>
  <c r="E771" i="6"/>
  <c r="E770" i="6"/>
  <c r="E769" i="6"/>
  <c r="E768" i="6"/>
  <c r="E767" i="6"/>
  <c r="E766" i="6"/>
  <c r="E765" i="6"/>
  <c r="E764" i="6"/>
  <c r="E763" i="6"/>
  <c r="E762" i="6"/>
  <c r="E761" i="6"/>
  <c r="E760" i="6"/>
  <c r="E759" i="6"/>
  <c r="E758" i="6"/>
  <c r="E757" i="6"/>
  <c r="E756" i="6"/>
  <c r="E755" i="6"/>
  <c r="E754" i="6"/>
  <c r="E753" i="6"/>
  <c r="E752" i="6"/>
  <c r="E751" i="6"/>
  <c r="E750" i="6"/>
  <c r="E749" i="6"/>
  <c r="E748" i="6"/>
  <c r="E747" i="6"/>
  <c r="E746" i="6"/>
  <c r="E745" i="6"/>
  <c r="E744" i="6"/>
  <c r="E743" i="6"/>
  <c r="E742" i="6"/>
  <c r="E741" i="6"/>
  <c r="E740" i="6"/>
  <c r="E739" i="6"/>
  <c r="E738" i="6"/>
  <c r="E737" i="6"/>
  <c r="E736" i="6"/>
  <c r="E735" i="6"/>
  <c r="E734" i="6"/>
  <c r="E733" i="6"/>
  <c r="E732" i="6"/>
  <c r="E731" i="6"/>
  <c r="E730" i="6"/>
  <c r="E729" i="6"/>
  <c r="E728" i="6"/>
  <c r="E727" i="6"/>
  <c r="E726" i="6"/>
  <c r="E725" i="6"/>
  <c r="E724" i="6"/>
  <c r="E723" i="6"/>
  <c r="E722" i="6"/>
  <c r="E721" i="6"/>
  <c r="E720" i="6"/>
  <c r="E719" i="6"/>
  <c r="E718" i="6"/>
  <c r="E717" i="6"/>
  <c r="E716" i="6"/>
  <c r="E715" i="6"/>
  <c r="E714" i="6"/>
  <c r="E713" i="6"/>
  <c r="E712" i="6"/>
  <c r="E711" i="6"/>
  <c r="E710" i="6"/>
  <c r="E709" i="6"/>
  <c r="E708" i="6"/>
  <c r="E707" i="6"/>
  <c r="E706" i="6"/>
  <c r="E705" i="6"/>
  <c r="E704" i="6"/>
  <c r="E703" i="6"/>
  <c r="E702" i="6"/>
  <c r="E701" i="6"/>
  <c r="E700" i="6"/>
  <c r="E699" i="6"/>
  <c r="E698" i="6"/>
  <c r="E697" i="6"/>
  <c r="E696" i="6"/>
  <c r="E695" i="6"/>
  <c r="E694" i="6"/>
  <c r="E693" i="6"/>
  <c r="E692" i="6"/>
  <c r="E691" i="6"/>
  <c r="E690" i="6"/>
  <c r="E689" i="6"/>
  <c r="E688" i="6"/>
  <c r="E687" i="6"/>
  <c r="E686" i="6"/>
  <c r="E685" i="6"/>
  <c r="E684" i="6"/>
  <c r="E683" i="6"/>
  <c r="E682" i="6"/>
  <c r="E681" i="6"/>
  <c r="E680" i="6"/>
  <c r="E679" i="6"/>
  <c r="E678" i="6"/>
  <c r="E677" i="6"/>
  <c r="E676" i="6"/>
  <c r="E675" i="6"/>
  <c r="E674" i="6"/>
  <c r="E673" i="6"/>
  <c r="E672" i="6"/>
  <c r="E671" i="6"/>
  <c r="E670" i="6"/>
  <c r="E669" i="6"/>
  <c r="E668" i="6"/>
  <c r="E667" i="6"/>
  <c r="E666" i="6"/>
  <c r="E665" i="6"/>
  <c r="E664" i="6"/>
  <c r="E663" i="6"/>
  <c r="E662" i="6"/>
  <c r="E661" i="6"/>
  <c r="E660" i="6"/>
  <c r="E659" i="6"/>
  <c r="E658" i="6"/>
  <c r="E657" i="6"/>
  <c r="E656" i="6"/>
  <c r="E655" i="6"/>
  <c r="E654" i="6"/>
  <c r="E653" i="6"/>
  <c r="E652" i="6"/>
  <c r="E651" i="6"/>
  <c r="E650" i="6"/>
  <c r="E649" i="6"/>
  <c r="E648" i="6"/>
  <c r="E647" i="6"/>
  <c r="E646" i="6"/>
  <c r="E645" i="6"/>
  <c r="E644" i="6"/>
  <c r="E643" i="6"/>
  <c r="E642" i="6"/>
  <c r="E641" i="6"/>
  <c r="E640" i="6"/>
  <c r="E639" i="6"/>
  <c r="E638" i="6"/>
  <c r="E637" i="6"/>
  <c r="E636" i="6"/>
  <c r="E635" i="6"/>
  <c r="E634" i="6"/>
  <c r="E633" i="6"/>
  <c r="E632" i="6"/>
  <c r="E631" i="6"/>
  <c r="E630" i="6"/>
  <c r="E629" i="6"/>
  <c r="E628" i="6"/>
  <c r="E627" i="6"/>
  <c r="E626" i="6"/>
  <c r="E625" i="6"/>
  <c r="E624" i="6"/>
  <c r="E623" i="6"/>
  <c r="E622" i="6"/>
  <c r="E621" i="6"/>
  <c r="E620" i="6"/>
  <c r="E619" i="6"/>
  <c r="E618" i="6"/>
  <c r="E617" i="6"/>
  <c r="E616" i="6"/>
  <c r="E615" i="6"/>
  <c r="E614" i="6"/>
  <c r="E613" i="6"/>
  <c r="E612" i="6"/>
  <c r="E611" i="6"/>
  <c r="E610" i="6"/>
  <c r="E609" i="6"/>
  <c r="E608" i="6"/>
  <c r="E607" i="6"/>
  <c r="E606" i="6"/>
  <c r="E605" i="6"/>
  <c r="E604" i="6"/>
  <c r="E603" i="6"/>
  <c r="E602" i="6"/>
  <c r="E601" i="6"/>
  <c r="E600" i="6"/>
  <c r="E599" i="6"/>
  <c r="E598" i="6"/>
  <c r="E597" i="6"/>
  <c r="E596" i="6"/>
  <c r="E595" i="6"/>
  <c r="E594" i="6"/>
  <c r="E593" i="6"/>
  <c r="E592" i="6"/>
  <c r="E591" i="6"/>
  <c r="E590" i="6"/>
  <c r="E589" i="6"/>
  <c r="E588" i="6"/>
  <c r="E587" i="6"/>
  <c r="E586" i="6"/>
  <c r="E585" i="6"/>
  <c r="E584" i="6"/>
  <c r="E583" i="6"/>
  <c r="E582" i="6"/>
  <c r="E581" i="6"/>
  <c r="E580" i="6"/>
  <c r="E579" i="6"/>
  <c r="E578" i="6"/>
  <c r="E577" i="6"/>
  <c r="E576" i="6"/>
  <c r="E575" i="6"/>
  <c r="E574" i="6"/>
  <c r="E573" i="6"/>
  <c r="E572" i="6"/>
  <c r="E571" i="6"/>
  <c r="E570" i="6"/>
  <c r="E569" i="6"/>
  <c r="E568" i="6"/>
  <c r="E567" i="6"/>
  <c r="E566" i="6"/>
  <c r="E565" i="6"/>
  <c r="E564" i="6"/>
  <c r="E563" i="6"/>
  <c r="E562" i="6"/>
  <c r="E561" i="6"/>
  <c r="E560" i="6"/>
  <c r="E559" i="6"/>
  <c r="E558" i="6"/>
  <c r="E557" i="6"/>
  <c r="E556" i="6"/>
  <c r="E555" i="6"/>
  <c r="E554" i="6"/>
  <c r="E553" i="6"/>
  <c r="E552" i="6"/>
  <c r="E551" i="6"/>
  <c r="E550" i="6"/>
  <c r="E549" i="6"/>
  <c r="E548" i="6"/>
  <c r="E547" i="6"/>
  <c r="E546" i="6"/>
  <c r="E545" i="6"/>
  <c r="E544" i="6"/>
  <c r="E543" i="6"/>
  <c r="E542" i="6"/>
  <c r="E541" i="6"/>
  <c r="E540" i="6"/>
  <c r="E539" i="6"/>
  <c r="E538" i="6"/>
  <c r="E537" i="6"/>
  <c r="E536" i="6"/>
  <c r="E535" i="6"/>
  <c r="E534" i="6"/>
  <c r="E533" i="6"/>
  <c r="E532" i="6"/>
  <c r="E531" i="6"/>
  <c r="E530" i="6"/>
  <c r="E529" i="6"/>
  <c r="E528" i="6"/>
  <c r="E527" i="6"/>
  <c r="E526" i="6"/>
  <c r="E525" i="6"/>
  <c r="E524" i="6"/>
  <c r="E523" i="6"/>
  <c r="E522" i="6"/>
  <c r="E521" i="6"/>
  <c r="E520" i="6"/>
  <c r="E519" i="6"/>
  <c r="E518" i="6"/>
  <c r="E517" i="6"/>
  <c r="E516" i="6"/>
  <c r="E515" i="6"/>
  <c r="E514" i="6"/>
  <c r="E513" i="6"/>
  <c r="E512" i="6"/>
  <c r="E511" i="6"/>
  <c r="E510" i="6"/>
  <c r="E509" i="6"/>
  <c r="E508" i="6"/>
  <c r="E507" i="6"/>
  <c r="E506" i="6"/>
  <c r="E505" i="6"/>
  <c r="E504" i="6"/>
  <c r="E503" i="6"/>
  <c r="E502" i="6"/>
  <c r="E501" i="6"/>
  <c r="E500" i="6"/>
  <c r="E499" i="6"/>
  <c r="E498" i="6"/>
  <c r="E497" i="6"/>
  <c r="E496" i="6"/>
  <c r="E495" i="6"/>
  <c r="E494" i="6"/>
  <c r="E493" i="6"/>
  <c r="E492" i="6"/>
  <c r="E491" i="6"/>
  <c r="E490" i="6"/>
  <c r="E489" i="6"/>
  <c r="E488" i="6"/>
  <c r="E487" i="6"/>
  <c r="E486" i="6"/>
  <c r="E485" i="6"/>
  <c r="E484" i="6"/>
  <c r="E483" i="6"/>
  <c r="E482" i="6"/>
  <c r="E481" i="6"/>
  <c r="E480" i="6"/>
  <c r="E479" i="6"/>
  <c r="E478" i="6"/>
  <c r="E477" i="6"/>
  <c r="E476" i="6"/>
  <c r="E475" i="6"/>
  <c r="E474" i="6"/>
  <c r="E473" i="6"/>
  <c r="E472" i="6"/>
  <c r="E471" i="6"/>
  <c r="E470" i="6"/>
  <c r="E469" i="6"/>
  <c r="E468" i="6"/>
  <c r="E467" i="6"/>
  <c r="E466" i="6"/>
  <c r="E465" i="6"/>
  <c r="E464" i="6"/>
  <c r="E463" i="6"/>
  <c r="E462" i="6"/>
  <c r="E461" i="6"/>
  <c r="E460" i="6"/>
  <c r="E459" i="6"/>
  <c r="E458" i="6"/>
  <c r="E457" i="6"/>
  <c r="E456" i="6"/>
  <c r="E455" i="6"/>
  <c r="E454" i="6"/>
  <c r="E453" i="6"/>
  <c r="E452" i="6"/>
  <c r="E451" i="6"/>
  <c r="E450" i="6"/>
  <c r="E449" i="6"/>
  <c r="E448" i="6"/>
  <c r="E447" i="6"/>
  <c r="E446" i="6"/>
  <c r="E445" i="6"/>
  <c r="E444" i="6"/>
  <c r="E443" i="6"/>
  <c r="E442" i="6"/>
  <c r="E441" i="6"/>
  <c r="E440" i="6"/>
  <c r="E439" i="6"/>
  <c r="E438" i="6"/>
  <c r="E437" i="6"/>
  <c r="E436" i="6"/>
  <c r="E435" i="6"/>
  <c r="E434" i="6"/>
  <c r="E433" i="6"/>
  <c r="E432" i="6"/>
  <c r="E431" i="6"/>
  <c r="E430" i="6"/>
  <c r="E429" i="6"/>
  <c r="E428" i="6"/>
  <c r="E427" i="6"/>
  <c r="E426" i="6"/>
  <c r="E425" i="6"/>
  <c r="E424" i="6"/>
  <c r="E423" i="6"/>
  <c r="E422" i="6"/>
  <c r="E421" i="6"/>
  <c r="E420" i="6"/>
  <c r="E419" i="6"/>
  <c r="E418" i="6"/>
  <c r="E417" i="6"/>
  <c r="E416" i="6"/>
  <c r="E415" i="6"/>
  <c r="E414" i="6"/>
  <c r="E413" i="6"/>
  <c r="E412" i="6"/>
  <c r="E411" i="6"/>
  <c r="E410" i="6"/>
  <c r="E409" i="6"/>
  <c r="E408" i="6"/>
  <c r="E407" i="6"/>
  <c r="E406" i="6"/>
  <c r="E405" i="6"/>
  <c r="E404" i="6"/>
  <c r="E403" i="6"/>
  <c r="E402" i="6"/>
  <c r="E401" i="6"/>
  <c r="E400" i="6"/>
  <c r="E399" i="6"/>
  <c r="E398" i="6"/>
  <c r="E397" i="6"/>
  <c r="E396" i="6"/>
  <c r="E395" i="6"/>
  <c r="E394" i="6"/>
  <c r="E393" i="6"/>
  <c r="E392" i="6"/>
  <c r="E391" i="6"/>
  <c r="E390" i="6"/>
  <c r="E389" i="6"/>
  <c r="E388" i="6"/>
  <c r="E387" i="6"/>
  <c r="E386" i="6"/>
  <c r="E385" i="6"/>
  <c r="E384" i="6"/>
  <c r="E383" i="6"/>
  <c r="E382" i="6"/>
  <c r="E381" i="6"/>
  <c r="E380" i="6"/>
  <c r="E379" i="6"/>
  <c r="E378" i="6"/>
  <c r="E377" i="6"/>
  <c r="E376" i="6"/>
  <c r="E375" i="6"/>
  <c r="E374" i="6"/>
  <c r="E373" i="6"/>
  <c r="E372" i="6"/>
  <c r="E371" i="6"/>
  <c r="E370" i="6"/>
  <c r="E369" i="6"/>
  <c r="E368" i="6"/>
  <c r="E367" i="6"/>
  <c r="E366" i="6"/>
  <c r="E365" i="6"/>
  <c r="E364" i="6"/>
  <c r="E363" i="6"/>
  <c r="E362" i="6"/>
  <c r="E361" i="6"/>
  <c r="E360" i="6"/>
  <c r="E359" i="6"/>
  <c r="E358" i="6"/>
  <c r="E357" i="6"/>
  <c r="E356" i="6"/>
  <c r="E355" i="6"/>
  <c r="E354" i="6"/>
  <c r="E353" i="6"/>
  <c r="E352" i="6"/>
  <c r="E351" i="6"/>
  <c r="E350" i="6"/>
  <c r="E349" i="6"/>
  <c r="E348" i="6"/>
  <c r="E347" i="6"/>
  <c r="E346" i="6"/>
  <c r="E345" i="6"/>
  <c r="E344" i="6"/>
  <c r="E343" i="6"/>
  <c r="E342" i="6"/>
  <c r="E341" i="6"/>
  <c r="E340" i="6"/>
  <c r="E339" i="6"/>
  <c r="E338" i="6"/>
  <c r="E337" i="6"/>
  <c r="E336" i="6"/>
  <c r="E335" i="6"/>
  <c r="E334" i="6"/>
  <c r="E333" i="6"/>
  <c r="E332" i="6"/>
  <c r="E331" i="6"/>
  <c r="E330" i="6"/>
  <c r="E329" i="6"/>
  <c r="E328" i="6"/>
  <c r="E327" i="6"/>
  <c r="E326" i="6"/>
  <c r="E325" i="6"/>
  <c r="E324" i="6"/>
  <c r="E323" i="6"/>
  <c r="E322" i="6"/>
  <c r="E321" i="6"/>
  <c r="E320" i="6"/>
  <c r="E319" i="6"/>
  <c r="E318" i="6"/>
  <c r="E317" i="6"/>
  <c r="E316" i="6"/>
  <c r="E315" i="6"/>
  <c r="E314" i="6"/>
  <c r="E313" i="6"/>
  <c r="E312" i="6"/>
  <c r="E311" i="6"/>
  <c r="E310" i="6"/>
  <c r="E309" i="6"/>
  <c r="E308" i="6"/>
  <c r="E307" i="6"/>
  <c r="E306" i="6"/>
  <c r="E305" i="6"/>
  <c r="E304" i="6"/>
  <c r="E303" i="6"/>
  <c r="E302" i="6"/>
  <c r="E301" i="6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AL101" i="4"/>
  <c r="AH101" i="4" s="1"/>
  <c r="AA101" i="4"/>
  <c r="AL100" i="4"/>
  <c r="H100" i="4" s="1"/>
  <c r="Z100" i="4"/>
  <c r="AL99" i="4"/>
  <c r="AL98" i="4"/>
  <c r="V98" i="4" s="1"/>
  <c r="AL97" i="4"/>
  <c r="N97" i="4" s="1"/>
  <c r="AL96" i="4"/>
  <c r="V96" i="4" s="1"/>
  <c r="AL95" i="4"/>
  <c r="W95" i="4" s="1"/>
  <c r="V95" i="4"/>
  <c r="AL94" i="4"/>
  <c r="AK94" i="4" s="1"/>
  <c r="AL93" i="4"/>
  <c r="E93" i="4" s="1"/>
  <c r="AH93" i="4"/>
  <c r="AL92" i="4"/>
  <c r="AH92" i="4" s="1"/>
  <c r="AL91" i="4"/>
  <c r="Y91" i="4" s="1"/>
  <c r="AL90" i="4"/>
  <c r="W90" i="4" s="1"/>
  <c r="AL89" i="4"/>
  <c r="AK89" i="4" s="1"/>
  <c r="AL88" i="4"/>
  <c r="AL87" i="4"/>
  <c r="Q87" i="4" s="1"/>
  <c r="Y87" i="4"/>
  <c r="AL86" i="4"/>
  <c r="AH86" i="4" s="1"/>
  <c r="AL85" i="4"/>
  <c r="P85" i="4" s="1"/>
  <c r="AL84" i="4"/>
  <c r="AH84" i="4" s="1"/>
  <c r="AL83" i="4"/>
  <c r="M83" i="4" s="1"/>
  <c r="AL82" i="4"/>
  <c r="AK82" i="4" s="1"/>
  <c r="O82" i="4"/>
  <c r="AL81" i="4"/>
  <c r="R81" i="4" s="1"/>
  <c r="AL80" i="4"/>
  <c r="V80" i="4" s="1"/>
  <c r="AL79" i="4"/>
  <c r="X79" i="4" s="1"/>
  <c r="V79" i="4"/>
  <c r="AL78" i="4"/>
  <c r="W78" i="4" s="1"/>
  <c r="N78" i="4"/>
  <c r="L78" i="4"/>
  <c r="AL77" i="4"/>
  <c r="X77" i="4" s="1"/>
  <c r="AL76" i="4"/>
  <c r="X76" i="4"/>
  <c r="AL75" i="4"/>
  <c r="AH75" i="4" s="1"/>
  <c r="AL74" i="4"/>
  <c r="N74" i="4" s="1"/>
  <c r="AL73" i="4"/>
  <c r="AK73" i="4" s="1"/>
  <c r="AL72" i="4"/>
  <c r="K72" i="4" s="1"/>
  <c r="AL71" i="4"/>
  <c r="N71" i="4" s="1"/>
  <c r="AL70" i="4"/>
  <c r="O70" i="4" s="1"/>
  <c r="AL69" i="4"/>
  <c r="AH69" i="4" s="1"/>
  <c r="Z69" i="4"/>
  <c r="AL68" i="4"/>
  <c r="S68" i="4" s="1"/>
  <c r="AL67" i="4"/>
  <c r="N67" i="4" s="1"/>
  <c r="AL66" i="4"/>
  <c r="G66" i="4" s="1"/>
  <c r="AL65" i="4"/>
  <c r="L65" i="4" s="1"/>
  <c r="AL64" i="4"/>
  <c r="AK64" i="4" s="1"/>
  <c r="W64" i="4"/>
  <c r="AL63" i="4"/>
  <c r="AK63" i="4" s="1"/>
  <c r="AL62" i="4"/>
  <c r="V62" i="4" s="1"/>
  <c r="AL61" i="4"/>
  <c r="E61" i="4" s="1"/>
  <c r="AL60" i="4"/>
  <c r="V60" i="4" s="1"/>
  <c r="AL59" i="4"/>
  <c r="Y59" i="4" s="1"/>
  <c r="AL58" i="4"/>
  <c r="G58" i="4" s="1"/>
  <c r="Y58" i="4"/>
  <c r="AL57" i="4"/>
  <c r="AA57" i="4" s="1"/>
  <c r="F57" i="4"/>
  <c r="AI57" i="4" s="1"/>
  <c r="AL56" i="4"/>
  <c r="V56" i="4" s="1"/>
  <c r="AL55" i="4"/>
  <c r="AH55" i="4" s="1"/>
  <c r="AL54" i="4"/>
  <c r="O54" i="4" s="1"/>
  <c r="AL53" i="4"/>
  <c r="O53" i="4" s="1"/>
  <c r="AL52" i="4"/>
  <c r="V52" i="4" s="1"/>
  <c r="AK52" i="4"/>
  <c r="AL51" i="4"/>
  <c r="O51" i="4" s="1"/>
  <c r="AL50" i="4"/>
  <c r="E50" i="4" s="1"/>
  <c r="AK50" i="4"/>
  <c r="AH50" i="4"/>
  <c r="AL49" i="4"/>
  <c r="AL48" i="4"/>
  <c r="Z48" i="4" s="1"/>
  <c r="AL47" i="4"/>
  <c r="Z47" i="4" s="1"/>
  <c r="AL46" i="4"/>
  <c r="AK46" i="4" s="1"/>
  <c r="U46" i="4"/>
  <c r="T46" i="4"/>
  <c r="R46" i="4"/>
  <c r="AL45" i="4"/>
  <c r="AA45" i="4" s="1"/>
  <c r="AL44" i="4"/>
  <c r="S44" i="4" s="1"/>
  <c r="AL43" i="4"/>
  <c r="AH43" i="4" s="1"/>
  <c r="AL42" i="4"/>
  <c r="Q42" i="4" s="1"/>
  <c r="H42" i="4"/>
  <c r="AL41" i="4"/>
  <c r="Z41" i="4" s="1"/>
  <c r="AL40" i="4"/>
  <c r="AK40" i="4" s="1"/>
  <c r="AL39" i="4"/>
  <c r="AH39" i="4" s="1"/>
  <c r="AL38" i="4"/>
  <c r="AM38" i="4" s="1"/>
  <c r="AL37" i="4"/>
  <c r="W37" i="4" s="1"/>
  <c r="J37" i="4"/>
  <c r="AL36" i="4"/>
  <c r="AA36" i="4" s="1"/>
  <c r="AL35" i="4"/>
  <c r="K35" i="4" s="1"/>
  <c r="O35" i="4"/>
  <c r="L35" i="4"/>
  <c r="AL34" i="4"/>
  <c r="V34" i="4" s="1"/>
  <c r="AL33" i="4"/>
  <c r="AL32" i="4"/>
  <c r="AM32" i="4" s="1"/>
  <c r="AL31" i="4"/>
  <c r="A505" i="6" s="1"/>
  <c r="AL30" i="4"/>
  <c r="AH30" i="4" s="1"/>
  <c r="I30" i="4"/>
  <c r="AL29" i="4"/>
  <c r="AL28" i="4"/>
  <c r="AK28" i="4" s="1"/>
  <c r="AL27" i="4"/>
  <c r="AK27" i="4" s="1"/>
  <c r="N27" i="4"/>
  <c r="AL26" i="4"/>
  <c r="U26" i="4" s="1"/>
  <c r="L26" i="4"/>
  <c r="AL25" i="4"/>
  <c r="AA25" i="4" s="1"/>
  <c r="AL24" i="4"/>
  <c r="AK24" i="4" s="1"/>
  <c r="AL23" i="4"/>
  <c r="F23" i="4" s="1"/>
  <c r="AI23" i="4" s="1"/>
  <c r="AL22" i="4"/>
  <c r="AH22" i="4" s="1"/>
  <c r="AL21" i="4"/>
  <c r="AK21" i="4" s="1"/>
  <c r="AL20" i="4"/>
  <c r="W20" i="4" s="1"/>
  <c r="AL19" i="4"/>
  <c r="Z19" i="4" s="1"/>
  <c r="AL18" i="4"/>
  <c r="AL17" i="4"/>
  <c r="X17" i="4" s="1"/>
  <c r="AL16" i="4"/>
  <c r="AA16" i="4" s="1"/>
  <c r="AK16" i="4"/>
  <c r="S16" i="4"/>
  <c r="AL15" i="4"/>
  <c r="AL14" i="4"/>
  <c r="AK14" i="4" s="1"/>
  <c r="AL13" i="4"/>
  <c r="Z13" i="4" s="1"/>
  <c r="AK13" i="4"/>
  <c r="AL12" i="4"/>
  <c r="AK12" i="4" s="1"/>
  <c r="AA12" i="4"/>
  <c r="Z12" i="4"/>
  <c r="Y12" i="4"/>
  <c r="V12" i="4"/>
  <c r="C12" i="4"/>
  <c r="AL11" i="4"/>
  <c r="AA11" i="4" s="1"/>
  <c r="C11" i="4"/>
  <c r="AL10" i="4"/>
  <c r="Q10" i="4" s="1"/>
  <c r="AL9" i="4"/>
  <c r="J9" i="4" s="1"/>
  <c r="AL8" i="4"/>
  <c r="AK8" i="4" s="1"/>
  <c r="Y8" i="4"/>
  <c r="I8" i="4"/>
  <c r="F8" i="4"/>
  <c r="AI8" i="4" s="1"/>
  <c r="AL7" i="4"/>
  <c r="W7" i="4" s="1"/>
  <c r="V7" i="4"/>
  <c r="AL6" i="4"/>
  <c r="AK6" i="4" s="1"/>
  <c r="AL5" i="4"/>
  <c r="G5" i="4" s="1"/>
  <c r="AL2" i="4"/>
  <c r="I2" i="4" s="1"/>
  <c r="S6" i="5" s="1"/>
  <c r="S101" i="3"/>
  <c r="R101" i="3"/>
  <c r="Q101" i="3"/>
  <c r="P101" i="3"/>
  <c r="O101" i="3"/>
  <c r="S100" i="3"/>
  <c r="R100" i="3"/>
  <c r="Q100" i="3"/>
  <c r="P100" i="3"/>
  <c r="O100" i="3"/>
  <c r="S99" i="3"/>
  <c r="R99" i="3"/>
  <c r="Q99" i="3"/>
  <c r="P99" i="3"/>
  <c r="O99" i="3"/>
  <c r="S98" i="3"/>
  <c r="R98" i="3"/>
  <c r="Q98" i="3"/>
  <c r="P98" i="3"/>
  <c r="O98" i="3"/>
  <c r="S97" i="3"/>
  <c r="R97" i="3"/>
  <c r="Q97" i="3"/>
  <c r="P97" i="3"/>
  <c r="O97" i="3"/>
  <c r="S96" i="3"/>
  <c r="R96" i="3"/>
  <c r="Q96" i="3"/>
  <c r="P96" i="3"/>
  <c r="O96" i="3"/>
  <c r="S95" i="3"/>
  <c r="R95" i="3"/>
  <c r="Q95" i="3"/>
  <c r="P95" i="3"/>
  <c r="O95" i="3"/>
  <c r="S94" i="3"/>
  <c r="R94" i="3"/>
  <c r="Q94" i="3"/>
  <c r="P94" i="3"/>
  <c r="O94" i="3"/>
  <c r="S93" i="3"/>
  <c r="R93" i="3"/>
  <c r="Q93" i="3"/>
  <c r="P93" i="3"/>
  <c r="O93" i="3"/>
  <c r="S92" i="3"/>
  <c r="R92" i="3"/>
  <c r="Q92" i="3"/>
  <c r="P92" i="3"/>
  <c r="O92" i="3"/>
  <c r="S91" i="3"/>
  <c r="R91" i="3"/>
  <c r="Q91" i="3"/>
  <c r="P91" i="3"/>
  <c r="O91" i="3"/>
  <c r="S90" i="3"/>
  <c r="R90" i="3"/>
  <c r="Q90" i="3"/>
  <c r="P90" i="3"/>
  <c r="O90" i="3"/>
  <c r="S89" i="3"/>
  <c r="R89" i="3"/>
  <c r="Q89" i="3"/>
  <c r="P89" i="3"/>
  <c r="O89" i="3"/>
  <c r="S88" i="3"/>
  <c r="R88" i="3"/>
  <c r="Q88" i="3"/>
  <c r="P88" i="3"/>
  <c r="O88" i="3"/>
  <c r="S87" i="3"/>
  <c r="R87" i="3"/>
  <c r="Q87" i="3"/>
  <c r="P87" i="3"/>
  <c r="O87" i="3"/>
  <c r="S86" i="3"/>
  <c r="R86" i="3"/>
  <c r="Q86" i="3"/>
  <c r="P86" i="3"/>
  <c r="O86" i="3"/>
  <c r="S85" i="3"/>
  <c r="R85" i="3"/>
  <c r="Q85" i="3"/>
  <c r="P85" i="3"/>
  <c r="O85" i="3"/>
  <c r="S84" i="3"/>
  <c r="R84" i="3"/>
  <c r="Q84" i="3"/>
  <c r="P84" i="3"/>
  <c r="O84" i="3"/>
  <c r="S83" i="3"/>
  <c r="R83" i="3"/>
  <c r="Q83" i="3"/>
  <c r="P83" i="3"/>
  <c r="O83" i="3"/>
  <c r="S82" i="3"/>
  <c r="R82" i="3"/>
  <c r="Q82" i="3"/>
  <c r="P82" i="3"/>
  <c r="O82" i="3"/>
  <c r="S81" i="3"/>
  <c r="R81" i="3"/>
  <c r="Q81" i="3"/>
  <c r="P81" i="3"/>
  <c r="O81" i="3"/>
  <c r="S80" i="3"/>
  <c r="R80" i="3"/>
  <c r="Q80" i="3"/>
  <c r="P80" i="3"/>
  <c r="O80" i="3"/>
  <c r="S79" i="3"/>
  <c r="R79" i="3"/>
  <c r="Q79" i="3"/>
  <c r="P79" i="3"/>
  <c r="O79" i="3"/>
  <c r="S78" i="3"/>
  <c r="R78" i="3"/>
  <c r="Q78" i="3"/>
  <c r="P78" i="3"/>
  <c r="O78" i="3"/>
  <c r="S77" i="3"/>
  <c r="R77" i="3"/>
  <c r="Q77" i="3"/>
  <c r="P77" i="3"/>
  <c r="O77" i="3"/>
  <c r="S76" i="3"/>
  <c r="R76" i="3"/>
  <c r="Q76" i="3"/>
  <c r="P76" i="3"/>
  <c r="O76" i="3"/>
  <c r="S75" i="3"/>
  <c r="R75" i="3"/>
  <c r="Q75" i="3"/>
  <c r="P75" i="3"/>
  <c r="O75" i="3"/>
  <c r="S74" i="3"/>
  <c r="R74" i="3"/>
  <c r="Q74" i="3"/>
  <c r="P74" i="3"/>
  <c r="O74" i="3"/>
  <c r="S73" i="3"/>
  <c r="R73" i="3"/>
  <c r="Q73" i="3"/>
  <c r="P73" i="3"/>
  <c r="O73" i="3"/>
  <c r="S72" i="3"/>
  <c r="R72" i="3"/>
  <c r="Q72" i="3"/>
  <c r="P72" i="3"/>
  <c r="O72" i="3"/>
  <c r="S71" i="3"/>
  <c r="R71" i="3"/>
  <c r="Q71" i="3"/>
  <c r="P71" i="3"/>
  <c r="O71" i="3"/>
  <c r="S70" i="3"/>
  <c r="R70" i="3"/>
  <c r="Q70" i="3"/>
  <c r="P70" i="3"/>
  <c r="O70" i="3"/>
  <c r="S69" i="3"/>
  <c r="R69" i="3"/>
  <c r="Q69" i="3"/>
  <c r="P69" i="3"/>
  <c r="O69" i="3"/>
  <c r="S68" i="3"/>
  <c r="R68" i="3"/>
  <c r="Q68" i="3"/>
  <c r="P68" i="3"/>
  <c r="O68" i="3"/>
  <c r="S67" i="3"/>
  <c r="R67" i="3"/>
  <c r="Q67" i="3"/>
  <c r="P67" i="3"/>
  <c r="O67" i="3"/>
  <c r="S66" i="3"/>
  <c r="R66" i="3"/>
  <c r="Q66" i="3"/>
  <c r="P66" i="3"/>
  <c r="O66" i="3"/>
  <c r="S65" i="3"/>
  <c r="R65" i="3"/>
  <c r="Q65" i="3"/>
  <c r="P65" i="3"/>
  <c r="O65" i="3"/>
  <c r="S64" i="3"/>
  <c r="R64" i="3"/>
  <c r="Q64" i="3"/>
  <c r="P64" i="3"/>
  <c r="O64" i="3"/>
  <c r="S63" i="3"/>
  <c r="R63" i="3"/>
  <c r="Q63" i="3"/>
  <c r="P63" i="3"/>
  <c r="O63" i="3"/>
  <c r="S62" i="3"/>
  <c r="R62" i="3"/>
  <c r="Q62" i="3"/>
  <c r="P62" i="3"/>
  <c r="O62" i="3"/>
  <c r="S61" i="3"/>
  <c r="R61" i="3"/>
  <c r="Q61" i="3"/>
  <c r="P61" i="3"/>
  <c r="O61" i="3"/>
  <c r="S60" i="3"/>
  <c r="R60" i="3"/>
  <c r="Q60" i="3"/>
  <c r="P60" i="3"/>
  <c r="O60" i="3"/>
  <c r="S59" i="3"/>
  <c r="R59" i="3"/>
  <c r="Q59" i="3"/>
  <c r="P59" i="3"/>
  <c r="O59" i="3"/>
  <c r="S58" i="3"/>
  <c r="R58" i="3"/>
  <c r="Q58" i="3"/>
  <c r="P58" i="3"/>
  <c r="O58" i="3"/>
  <c r="S57" i="3"/>
  <c r="R57" i="3"/>
  <c r="Q57" i="3"/>
  <c r="P57" i="3"/>
  <c r="O57" i="3"/>
  <c r="S56" i="3"/>
  <c r="R56" i="3"/>
  <c r="Q56" i="3"/>
  <c r="P56" i="3"/>
  <c r="O56" i="3"/>
  <c r="S55" i="3"/>
  <c r="R55" i="3"/>
  <c r="Q55" i="3"/>
  <c r="P55" i="3"/>
  <c r="O55" i="3"/>
  <c r="S54" i="3"/>
  <c r="R54" i="3"/>
  <c r="Q54" i="3"/>
  <c r="P54" i="3"/>
  <c r="O54" i="3"/>
  <c r="S53" i="3"/>
  <c r="R53" i="3"/>
  <c r="Q53" i="3"/>
  <c r="P53" i="3"/>
  <c r="O53" i="3"/>
  <c r="S52" i="3"/>
  <c r="R52" i="3"/>
  <c r="Q52" i="3"/>
  <c r="P52" i="3"/>
  <c r="O52" i="3"/>
  <c r="S51" i="3"/>
  <c r="R51" i="3"/>
  <c r="Q51" i="3"/>
  <c r="P51" i="3"/>
  <c r="O51" i="3"/>
  <c r="S50" i="3"/>
  <c r="R50" i="3"/>
  <c r="Q50" i="3"/>
  <c r="P50" i="3"/>
  <c r="O50" i="3"/>
  <c r="S49" i="3"/>
  <c r="R49" i="3"/>
  <c r="Q49" i="3"/>
  <c r="P49" i="3"/>
  <c r="O49" i="3"/>
  <c r="S48" i="3"/>
  <c r="R48" i="3"/>
  <c r="Q48" i="3"/>
  <c r="P48" i="3"/>
  <c r="O48" i="3"/>
  <c r="S47" i="3"/>
  <c r="R47" i="3"/>
  <c r="Q47" i="3"/>
  <c r="P47" i="3"/>
  <c r="O47" i="3"/>
  <c r="S46" i="3"/>
  <c r="R46" i="3"/>
  <c r="Q46" i="3"/>
  <c r="P46" i="3"/>
  <c r="O46" i="3"/>
  <c r="S45" i="3"/>
  <c r="R45" i="3"/>
  <c r="Q45" i="3"/>
  <c r="P45" i="3"/>
  <c r="O45" i="3"/>
  <c r="S44" i="3"/>
  <c r="R44" i="3"/>
  <c r="Q44" i="3"/>
  <c r="P44" i="3"/>
  <c r="O44" i="3"/>
  <c r="S43" i="3"/>
  <c r="R43" i="3"/>
  <c r="Q43" i="3"/>
  <c r="P43" i="3"/>
  <c r="O43" i="3"/>
  <c r="S42" i="3"/>
  <c r="R42" i="3"/>
  <c r="Q42" i="3"/>
  <c r="P42" i="3"/>
  <c r="O42" i="3"/>
  <c r="S41" i="3"/>
  <c r="R41" i="3"/>
  <c r="Q41" i="3"/>
  <c r="P41" i="3"/>
  <c r="O41" i="3"/>
  <c r="S40" i="3"/>
  <c r="R40" i="3"/>
  <c r="Q40" i="3"/>
  <c r="P40" i="3"/>
  <c r="O40" i="3"/>
  <c r="S39" i="3"/>
  <c r="R39" i="3"/>
  <c r="Q39" i="3"/>
  <c r="P39" i="3"/>
  <c r="O39" i="3"/>
  <c r="S38" i="3"/>
  <c r="R38" i="3"/>
  <c r="Q38" i="3"/>
  <c r="P38" i="3"/>
  <c r="O38" i="3"/>
  <c r="S37" i="3"/>
  <c r="R37" i="3"/>
  <c r="Q37" i="3"/>
  <c r="P37" i="3"/>
  <c r="O37" i="3"/>
  <c r="S36" i="3"/>
  <c r="R36" i="3"/>
  <c r="Q36" i="3"/>
  <c r="P36" i="3"/>
  <c r="O36" i="3"/>
  <c r="S35" i="3"/>
  <c r="R35" i="3"/>
  <c r="Q35" i="3"/>
  <c r="P35" i="3"/>
  <c r="O35" i="3"/>
  <c r="S34" i="3"/>
  <c r="R34" i="3"/>
  <c r="Q34" i="3"/>
  <c r="P34" i="3"/>
  <c r="O34" i="3"/>
  <c r="S33" i="3"/>
  <c r="R33" i="3"/>
  <c r="Q33" i="3"/>
  <c r="P33" i="3"/>
  <c r="O33" i="3"/>
  <c r="S32" i="3"/>
  <c r="R32" i="3"/>
  <c r="Q32" i="3"/>
  <c r="P32" i="3"/>
  <c r="O32" i="3"/>
  <c r="S31" i="3"/>
  <c r="R31" i="3"/>
  <c r="Q31" i="3"/>
  <c r="P31" i="3"/>
  <c r="O31" i="3"/>
  <c r="S30" i="3"/>
  <c r="R30" i="3"/>
  <c r="Q30" i="3"/>
  <c r="P30" i="3"/>
  <c r="O30" i="3"/>
  <c r="S29" i="3"/>
  <c r="R29" i="3"/>
  <c r="Q29" i="3"/>
  <c r="P29" i="3"/>
  <c r="O29" i="3"/>
  <c r="S28" i="3"/>
  <c r="R28" i="3"/>
  <c r="Q28" i="3"/>
  <c r="P28" i="3"/>
  <c r="O28" i="3"/>
  <c r="S27" i="3"/>
  <c r="R27" i="3"/>
  <c r="Q27" i="3"/>
  <c r="P27" i="3"/>
  <c r="O27" i="3"/>
  <c r="S26" i="3"/>
  <c r="R26" i="3"/>
  <c r="Q26" i="3"/>
  <c r="P26" i="3"/>
  <c r="O26" i="3"/>
  <c r="S25" i="3"/>
  <c r="R25" i="3"/>
  <c r="Q25" i="3"/>
  <c r="P25" i="3"/>
  <c r="O25" i="3"/>
  <c r="S24" i="3"/>
  <c r="R24" i="3"/>
  <c r="Q24" i="3"/>
  <c r="P24" i="3"/>
  <c r="O24" i="3"/>
  <c r="S23" i="3"/>
  <c r="R23" i="3"/>
  <c r="Q23" i="3"/>
  <c r="P23" i="3"/>
  <c r="O23" i="3"/>
  <c r="S22" i="3"/>
  <c r="R22" i="3"/>
  <c r="Q22" i="3"/>
  <c r="P22" i="3"/>
  <c r="O22" i="3"/>
  <c r="S21" i="3"/>
  <c r="R21" i="3"/>
  <c r="Q21" i="3"/>
  <c r="P21" i="3"/>
  <c r="O21" i="3"/>
  <c r="S20" i="3"/>
  <c r="R20" i="3"/>
  <c r="Q20" i="3"/>
  <c r="P20" i="3"/>
  <c r="O20" i="3"/>
  <c r="S19" i="3"/>
  <c r="R19" i="3"/>
  <c r="Q19" i="3"/>
  <c r="P19" i="3"/>
  <c r="O19" i="3"/>
  <c r="S18" i="3"/>
  <c r="R18" i="3"/>
  <c r="Q18" i="3"/>
  <c r="P18" i="3"/>
  <c r="O18" i="3"/>
  <c r="S17" i="3"/>
  <c r="R17" i="3"/>
  <c r="Q17" i="3"/>
  <c r="P17" i="3"/>
  <c r="O17" i="3"/>
  <c r="S16" i="3"/>
  <c r="R16" i="3"/>
  <c r="Q16" i="3"/>
  <c r="P16" i="3"/>
  <c r="O16" i="3"/>
  <c r="S15" i="3"/>
  <c r="R15" i="3"/>
  <c r="Q15" i="3"/>
  <c r="P15" i="3"/>
  <c r="O15" i="3"/>
  <c r="S14" i="3"/>
  <c r="R14" i="3"/>
  <c r="Q14" i="3"/>
  <c r="P14" i="3"/>
  <c r="O14" i="3"/>
  <c r="S13" i="3"/>
  <c r="R13" i="3"/>
  <c r="Q13" i="3"/>
  <c r="P13" i="3"/>
  <c r="O13" i="3"/>
  <c r="S12" i="3"/>
  <c r="R12" i="3"/>
  <c r="Q12" i="3"/>
  <c r="P12" i="3"/>
  <c r="O12" i="3"/>
  <c r="S11" i="3"/>
  <c r="R11" i="3"/>
  <c r="Q11" i="3"/>
  <c r="P11" i="3"/>
  <c r="O11" i="3"/>
  <c r="S10" i="3"/>
  <c r="R10" i="3"/>
  <c r="Q10" i="3"/>
  <c r="P10" i="3"/>
  <c r="O10" i="3"/>
  <c r="S9" i="3"/>
  <c r="R9" i="3"/>
  <c r="Q9" i="3"/>
  <c r="P9" i="3"/>
  <c r="O9" i="3"/>
  <c r="S8" i="3"/>
  <c r="R8" i="3"/>
  <c r="Q8" i="3"/>
  <c r="P8" i="3"/>
  <c r="O8" i="3"/>
  <c r="S7" i="3"/>
  <c r="R7" i="3"/>
  <c r="Q7" i="3"/>
  <c r="P7" i="3"/>
  <c r="O7" i="3"/>
  <c r="S6" i="3"/>
  <c r="R6" i="3"/>
  <c r="Q6" i="3"/>
  <c r="P6" i="3"/>
  <c r="O6" i="3"/>
  <c r="S5" i="3"/>
  <c r="R5" i="3"/>
  <c r="Q5" i="3"/>
  <c r="P5" i="3"/>
  <c r="O5" i="3"/>
  <c r="F2" i="3"/>
  <c r="R24" i="2"/>
  <c r="Q24" i="2"/>
  <c r="R23" i="2"/>
  <c r="Q23" i="2"/>
  <c r="R22" i="2"/>
  <c r="Q22" i="2"/>
  <c r="R21" i="2"/>
  <c r="Q21" i="2"/>
  <c r="R20" i="2"/>
  <c r="Q20" i="2"/>
  <c r="R19" i="2"/>
  <c r="Q19" i="2"/>
  <c r="R18" i="2"/>
  <c r="Q18" i="2"/>
  <c r="R17" i="2"/>
  <c r="Q17" i="2"/>
  <c r="R16" i="2"/>
  <c r="Q16" i="2"/>
  <c r="R15" i="2"/>
  <c r="Q15" i="2"/>
  <c r="R14" i="2"/>
  <c r="Q14" i="2"/>
  <c r="R13" i="2"/>
  <c r="Q13" i="2"/>
  <c r="R12" i="2"/>
  <c r="Q12" i="2"/>
  <c r="R11" i="2"/>
  <c r="Q11" i="2"/>
  <c r="R10" i="2"/>
  <c r="Q10" i="2"/>
  <c r="R9" i="2"/>
  <c r="Q9" i="2"/>
  <c r="R8" i="2"/>
  <c r="Q8" i="2"/>
  <c r="R3" i="2"/>
  <c r="G79" i="4" l="1"/>
  <c r="J12" i="4"/>
  <c r="H79" i="4"/>
  <c r="K12" i="4"/>
  <c r="I26" i="4"/>
  <c r="X52" i="4"/>
  <c r="R79" i="4"/>
  <c r="Q12" i="4"/>
  <c r="X20" i="4"/>
  <c r="J26" i="4"/>
  <c r="Y52" i="4"/>
  <c r="P64" i="4"/>
  <c r="U79" i="4"/>
  <c r="O91" i="4"/>
  <c r="O4" i="4"/>
  <c r="G22" i="4"/>
  <c r="J63" i="4"/>
  <c r="R4" i="4"/>
  <c r="M22" i="4"/>
  <c r="L63" i="4"/>
  <c r="D4" i="4"/>
  <c r="S4" i="4"/>
  <c r="L12" i="4"/>
  <c r="V22" i="4"/>
  <c r="O63" i="4"/>
  <c r="D79" i="4"/>
  <c r="F4" i="4"/>
  <c r="AI4" i="4" s="1"/>
  <c r="V4" i="4"/>
  <c r="N12" i="4"/>
  <c r="T19" i="4"/>
  <c r="Z22" i="4"/>
  <c r="V63" i="4"/>
  <c r="E79" i="4"/>
  <c r="V100" i="4"/>
  <c r="G4" i="4"/>
  <c r="W4" i="4"/>
  <c r="D58" i="4"/>
  <c r="F61" i="4"/>
  <c r="AI61" i="4" s="1"/>
  <c r="O27" i="4"/>
  <c r="H52" i="4"/>
  <c r="H58" i="4"/>
  <c r="Q61" i="4"/>
  <c r="U63" i="4"/>
  <c r="R67" i="4"/>
  <c r="G21" i="4"/>
  <c r="I52" i="4"/>
  <c r="Z55" i="4"/>
  <c r="T58" i="4"/>
  <c r="R61" i="4"/>
  <c r="M93" i="4"/>
  <c r="W3" i="4"/>
  <c r="N4" i="4"/>
  <c r="AA4" i="4"/>
  <c r="G52" i="4"/>
  <c r="J5" i="4"/>
  <c r="U13" i="4"/>
  <c r="V17" i="4"/>
  <c r="U28" i="4"/>
  <c r="R50" i="4"/>
  <c r="J52" i="4"/>
  <c r="AA55" i="4"/>
  <c r="U58" i="4"/>
  <c r="S61" i="4"/>
  <c r="Q93" i="4"/>
  <c r="R12" i="4"/>
  <c r="A1686" i="6"/>
  <c r="L1686" i="6" s="1"/>
  <c r="L5" i="4"/>
  <c r="F12" i="4"/>
  <c r="AI12" i="4" s="1"/>
  <c r="S12" i="4"/>
  <c r="D22" i="4"/>
  <c r="Z27" i="4"/>
  <c r="K37" i="4"/>
  <c r="R43" i="4"/>
  <c r="F63" i="4"/>
  <c r="AI63" i="4" s="1"/>
  <c r="L64" i="4"/>
  <c r="V67" i="4"/>
  <c r="Z78" i="4"/>
  <c r="P79" i="4"/>
  <c r="H82" i="4"/>
  <c r="M87" i="4"/>
  <c r="AK91" i="4"/>
  <c r="T95" i="4"/>
  <c r="S100" i="4"/>
  <c r="I79" i="4"/>
  <c r="D12" i="4"/>
  <c r="M79" i="4"/>
  <c r="AH9" i="4"/>
  <c r="I12" i="4"/>
  <c r="T12" i="4"/>
  <c r="E22" i="4"/>
  <c r="S43" i="4"/>
  <c r="I63" i="4"/>
  <c r="N64" i="4"/>
  <c r="Q79" i="4"/>
  <c r="M82" i="4"/>
  <c r="U95" i="4"/>
  <c r="T100" i="4"/>
  <c r="R24" i="4"/>
  <c r="J24" i="4"/>
  <c r="N52" i="4"/>
  <c r="J2" i="4"/>
  <c r="J7" i="4"/>
  <c r="AH8" i="4"/>
  <c r="AH12" i="4"/>
  <c r="E16" i="4"/>
  <c r="V21" i="4"/>
  <c r="AK22" i="4"/>
  <c r="K24" i="4"/>
  <c r="Y24" i="4"/>
  <c r="V26" i="4"/>
  <c r="V28" i="4"/>
  <c r="F32" i="4"/>
  <c r="AI32" i="4" s="1"/>
  <c r="U40" i="4"/>
  <c r="L51" i="4"/>
  <c r="Q52" i="4"/>
  <c r="Y54" i="4"/>
  <c r="G57" i="4"/>
  <c r="X63" i="4"/>
  <c r="D65" i="4"/>
  <c r="H69" i="4"/>
  <c r="V78" i="4"/>
  <c r="L79" i="4"/>
  <c r="Y79" i="4"/>
  <c r="AA82" i="4"/>
  <c r="G95" i="4"/>
  <c r="F97" i="4"/>
  <c r="AI97" i="4" s="1"/>
  <c r="N24" i="4"/>
  <c r="T24" i="4"/>
  <c r="F24" i="4"/>
  <c r="AI24" i="4" s="1"/>
  <c r="U24" i="4"/>
  <c r="I7" i="4"/>
  <c r="L2" i="4"/>
  <c r="S7" i="4"/>
  <c r="O16" i="4"/>
  <c r="K19" i="4"/>
  <c r="L24" i="4"/>
  <c r="Z24" i="4"/>
  <c r="W28" i="4"/>
  <c r="AH32" i="4"/>
  <c r="AH36" i="4"/>
  <c r="AK44" i="4"/>
  <c r="S52" i="4"/>
  <c r="K57" i="4"/>
  <c r="Y63" i="4"/>
  <c r="J69" i="4"/>
  <c r="I95" i="4"/>
  <c r="J101" i="4"/>
  <c r="E4" i="4"/>
  <c r="Q4" i="4"/>
  <c r="AH4" i="4"/>
  <c r="C24" i="4"/>
  <c r="D24" i="4"/>
  <c r="V24" i="4"/>
  <c r="E32" i="4"/>
  <c r="T7" i="4"/>
  <c r="M9" i="4"/>
  <c r="L13" i="4"/>
  <c r="R16" i="4"/>
  <c r="S19" i="4"/>
  <c r="G23" i="4"/>
  <c r="M24" i="4"/>
  <c r="AH24" i="4"/>
  <c r="K27" i="4"/>
  <c r="AK32" i="4"/>
  <c r="F52" i="4"/>
  <c r="AI52" i="4" s="1"/>
  <c r="S55" i="4"/>
  <c r="X69" i="4"/>
  <c r="N79" i="4"/>
  <c r="AM79" i="4"/>
  <c r="L93" i="4"/>
  <c r="J95" i="4"/>
  <c r="K101" i="4"/>
  <c r="O75" i="4"/>
  <c r="C85" i="4"/>
  <c r="K69" i="4"/>
  <c r="C84" i="4"/>
  <c r="H32" i="4"/>
  <c r="F36" i="4"/>
  <c r="AI36" i="4" s="1"/>
  <c r="O69" i="4"/>
  <c r="AM69" i="4"/>
  <c r="E73" i="4"/>
  <c r="F75" i="4"/>
  <c r="AI75" i="4" s="1"/>
  <c r="U75" i="4"/>
  <c r="H77" i="4"/>
  <c r="F81" i="4"/>
  <c r="AI81" i="4" s="1"/>
  <c r="F84" i="4"/>
  <c r="AI84" i="4" s="1"/>
  <c r="G85" i="4"/>
  <c r="N86" i="4"/>
  <c r="O101" i="4"/>
  <c r="A519" i="6"/>
  <c r="L519" i="6" s="1"/>
  <c r="K5" i="4"/>
  <c r="Q8" i="4"/>
  <c r="AA9" i="4"/>
  <c r="E12" i="4"/>
  <c r="M12" i="4"/>
  <c r="U12" i="4"/>
  <c r="AH19" i="4"/>
  <c r="E24" i="4"/>
  <c r="Q24" i="4"/>
  <c r="AA24" i="4"/>
  <c r="AA27" i="4"/>
  <c r="O32" i="4"/>
  <c r="G36" i="4"/>
  <c r="K51" i="4"/>
  <c r="Z58" i="4"/>
  <c r="N63" i="4"/>
  <c r="AH63" i="4"/>
  <c r="R69" i="4"/>
  <c r="E70" i="4"/>
  <c r="I73" i="4"/>
  <c r="G75" i="4"/>
  <c r="V75" i="4"/>
  <c r="T77" i="4"/>
  <c r="W79" i="4"/>
  <c r="I81" i="4"/>
  <c r="P82" i="4"/>
  <c r="L84" i="4"/>
  <c r="H85" i="4"/>
  <c r="O86" i="4"/>
  <c r="AK93" i="4"/>
  <c r="AH100" i="4"/>
  <c r="T101" i="4"/>
  <c r="K4" i="4"/>
  <c r="T4" i="4"/>
  <c r="P75" i="4"/>
  <c r="D86" i="4"/>
  <c r="G32" i="4"/>
  <c r="D75" i="4"/>
  <c r="E81" i="4"/>
  <c r="E86" i="4"/>
  <c r="L101" i="4"/>
  <c r="D2" i="4"/>
  <c r="E6" i="5" s="1"/>
  <c r="P32" i="4"/>
  <c r="F53" i="4"/>
  <c r="AI53" i="4" s="1"/>
  <c r="S69" i="4"/>
  <c r="Y73" i="4"/>
  <c r="Y75" i="4"/>
  <c r="U81" i="4"/>
  <c r="O84" i="4"/>
  <c r="S86" i="4"/>
  <c r="C100" i="4"/>
  <c r="W101" i="4"/>
  <c r="H2" i="4"/>
  <c r="T8" i="4"/>
  <c r="G12" i="4"/>
  <c r="O12" i="4"/>
  <c r="W12" i="4"/>
  <c r="AM12" i="4"/>
  <c r="E20" i="4"/>
  <c r="I24" i="4"/>
  <c r="S24" i="4"/>
  <c r="F28" i="4"/>
  <c r="AI28" i="4" s="1"/>
  <c r="Q32" i="4"/>
  <c r="J35" i="4"/>
  <c r="Z36" i="4"/>
  <c r="H53" i="4"/>
  <c r="F58" i="4"/>
  <c r="AI58" i="4" s="1"/>
  <c r="D63" i="4"/>
  <c r="P63" i="4"/>
  <c r="AM63" i="4"/>
  <c r="Y65" i="4"/>
  <c r="D69" i="4"/>
  <c r="T69" i="4"/>
  <c r="V70" i="4"/>
  <c r="Z73" i="4"/>
  <c r="J75" i="4"/>
  <c r="Z75" i="4"/>
  <c r="W77" i="4"/>
  <c r="Z79" i="4"/>
  <c r="V81" i="4"/>
  <c r="P84" i="4"/>
  <c r="W85" i="4"/>
  <c r="T86" i="4"/>
  <c r="D93" i="4"/>
  <c r="G100" i="4"/>
  <c r="G101" i="4"/>
  <c r="X101" i="4"/>
  <c r="C4" i="4"/>
  <c r="L4" i="4"/>
  <c r="U4" i="4"/>
  <c r="AK4" i="4"/>
  <c r="J8" i="4"/>
  <c r="T75" i="4"/>
  <c r="D85" i="4"/>
  <c r="K8" i="4"/>
  <c r="S8" i="4"/>
  <c r="M36" i="4"/>
  <c r="F70" i="4"/>
  <c r="AI70" i="4" s="1"/>
  <c r="H75" i="4"/>
  <c r="U77" i="4"/>
  <c r="T85" i="4"/>
  <c r="U6" i="4"/>
  <c r="E8" i="4"/>
  <c r="U8" i="4"/>
  <c r="H12" i="4"/>
  <c r="P12" i="4"/>
  <c r="X12" i="4"/>
  <c r="C13" i="4"/>
  <c r="C27" i="4"/>
  <c r="M28" i="4"/>
  <c r="Y32" i="4"/>
  <c r="O43" i="4"/>
  <c r="I46" i="4"/>
  <c r="E63" i="4"/>
  <c r="T63" i="4"/>
  <c r="G64" i="4"/>
  <c r="G69" i="4"/>
  <c r="W69" i="4"/>
  <c r="X70" i="4"/>
  <c r="M75" i="4"/>
  <c r="AK75" i="4"/>
  <c r="Y81" i="4"/>
  <c r="Y84" i="4"/>
  <c r="AH85" i="4"/>
  <c r="J100" i="4"/>
  <c r="H101" i="4"/>
  <c r="Z101" i="4"/>
  <c r="H3" i="4"/>
  <c r="P3" i="4"/>
  <c r="X3" i="4"/>
  <c r="AM3" i="4"/>
  <c r="Q3" i="4"/>
  <c r="Y3" i="4"/>
  <c r="I3" i="4"/>
  <c r="J3" i="4"/>
  <c r="R3" i="4"/>
  <c r="Z3" i="4"/>
  <c r="C3" i="4"/>
  <c r="K3" i="4"/>
  <c r="S3" i="4"/>
  <c r="AA3" i="4"/>
  <c r="D3" i="4"/>
  <c r="L3" i="4"/>
  <c r="T3" i="4"/>
  <c r="AH3" i="4"/>
  <c r="E3" i="4"/>
  <c r="M3" i="4"/>
  <c r="U3" i="4"/>
  <c r="F3" i="4"/>
  <c r="AI3" i="4" s="1"/>
  <c r="N3" i="4"/>
  <c r="V3" i="4"/>
  <c r="H4" i="4"/>
  <c r="P4" i="4"/>
  <c r="X4" i="4"/>
  <c r="W15" i="4"/>
  <c r="K15" i="4"/>
  <c r="V15" i="4"/>
  <c r="I15" i="4"/>
  <c r="T42" i="4"/>
  <c r="P48" i="4"/>
  <c r="Q15" i="4"/>
  <c r="J30" i="4"/>
  <c r="AK39" i="4"/>
  <c r="O39" i="4"/>
  <c r="L39" i="4"/>
  <c r="AM48" i="4"/>
  <c r="H65" i="4"/>
  <c r="AA76" i="4"/>
  <c r="F76" i="4"/>
  <c r="AI76" i="4" s="1"/>
  <c r="M97" i="4"/>
  <c r="C15" i="4"/>
  <c r="A277" i="6"/>
  <c r="F277" i="6" s="1"/>
  <c r="AA17" i="4"/>
  <c r="H17" i="4"/>
  <c r="Z17" i="4"/>
  <c r="G17" i="4"/>
  <c r="L30" i="4"/>
  <c r="J42" i="4"/>
  <c r="AK45" i="4"/>
  <c r="C45" i="4"/>
  <c r="T15" i="4"/>
  <c r="F17" i="4"/>
  <c r="AI17" i="4" s="1"/>
  <c r="AK36" i="4"/>
  <c r="W36" i="4"/>
  <c r="K36" i="4"/>
  <c r="U36" i="4"/>
  <c r="J36" i="4"/>
  <c r="W42" i="4"/>
  <c r="G48" i="4"/>
  <c r="Z50" i="4"/>
  <c r="D50" i="4"/>
  <c r="T50" i="4"/>
  <c r="E54" i="4"/>
  <c r="Q73" i="4"/>
  <c r="P73" i="4"/>
  <c r="Y15" i="4"/>
  <c r="G16" i="4"/>
  <c r="K17" i="4"/>
  <c r="T22" i="4"/>
  <c r="Y22" i="4"/>
  <c r="L22" i="4"/>
  <c r="W22" i="4"/>
  <c r="I22" i="4"/>
  <c r="O36" i="4"/>
  <c r="T40" i="4"/>
  <c r="Q40" i="4"/>
  <c r="M42" i="4"/>
  <c r="X48" i="4"/>
  <c r="H50" i="4"/>
  <c r="G68" i="4"/>
  <c r="M73" i="4"/>
  <c r="AK97" i="4"/>
  <c r="Z97" i="4"/>
  <c r="K97" i="4"/>
  <c r="W97" i="4"/>
  <c r="J97" i="4"/>
  <c r="V97" i="4"/>
  <c r="G97" i="4"/>
  <c r="C39" i="4"/>
  <c r="U42" i="4"/>
  <c r="Q48" i="4"/>
  <c r="R56" i="4"/>
  <c r="J56" i="4"/>
  <c r="M65" i="4"/>
  <c r="U65" i="4"/>
  <c r="T65" i="4"/>
  <c r="Z89" i="4"/>
  <c r="Y89" i="4"/>
  <c r="X89" i="4"/>
  <c r="AK20" i="4"/>
  <c r="U20" i="4"/>
  <c r="P20" i="4"/>
  <c r="V42" i="4"/>
  <c r="F48" i="4"/>
  <c r="AI48" i="4" s="1"/>
  <c r="I65" i="4"/>
  <c r="AA70" i="4"/>
  <c r="AH70" i="4"/>
  <c r="N70" i="4"/>
  <c r="Z70" i="4"/>
  <c r="L70" i="4"/>
  <c r="F16" i="4"/>
  <c r="AI16" i="4" s="1"/>
  <c r="U48" i="4"/>
  <c r="K65" i="4"/>
  <c r="AM70" i="4"/>
  <c r="AH82" i="4"/>
  <c r="X82" i="4"/>
  <c r="L82" i="4"/>
  <c r="V82" i="4"/>
  <c r="K82" i="4"/>
  <c r="AK87" i="4"/>
  <c r="AH87" i="4"/>
  <c r="Z87" i="4"/>
  <c r="O97" i="4"/>
  <c r="G15" i="4"/>
  <c r="U16" i="4"/>
  <c r="H20" i="4"/>
  <c r="N22" i="4"/>
  <c r="R30" i="4"/>
  <c r="W35" i="4"/>
  <c r="V35" i="4"/>
  <c r="S39" i="4"/>
  <c r="Z42" i="4"/>
  <c r="H48" i="4"/>
  <c r="F54" i="4"/>
  <c r="AI54" i="4" s="1"/>
  <c r="I67" i="4"/>
  <c r="H76" i="4"/>
  <c r="J81" i="4"/>
  <c r="C82" i="4"/>
  <c r="R82" i="4"/>
  <c r="Z95" i="4"/>
  <c r="AK95" i="4"/>
  <c r="P95" i="4"/>
  <c r="F95" i="4"/>
  <c r="AI95" i="4" s="1"/>
  <c r="AH95" i="4"/>
  <c r="O95" i="4"/>
  <c r="E95" i="4"/>
  <c r="Y95" i="4"/>
  <c r="N95" i="4"/>
  <c r="D95" i="4"/>
  <c r="S97" i="4"/>
  <c r="M2" i="4"/>
  <c r="G2" i="4"/>
  <c r="D12" i="5" s="1"/>
  <c r="F2" i="4"/>
  <c r="AI2" i="4" s="1"/>
  <c r="AH2" i="4" s="1"/>
  <c r="L8" i="4"/>
  <c r="H15" i="4"/>
  <c r="Z15" i="4"/>
  <c r="J16" i="4"/>
  <c r="V16" i="4"/>
  <c r="M17" i="4"/>
  <c r="M20" i="4"/>
  <c r="P22" i="4"/>
  <c r="AK26" i="4"/>
  <c r="AH26" i="4"/>
  <c r="T30" i="4"/>
  <c r="C36" i="4"/>
  <c r="R36" i="4"/>
  <c r="V39" i="4"/>
  <c r="N42" i="4"/>
  <c r="AH42" i="4"/>
  <c r="I48" i="4"/>
  <c r="Y48" i="4"/>
  <c r="M50" i="4"/>
  <c r="AA52" i="4"/>
  <c r="P52" i="4"/>
  <c r="C52" i="4"/>
  <c r="Z52" i="4"/>
  <c r="O52" i="4"/>
  <c r="N54" i="4"/>
  <c r="O65" i="4"/>
  <c r="J67" i="4"/>
  <c r="J68" i="4"/>
  <c r="P70" i="4"/>
  <c r="C72" i="4"/>
  <c r="N73" i="4"/>
  <c r="I76" i="4"/>
  <c r="AA78" i="4"/>
  <c r="H78" i="4"/>
  <c r="C78" i="4"/>
  <c r="N81" i="4"/>
  <c r="D82" i="4"/>
  <c r="T82" i="4"/>
  <c r="V83" i="4"/>
  <c r="Z83" i="4"/>
  <c r="N83" i="4"/>
  <c r="D87" i="4"/>
  <c r="E89" i="4"/>
  <c r="L95" i="4"/>
  <c r="AM95" i="4"/>
  <c r="U97" i="4"/>
  <c r="X6" i="4"/>
  <c r="L6" i="4"/>
  <c r="D6" i="4"/>
  <c r="L7" i="4"/>
  <c r="K7" i="4"/>
  <c r="A112" i="6"/>
  <c r="B112" i="6" s="1"/>
  <c r="AA8" i="4"/>
  <c r="N8" i="4"/>
  <c r="D8" i="4"/>
  <c r="A117" i="6"/>
  <c r="G117" i="6" s="1"/>
  <c r="Z8" i="4"/>
  <c r="M8" i="4"/>
  <c r="C8" i="4"/>
  <c r="L15" i="4"/>
  <c r="AA15" i="4"/>
  <c r="K16" i="4"/>
  <c r="O17" i="4"/>
  <c r="O20" i="4"/>
  <c r="Q22" i="4"/>
  <c r="T27" i="4"/>
  <c r="X27" i="4"/>
  <c r="P27" i="4"/>
  <c r="H28" i="4"/>
  <c r="G28" i="4"/>
  <c r="D36" i="4"/>
  <c r="S36" i="4"/>
  <c r="Z39" i="4"/>
  <c r="D42" i="4"/>
  <c r="AK43" i="4"/>
  <c r="D43" i="4"/>
  <c r="C43" i="4"/>
  <c r="N48" i="4"/>
  <c r="N50" i="4"/>
  <c r="AM52" i="4"/>
  <c r="O57" i="4"/>
  <c r="N57" i="4"/>
  <c r="W65" i="4"/>
  <c r="T70" i="4"/>
  <c r="V73" i="4"/>
  <c r="V76" i="4"/>
  <c r="F82" i="4"/>
  <c r="AI82" i="4" s="1"/>
  <c r="U82" i="4"/>
  <c r="I87" i="4"/>
  <c r="J89" i="4"/>
  <c r="M95" i="4"/>
  <c r="AA97" i="4"/>
  <c r="P15" i="4"/>
  <c r="A487" i="6"/>
  <c r="D487" i="6" s="1"/>
  <c r="H487" i="6" s="1"/>
  <c r="I487" i="6" s="1"/>
  <c r="V30" i="4"/>
  <c r="D30" i="4"/>
  <c r="U30" i="4"/>
  <c r="A700" i="6"/>
  <c r="G700" i="6" s="1"/>
  <c r="Y42" i="4"/>
  <c r="P42" i="4"/>
  <c r="G42" i="4"/>
  <c r="X42" i="4"/>
  <c r="O42" i="4"/>
  <c r="F42" i="4"/>
  <c r="AI42" i="4" s="1"/>
  <c r="W48" i="4"/>
  <c r="M48" i="4"/>
  <c r="V48" i="4"/>
  <c r="J48" i="4"/>
  <c r="AH68" i="4"/>
  <c r="Z68" i="4"/>
  <c r="V68" i="4"/>
  <c r="N72" i="4"/>
  <c r="AK72" i="4"/>
  <c r="AA72" i="4"/>
  <c r="R14" i="4"/>
  <c r="I14" i="4"/>
  <c r="G14" i="4"/>
  <c r="AM15" i="4"/>
  <c r="I42" i="4"/>
  <c r="AM42" i="4"/>
  <c r="E48" i="4"/>
  <c r="AM54" i="4"/>
  <c r="AK54" i="4"/>
  <c r="D54" i="4"/>
  <c r="Z54" i="4"/>
  <c r="R15" i="4"/>
  <c r="A255" i="6"/>
  <c r="J255" i="6" s="1"/>
  <c r="Z16" i="4"/>
  <c r="N16" i="4"/>
  <c r="D16" i="4"/>
  <c r="W16" i="4"/>
  <c r="M16" i="4"/>
  <c r="C16" i="4"/>
  <c r="F20" i="4"/>
  <c r="AI20" i="4" s="1"/>
  <c r="F39" i="4"/>
  <c r="AI39" i="4" s="1"/>
  <c r="R48" i="4"/>
  <c r="T67" i="4"/>
  <c r="Z67" i="4"/>
  <c r="H67" i="4"/>
  <c r="W67" i="4"/>
  <c r="D67" i="4"/>
  <c r="J70" i="4"/>
  <c r="D15" i="4"/>
  <c r="T16" i="4"/>
  <c r="G20" i="4"/>
  <c r="AM20" i="4"/>
  <c r="M30" i="4"/>
  <c r="N36" i="4"/>
  <c r="J39" i="4"/>
  <c r="L42" i="4"/>
  <c r="AM67" i="4"/>
  <c r="K70" i="4"/>
  <c r="J73" i="4"/>
  <c r="AK81" i="4"/>
  <c r="AH81" i="4"/>
  <c r="M81" i="4"/>
  <c r="Z81" i="4"/>
  <c r="L81" i="4"/>
  <c r="H5" i="4"/>
  <c r="G7" i="4"/>
  <c r="AM7" i="4"/>
  <c r="R8" i="4"/>
  <c r="N15" i="4"/>
  <c r="AK15" i="4"/>
  <c r="L16" i="4"/>
  <c r="AH16" i="4"/>
  <c r="T17" i="4"/>
  <c r="V20" i="4"/>
  <c r="T21" i="4"/>
  <c r="K21" i="4"/>
  <c r="J21" i="4"/>
  <c r="R22" i="4"/>
  <c r="Y23" i="4"/>
  <c r="X23" i="4"/>
  <c r="D26" i="4"/>
  <c r="J27" i="4"/>
  <c r="E28" i="4"/>
  <c r="AK30" i="4"/>
  <c r="E36" i="4"/>
  <c r="T36" i="4"/>
  <c r="V37" i="4"/>
  <c r="O37" i="4"/>
  <c r="AA39" i="4"/>
  <c r="E42" i="4"/>
  <c r="R42" i="4"/>
  <c r="AK42" i="4"/>
  <c r="O48" i="4"/>
  <c r="AK48" i="4"/>
  <c r="Q50" i="4"/>
  <c r="R52" i="4"/>
  <c r="P54" i="4"/>
  <c r="S56" i="4"/>
  <c r="AK58" i="4"/>
  <c r="P58" i="4"/>
  <c r="M58" i="4"/>
  <c r="AM61" i="4"/>
  <c r="X65" i="4"/>
  <c r="Q67" i="4"/>
  <c r="T68" i="4"/>
  <c r="D70" i="4"/>
  <c r="U70" i="4"/>
  <c r="Z72" i="4"/>
  <c r="X73" i="4"/>
  <c r="W76" i="4"/>
  <c r="G77" i="4"/>
  <c r="E77" i="4"/>
  <c r="T81" i="4"/>
  <c r="G82" i="4"/>
  <c r="Z82" i="4"/>
  <c r="L87" i="4"/>
  <c r="M89" i="4"/>
  <c r="Z93" i="4"/>
  <c r="Y93" i="4"/>
  <c r="R93" i="4"/>
  <c r="R95" i="4"/>
  <c r="C97" i="4"/>
  <c r="AK19" i="4"/>
  <c r="Z64" i="4"/>
  <c r="L69" i="4"/>
  <c r="AA69" i="4"/>
  <c r="AH79" i="4"/>
  <c r="R101" i="4"/>
  <c r="AM101" i="4"/>
  <c r="Q75" i="4"/>
  <c r="D101" i="4"/>
  <c r="S101" i="4"/>
  <c r="C5" i="4"/>
  <c r="AK5" i="4" s="1"/>
  <c r="D5" i="4"/>
  <c r="M5" i="4"/>
  <c r="AM5" i="4"/>
  <c r="E5" i="4"/>
  <c r="N5" i="4"/>
  <c r="F5" i="4"/>
  <c r="X29" i="4"/>
  <c r="S29" i="4"/>
  <c r="R29" i="4"/>
  <c r="H29" i="4"/>
  <c r="G29" i="4"/>
  <c r="Z88" i="4"/>
  <c r="AH88" i="4"/>
  <c r="R88" i="4"/>
  <c r="G88" i="4"/>
  <c r="X88" i="4"/>
  <c r="N88" i="4"/>
  <c r="C88" i="4"/>
  <c r="W88" i="4"/>
  <c r="L88" i="4"/>
  <c r="Y88" i="4"/>
  <c r="I88" i="4"/>
  <c r="V88" i="4"/>
  <c r="F88" i="4"/>
  <c r="AI88" i="4" s="1"/>
  <c r="T88" i="4"/>
  <c r="D88" i="4"/>
  <c r="AK88" i="4"/>
  <c r="AA88" i="4"/>
  <c r="O88" i="4"/>
  <c r="S88" i="4"/>
  <c r="P88" i="4"/>
  <c r="A153" i="6"/>
  <c r="F153" i="6" s="1"/>
  <c r="Z10" i="4"/>
  <c r="J10" i="4"/>
  <c r="X10" i="4"/>
  <c r="F10" i="4"/>
  <c r="AI10" i="4" s="1"/>
  <c r="A158" i="6"/>
  <c r="C158" i="6" s="1"/>
  <c r="Y10" i="4"/>
  <c r="H10" i="4"/>
  <c r="G10" i="4"/>
  <c r="T10" i="4"/>
  <c r="A560" i="6"/>
  <c r="J560" i="6" s="1"/>
  <c r="X34" i="4"/>
  <c r="O34" i="4"/>
  <c r="F34" i="4"/>
  <c r="AI34" i="4" s="1"/>
  <c r="AM34" i="4"/>
  <c r="W34" i="4"/>
  <c r="N34" i="4"/>
  <c r="E34" i="4"/>
  <c r="AK34" i="4"/>
  <c r="R34" i="4"/>
  <c r="G34" i="4"/>
  <c r="M34" i="4"/>
  <c r="Q34" i="4"/>
  <c r="D34" i="4"/>
  <c r="L34" i="4"/>
  <c r="AH34" i="4"/>
  <c r="P34" i="4"/>
  <c r="Y34" i="4"/>
  <c r="Z34" i="4"/>
  <c r="AK23" i="4"/>
  <c r="T23" i="4"/>
  <c r="K23" i="4"/>
  <c r="H23" i="4"/>
  <c r="AH23" i="4"/>
  <c r="S23" i="4"/>
  <c r="J23" i="4"/>
  <c r="Z23" i="4"/>
  <c r="AA23" i="4"/>
  <c r="R23" i="4"/>
  <c r="I23" i="4"/>
  <c r="Q23" i="4"/>
  <c r="G44" i="4"/>
  <c r="A633" i="6"/>
  <c r="G633" i="6" s="1"/>
  <c r="T38" i="4"/>
  <c r="J38" i="4"/>
  <c r="AH38" i="4"/>
  <c r="R38" i="4"/>
  <c r="I38" i="4"/>
  <c r="AK38" i="4"/>
  <c r="P38" i="4"/>
  <c r="E38" i="4"/>
  <c r="Z38" i="4"/>
  <c r="O38" i="4"/>
  <c r="D38" i="4"/>
  <c r="W38" i="4"/>
  <c r="L38" i="4"/>
  <c r="Y38" i="4"/>
  <c r="N38" i="4"/>
  <c r="X38" i="4"/>
  <c r="M38" i="4"/>
  <c r="T66" i="4"/>
  <c r="D66" i="4"/>
  <c r="AK66" i="4"/>
  <c r="Z66" i="4"/>
  <c r="L66" i="4"/>
  <c r="M66" i="4"/>
  <c r="K66" i="4"/>
  <c r="X66" i="4"/>
  <c r="V66" i="4"/>
  <c r="U66" i="4"/>
  <c r="O66" i="4"/>
  <c r="P66" i="4"/>
  <c r="AM88" i="4"/>
  <c r="J14" i="4"/>
  <c r="F25" i="4"/>
  <c r="AI25" i="4" s="1"/>
  <c r="F38" i="4"/>
  <c r="AI38" i="4" s="1"/>
  <c r="D10" i="4"/>
  <c r="L21" i="4"/>
  <c r="AM21" i="4"/>
  <c r="O23" i="4"/>
  <c r="J25" i="4"/>
  <c r="AA26" i="4"/>
  <c r="A427" i="6"/>
  <c r="L427" i="6" s="1"/>
  <c r="Z26" i="4"/>
  <c r="Q26" i="4"/>
  <c r="H26" i="4"/>
  <c r="W26" i="4"/>
  <c r="E26" i="4"/>
  <c r="Y26" i="4"/>
  <c r="P26" i="4"/>
  <c r="G26" i="4"/>
  <c r="N26" i="4"/>
  <c r="X26" i="4"/>
  <c r="O26" i="4"/>
  <c r="F26" i="4"/>
  <c r="AI26" i="4" s="1"/>
  <c r="I34" i="4"/>
  <c r="H38" i="4"/>
  <c r="AA40" i="4"/>
  <c r="S40" i="4"/>
  <c r="K40" i="4"/>
  <c r="C40" i="4"/>
  <c r="Z40" i="4"/>
  <c r="R40" i="4"/>
  <c r="J40" i="4"/>
  <c r="AH40" i="4"/>
  <c r="P40" i="4"/>
  <c r="F40" i="4"/>
  <c r="AI40" i="4" s="1"/>
  <c r="Y40" i="4"/>
  <c r="O40" i="4"/>
  <c r="E40" i="4"/>
  <c r="V40" i="4"/>
  <c r="X40" i="4"/>
  <c r="N40" i="4"/>
  <c r="D40" i="4"/>
  <c r="L40" i="4"/>
  <c r="W40" i="4"/>
  <c r="M40" i="4"/>
  <c r="K44" i="4"/>
  <c r="AM56" i="4"/>
  <c r="AK56" i="4"/>
  <c r="U56" i="4"/>
  <c r="M56" i="4"/>
  <c r="E56" i="4"/>
  <c r="AH56" i="4"/>
  <c r="T56" i="4"/>
  <c r="L56" i="4"/>
  <c r="D56" i="4"/>
  <c r="AA56" i="4"/>
  <c r="Q56" i="4"/>
  <c r="G56" i="4"/>
  <c r="Z56" i="4"/>
  <c r="P56" i="4"/>
  <c r="F56" i="4"/>
  <c r="AI56" i="4" s="1"/>
  <c r="K56" i="4"/>
  <c r="Y56" i="4"/>
  <c r="O56" i="4"/>
  <c r="C56" i="4"/>
  <c r="W56" i="4"/>
  <c r="X56" i="4"/>
  <c r="N56" i="4"/>
  <c r="M10" i="4"/>
  <c r="P23" i="4"/>
  <c r="O25" i="4"/>
  <c r="Q38" i="4"/>
  <c r="A724" i="6"/>
  <c r="C724" i="6" s="1"/>
  <c r="Z44" i="4"/>
  <c r="R44" i="4"/>
  <c r="J44" i="4"/>
  <c r="Y44" i="4"/>
  <c r="Q44" i="4"/>
  <c r="I44" i="4"/>
  <c r="AH44" i="4"/>
  <c r="P44" i="4"/>
  <c r="F44" i="4"/>
  <c r="AI44" i="4" s="1"/>
  <c r="AA44" i="4"/>
  <c r="O44" i="4"/>
  <c r="E44" i="4"/>
  <c r="L44" i="4"/>
  <c r="X44" i="4"/>
  <c r="N44" i="4"/>
  <c r="D44" i="4"/>
  <c r="V44" i="4"/>
  <c r="W44" i="4"/>
  <c r="M44" i="4"/>
  <c r="C44" i="4"/>
  <c r="A219" i="6"/>
  <c r="B219" i="6" s="1"/>
  <c r="Y14" i="4"/>
  <c r="O14" i="4"/>
  <c r="E14" i="4"/>
  <c r="AM14" i="4"/>
  <c r="X14" i="4"/>
  <c r="N14" i="4"/>
  <c r="D14" i="4"/>
  <c r="W14" i="4"/>
  <c r="M14" i="4"/>
  <c r="V14" i="4"/>
  <c r="L14" i="4"/>
  <c r="P14" i="4"/>
  <c r="N23" i="4"/>
  <c r="G25" i="4"/>
  <c r="G38" i="4"/>
  <c r="H9" i="4"/>
  <c r="T14" i="4"/>
  <c r="S21" i="4"/>
  <c r="M26" i="4"/>
  <c r="AM26" i="4"/>
  <c r="AH28" i="4"/>
  <c r="T28" i="4"/>
  <c r="L28" i="4"/>
  <c r="D28" i="4"/>
  <c r="Y28" i="4"/>
  <c r="Q28" i="4"/>
  <c r="I28" i="4"/>
  <c r="AA28" i="4"/>
  <c r="S28" i="4"/>
  <c r="K28" i="4"/>
  <c r="C28" i="4"/>
  <c r="Z28" i="4"/>
  <c r="R28" i="4"/>
  <c r="J28" i="4"/>
  <c r="AM28" i="4"/>
  <c r="X28" i="4"/>
  <c r="P28" i="4"/>
  <c r="J34" i="4"/>
  <c r="G40" i="4"/>
  <c r="AM40" i="4"/>
  <c r="AA46" i="4"/>
  <c r="Z46" i="4"/>
  <c r="Q46" i="4"/>
  <c r="H46" i="4"/>
  <c r="Y46" i="4"/>
  <c r="P46" i="4"/>
  <c r="G46" i="4"/>
  <c r="O46" i="4"/>
  <c r="D46" i="4"/>
  <c r="AH46" i="4"/>
  <c r="N46" i="4"/>
  <c r="V46" i="4"/>
  <c r="J46" i="4"/>
  <c r="X46" i="4"/>
  <c r="M46" i="4"/>
  <c r="W46" i="4"/>
  <c r="L46" i="4"/>
  <c r="AK7" i="4"/>
  <c r="R7" i="4"/>
  <c r="D7" i="4"/>
  <c r="Y7" i="4"/>
  <c r="AH7" i="4"/>
  <c r="P7" i="4"/>
  <c r="C7" i="4"/>
  <c r="AA7" i="4"/>
  <c r="N7" i="4"/>
  <c r="A94" i="6"/>
  <c r="P94" i="6" s="1"/>
  <c r="O10" i="4"/>
  <c r="U14" i="4"/>
  <c r="N20" i="4"/>
  <c r="C23" i="4"/>
  <c r="V23" i="4"/>
  <c r="R26" i="4"/>
  <c r="N28" i="4"/>
  <c r="AH29" i="4"/>
  <c r="T34" i="4"/>
  <c r="U38" i="4"/>
  <c r="H40" i="4"/>
  <c r="T44" i="4"/>
  <c r="E46" i="4"/>
  <c r="AM46" i="4"/>
  <c r="AA51" i="4"/>
  <c r="V51" i="4"/>
  <c r="D51" i="4"/>
  <c r="S51" i="4"/>
  <c r="C51" i="4"/>
  <c r="AK51" i="4"/>
  <c r="J51" i="4"/>
  <c r="AH51" i="4"/>
  <c r="F51" i="4"/>
  <c r="AI51" i="4" s="1"/>
  <c r="Z51" i="4"/>
  <c r="R51" i="4"/>
  <c r="W51" i="4"/>
  <c r="Z53" i="4"/>
  <c r="AK53" i="4"/>
  <c r="K53" i="4"/>
  <c r="AA53" i="4"/>
  <c r="J53" i="4"/>
  <c r="X53" i="4"/>
  <c r="C53" i="4"/>
  <c r="W53" i="4"/>
  <c r="P53" i="4"/>
  <c r="V53" i="4"/>
  <c r="R53" i="4"/>
  <c r="H56" i="4"/>
  <c r="X61" i="4"/>
  <c r="P61" i="4"/>
  <c r="H61" i="4"/>
  <c r="AH61" i="4"/>
  <c r="T61" i="4"/>
  <c r="L61" i="4"/>
  <c r="D61" i="4"/>
  <c r="Y61" i="4"/>
  <c r="N61" i="4"/>
  <c r="C61" i="4"/>
  <c r="W61" i="4"/>
  <c r="M61" i="4"/>
  <c r="AK61" i="4"/>
  <c r="O61" i="4"/>
  <c r="AA61" i="4"/>
  <c r="K61" i="4"/>
  <c r="G61" i="4"/>
  <c r="Z61" i="4"/>
  <c r="J61" i="4"/>
  <c r="U61" i="4"/>
  <c r="V61" i="4"/>
  <c r="I61" i="4"/>
  <c r="C66" i="4"/>
  <c r="J88" i="4"/>
  <c r="AK25" i="4"/>
  <c r="Z25" i="4"/>
  <c r="D25" i="4"/>
  <c r="P25" i="4"/>
  <c r="T25" i="4"/>
  <c r="R25" i="4"/>
  <c r="AK41" i="4"/>
  <c r="N41" i="4"/>
  <c r="K41" i="4"/>
  <c r="X41" i="4"/>
  <c r="R41" i="4"/>
  <c r="O41" i="4"/>
  <c r="F41" i="4"/>
  <c r="AI41" i="4" s="1"/>
  <c r="H41" i="4"/>
  <c r="L23" i="4"/>
  <c r="AM44" i="4"/>
  <c r="AK9" i="4"/>
  <c r="V9" i="4"/>
  <c r="D9" i="4"/>
  <c r="A135" i="6"/>
  <c r="C135" i="6" s="1"/>
  <c r="T9" i="4"/>
  <c r="S9" i="4"/>
  <c r="R9" i="4"/>
  <c r="AH21" i="4"/>
  <c r="P21" i="4"/>
  <c r="F21" i="4"/>
  <c r="AI21" i="4" s="1"/>
  <c r="C21" i="4"/>
  <c r="Z21" i="4"/>
  <c r="O21" i="4"/>
  <c r="E21" i="4"/>
  <c r="W21" i="4"/>
  <c r="X21" i="4"/>
  <c r="N21" i="4"/>
  <c r="D21" i="4"/>
  <c r="M21" i="4"/>
  <c r="AM23" i="4"/>
  <c r="H34" i="4"/>
  <c r="H44" i="4"/>
  <c r="K9" i="4"/>
  <c r="P10" i="4"/>
  <c r="F14" i="4"/>
  <c r="AI14" i="4" s="1"/>
  <c r="AH14" i="4"/>
  <c r="AH20" i="4"/>
  <c r="T20" i="4"/>
  <c r="L20" i="4"/>
  <c r="D20" i="4"/>
  <c r="Q20" i="4"/>
  <c r="AA20" i="4"/>
  <c r="S20" i="4"/>
  <c r="K20" i="4"/>
  <c r="C20" i="4"/>
  <c r="Y20" i="4"/>
  <c r="I20" i="4"/>
  <c r="A316" i="6"/>
  <c r="F316" i="6" s="1"/>
  <c r="Z20" i="4"/>
  <c r="R20" i="4"/>
  <c r="J20" i="4"/>
  <c r="U21" i="4"/>
  <c r="D23" i="4"/>
  <c r="W23" i="4"/>
  <c r="AH25" i="4"/>
  <c r="T26" i="4"/>
  <c r="O28" i="4"/>
  <c r="AK29" i="4"/>
  <c r="U34" i="4"/>
  <c r="V38" i="4"/>
  <c r="I40" i="4"/>
  <c r="AA41" i="4"/>
  <c r="U44" i="4"/>
  <c r="F46" i="4"/>
  <c r="AI46" i="4" s="1"/>
  <c r="I56" i="4"/>
  <c r="F66" i="4"/>
  <c r="AI66" i="4" s="1"/>
  <c r="W71" i="4"/>
  <c r="AK71" i="4"/>
  <c r="K88" i="4"/>
  <c r="W92" i="4"/>
  <c r="N92" i="4"/>
  <c r="E30" i="4"/>
  <c r="N30" i="4"/>
  <c r="W30" i="4"/>
  <c r="AM30" i="4"/>
  <c r="I32" i="4"/>
  <c r="AA50" i="4"/>
  <c r="Y50" i="4"/>
  <c r="P50" i="4"/>
  <c r="G50" i="4"/>
  <c r="X50" i="4"/>
  <c r="O50" i="4"/>
  <c r="F50" i="4"/>
  <c r="AI50" i="4" s="1"/>
  <c r="G54" i="4"/>
  <c r="U54" i="4"/>
  <c r="AK55" i="4"/>
  <c r="O55" i="4"/>
  <c r="N55" i="4"/>
  <c r="L72" i="4"/>
  <c r="AM72" i="4"/>
  <c r="AK77" i="4"/>
  <c r="V77" i="4"/>
  <c r="N77" i="4"/>
  <c r="F77" i="4"/>
  <c r="AI77" i="4" s="1"/>
  <c r="AA77" i="4"/>
  <c r="S77" i="4"/>
  <c r="K77" i="4"/>
  <c r="C77" i="4"/>
  <c r="Z77" i="4"/>
  <c r="R77" i="4"/>
  <c r="J77" i="4"/>
  <c r="P77" i="4"/>
  <c r="D77" i="4"/>
  <c r="AH77" i="4"/>
  <c r="O77" i="4"/>
  <c r="Y77" i="4"/>
  <c r="M77" i="4"/>
  <c r="J85" i="4"/>
  <c r="AM85" i="4"/>
  <c r="AM89" i="4"/>
  <c r="W89" i="4"/>
  <c r="O89" i="4"/>
  <c r="G89" i="4"/>
  <c r="AH89" i="4"/>
  <c r="T89" i="4"/>
  <c r="L89" i="4"/>
  <c r="D89" i="4"/>
  <c r="AA89" i="4"/>
  <c r="S89" i="4"/>
  <c r="K89" i="4"/>
  <c r="C89" i="4"/>
  <c r="V89" i="4"/>
  <c r="I89" i="4"/>
  <c r="U89" i="4"/>
  <c r="H89" i="4"/>
  <c r="R89" i="4"/>
  <c r="F89" i="4"/>
  <c r="AI89" i="4" s="1"/>
  <c r="AA32" i="4"/>
  <c r="S32" i="4"/>
  <c r="K32" i="4"/>
  <c r="Z32" i="4"/>
  <c r="R32" i="4"/>
  <c r="J32" i="4"/>
  <c r="AA54" i="4"/>
  <c r="T54" i="4"/>
  <c r="J54" i="4"/>
  <c r="AH54" i="4"/>
  <c r="R54" i="4"/>
  <c r="I54" i="4"/>
  <c r="A396" i="6"/>
  <c r="P396" i="6" s="1"/>
  <c r="A380" i="6"/>
  <c r="J380" i="6" s="1"/>
  <c r="D27" i="4"/>
  <c r="S27" i="4"/>
  <c r="AM27" i="4"/>
  <c r="F30" i="4"/>
  <c r="AI30" i="4" s="1"/>
  <c r="O30" i="4"/>
  <c r="X30" i="4"/>
  <c r="L32" i="4"/>
  <c r="V32" i="4"/>
  <c r="AK37" i="4"/>
  <c r="AA37" i="4"/>
  <c r="F37" i="4"/>
  <c r="AI37" i="4" s="1"/>
  <c r="X37" i="4"/>
  <c r="I50" i="4"/>
  <c r="U50" i="4"/>
  <c r="AM50" i="4"/>
  <c r="U52" i="4"/>
  <c r="M52" i="4"/>
  <c r="E52" i="4"/>
  <c r="AH52" i="4"/>
  <c r="T52" i="4"/>
  <c r="L52" i="4"/>
  <c r="D52" i="4"/>
  <c r="H54" i="4"/>
  <c r="V54" i="4"/>
  <c r="C55" i="4"/>
  <c r="O58" i="4"/>
  <c r="D64" i="4"/>
  <c r="C68" i="4"/>
  <c r="I77" i="4"/>
  <c r="AM77" i="4"/>
  <c r="N89" i="4"/>
  <c r="T32" i="4"/>
  <c r="Q54" i="4"/>
  <c r="AH72" i="4"/>
  <c r="S72" i="4"/>
  <c r="J72" i="4"/>
  <c r="Y72" i="4"/>
  <c r="P72" i="4"/>
  <c r="G72" i="4"/>
  <c r="X72" i="4"/>
  <c r="O72" i="4"/>
  <c r="F72" i="4"/>
  <c r="AI72" i="4" s="1"/>
  <c r="W72" i="4"/>
  <c r="I72" i="4"/>
  <c r="V72" i="4"/>
  <c r="H72" i="4"/>
  <c r="T72" i="4"/>
  <c r="D72" i="4"/>
  <c r="Y85" i="4"/>
  <c r="Q85" i="4"/>
  <c r="I85" i="4"/>
  <c r="AK85" i="4"/>
  <c r="V85" i="4"/>
  <c r="N85" i="4"/>
  <c r="F85" i="4"/>
  <c r="AI85" i="4" s="1"/>
  <c r="U85" i="4"/>
  <c r="M85" i="4"/>
  <c r="E85" i="4"/>
  <c r="AA85" i="4"/>
  <c r="O85" i="4"/>
  <c r="Z85" i="4"/>
  <c r="L85" i="4"/>
  <c r="X85" i="4"/>
  <c r="K85" i="4"/>
  <c r="U32" i="4"/>
  <c r="V8" i="4"/>
  <c r="G8" i="4"/>
  <c r="O8" i="4"/>
  <c r="W8" i="4"/>
  <c r="AM8" i="4"/>
  <c r="H16" i="4"/>
  <c r="P16" i="4"/>
  <c r="X16" i="4"/>
  <c r="AM16" i="4"/>
  <c r="P17" i="4"/>
  <c r="G24" i="4"/>
  <c r="O24" i="4"/>
  <c r="W24" i="4"/>
  <c r="AM24" i="4"/>
  <c r="F27" i="4"/>
  <c r="AI27" i="4" s="1"/>
  <c r="G30" i="4"/>
  <c r="P30" i="4"/>
  <c r="Y30" i="4"/>
  <c r="C32" i="4"/>
  <c r="M32" i="4"/>
  <c r="W32" i="4"/>
  <c r="Y36" i="4"/>
  <c r="Q36" i="4"/>
  <c r="I36" i="4"/>
  <c r="AM36" i="4"/>
  <c r="X36" i="4"/>
  <c r="P36" i="4"/>
  <c r="H36" i="4"/>
  <c r="X45" i="4"/>
  <c r="P45" i="4"/>
  <c r="O45" i="4"/>
  <c r="J50" i="4"/>
  <c r="V50" i="4"/>
  <c r="L54" i="4"/>
  <c r="W54" i="4"/>
  <c r="F55" i="4"/>
  <c r="AI55" i="4" s="1"/>
  <c r="AA58" i="4"/>
  <c r="AM58" i="4"/>
  <c r="W58" i="4"/>
  <c r="N58" i="4"/>
  <c r="E58" i="4"/>
  <c r="AH58" i="4"/>
  <c r="R58" i="4"/>
  <c r="I58" i="4"/>
  <c r="X58" i="4"/>
  <c r="L58" i="4"/>
  <c r="V58" i="4"/>
  <c r="J58" i="4"/>
  <c r="AM64" i="4"/>
  <c r="Q64" i="4"/>
  <c r="C64" i="4"/>
  <c r="Y64" i="4"/>
  <c r="K64" i="4"/>
  <c r="V64" i="4"/>
  <c r="T64" i="4"/>
  <c r="Z65" i="4"/>
  <c r="R65" i="4"/>
  <c r="J65" i="4"/>
  <c r="AK65" i="4"/>
  <c r="V65" i="4"/>
  <c r="N65" i="4"/>
  <c r="F65" i="4"/>
  <c r="AI65" i="4" s="1"/>
  <c r="AH65" i="4"/>
  <c r="Q65" i="4"/>
  <c r="G65" i="4"/>
  <c r="AA65" i="4"/>
  <c r="P65" i="4"/>
  <c r="E65" i="4"/>
  <c r="AA68" i="4"/>
  <c r="AK68" i="4"/>
  <c r="Q68" i="4"/>
  <c r="F68" i="4"/>
  <c r="AI68" i="4" s="1"/>
  <c r="Y68" i="4"/>
  <c r="L68" i="4"/>
  <c r="X68" i="4"/>
  <c r="K68" i="4"/>
  <c r="P68" i="4"/>
  <c r="O68" i="4"/>
  <c r="Q72" i="4"/>
  <c r="L77" i="4"/>
  <c r="R85" i="4"/>
  <c r="AK86" i="4"/>
  <c r="U86" i="4"/>
  <c r="L86" i="4"/>
  <c r="C86" i="4"/>
  <c r="AA86" i="4"/>
  <c r="R86" i="4"/>
  <c r="H86" i="4"/>
  <c r="Z86" i="4"/>
  <c r="P86" i="4"/>
  <c r="G86" i="4"/>
  <c r="X86" i="4"/>
  <c r="K86" i="4"/>
  <c r="W86" i="4"/>
  <c r="J86" i="4"/>
  <c r="V86" i="4"/>
  <c r="F86" i="4"/>
  <c r="AI86" i="4" s="1"/>
  <c r="P89" i="4"/>
  <c r="AA93" i="4"/>
  <c r="S93" i="4"/>
  <c r="K93" i="4"/>
  <c r="C93" i="4"/>
  <c r="X93" i="4"/>
  <c r="P93" i="4"/>
  <c r="H93" i="4"/>
  <c r="AM93" i="4"/>
  <c r="W93" i="4"/>
  <c r="O93" i="4"/>
  <c r="G93" i="4"/>
  <c r="V93" i="4"/>
  <c r="J93" i="4"/>
  <c r="U93" i="4"/>
  <c r="I93" i="4"/>
  <c r="T93" i="4"/>
  <c r="F93" i="4"/>
  <c r="AI93" i="4" s="1"/>
  <c r="AH27" i="4"/>
  <c r="A434" i="6"/>
  <c r="Q434" i="6" s="1"/>
  <c r="H8" i="4"/>
  <c r="P8" i="4"/>
  <c r="X8" i="4"/>
  <c r="A181" i="6"/>
  <c r="B181" i="6" s="1"/>
  <c r="A176" i="6"/>
  <c r="P176" i="6" s="1"/>
  <c r="AH15" i="4"/>
  <c r="A237" i="6"/>
  <c r="B237" i="6" s="1"/>
  <c r="I16" i="4"/>
  <c r="Q16" i="4"/>
  <c r="Y16" i="4"/>
  <c r="D17" i="4"/>
  <c r="R17" i="4"/>
  <c r="J19" i="4"/>
  <c r="H22" i="4"/>
  <c r="U22" i="4"/>
  <c r="AM22" i="4"/>
  <c r="H24" i="4"/>
  <c r="P24" i="4"/>
  <c r="X24" i="4"/>
  <c r="H27" i="4"/>
  <c r="V27" i="4"/>
  <c r="H30" i="4"/>
  <c r="Q30" i="4"/>
  <c r="Z30" i="4"/>
  <c r="D32" i="4"/>
  <c r="N32" i="4"/>
  <c r="X32" i="4"/>
  <c r="AK35" i="4"/>
  <c r="AH35" i="4"/>
  <c r="C35" i="4"/>
  <c r="Z35" i="4"/>
  <c r="L36" i="4"/>
  <c r="V36" i="4"/>
  <c r="H37" i="4"/>
  <c r="AH48" i="4"/>
  <c r="T48" i="4"/>
  <c r="L48" i="4"/>
  <c r="D48" i="4"/>
  <c r="AA48" i="4"/>
  <c r="S48" i="4"/>
  <c r="K48" i="4"/>
  <c r="C48" i="4"/>
  <c r="L50" i="4"/>
  <c r="W50" i="4"/>
  <c r="K52" i="4"/>
  <c r="W52" i="4"/>
  <c r="M54" i="4"/>
  <c r="X54" i="4"/>
  <c r="L55" i="4"/>
  <c r="AK57" i="4"/>
  <c r="Z57" i="4"/>
  <c r="X57" i="4"/>
  <c r="R57" i="4"/>
  <c r="Q58" i="4"/>
  <c r="H64" i="4"/>
  <c r="C65" i="4"/>
  <c r="S65" i="4"/>
  <c r="AM65" i="4"/>
  <c r="H68" i="4"/>
  <c r="R72" i="4"/>
  <c r="Q77" i="4"/>
  <c r="S85" i="4"/>
  <c r="M86" i="4"/>
  <c r="AM86" i="4"/>
  <c r="Q89" i="4"/>
  <c r="N93" i="4"/>
  <c r="AM73" i="4"/>
  <c r="W73" i="4"/>
  <c r="O73" i="4"/>
  <c r="G73" i="4"/>
  <c r="AH73" i="4"/>
  <c r="T73" i="4"/>
  <c r="L73" i="4"/>
  <c r="D73" i="4"/>
  <c r="AA73" i="4"/>
  <c r="S73" i="4"/>
  <c r="K73" i="4"/>
  <c r="C73" i="4"/>
  <c r="AA100" i="4"/>
  <c r="AK100" i="4"/>
  <c r="Q100" i="4"/>
  <c r="F100" i="4"/>
  <c r="AI100" i="4" s="1"/>
  <c r="Y100" i="4"/>
  <c r="L100" i="4"/>
  <c r="X100" i="4"/>
  <c r="K100" i="4"/>
  <c r="Z63" i="4"/>
  <c r="W63" i="4"/>
  <c r="M63" i="4"/>
  <c r="R63" i="4"/>
  <c r="G63" i="4"/>
  <c r="C69" i="4"/>
  <c r="P69" i="4"/>
  <c r="F73" i="4"/>
  <c r="AI73" i="4" s="1"/>
  <c r="R73" i="4"/>
  <c r="D81" i="4"/>
  <c r="Q81" i="4"/>
  <c r="V94" i="4"/>
  <c r="P94" i="4"/>
  <c r="E97" i="4"/>
  <c r="R97" i="4"/>
  <c r="O100" i="4"/>
  <c r="C101" i="4"/>
  <c r="P101" i="4"/>
  <c r="N39" i="4"/>
  <c r="Y69" i="4"/>
  <c r="Q69" i="4"/>
  <c r="I69" i="4"/>
  <c r="AK69" i="4"/>
  <c r="V69" i="4"/>
  <c r="N69" i="4"/>
  <c r="F69" i="4"/>
  <c r="AI69" i="4" s="1"/>
  <c r="U69" i="4"/>
  <c r="M69" i="4"/>
  <c r="E69" i="4"/>
  <c r="H73" i="4"/>
  <c r="U73" i="4"/>
  <c r="AA81" i="4"/>
  <c r="S81" i="4"/>
  <c r="K81" i="4"/>
  <c r="C81" i="4"/>
  <c r="X81" i="4"/>
  <c r="P81" i="4"/>
  <c r="H81" i="4"/>
  <c r="AM81" i="4"/>
  <c r="W81" i="4"/>
  <c r="O81" i="4"/>
  <c r="G81" i="4"/>
  <c r="AK84" i="4"/>
  <c r="K84" i="4"/>
  <c r="T84" i="4"/>
  <c r="S84" i="4"/>
  <c r="AH97" i="4"/>
  <c r="T97" i="4"/>
  <c r="L97" i="4"/>
  <c r="D97" i="4"/>
  <c r="Y97" i="4"/>
  <c r="Q97" i="4"/>
  <c r="I97" i="4"/>
  <c r="AM97" i="4"/>
  <c r="X97" i="4"/>
  <c r="P97" i="4"/>
  <c r="H97" i="4"/>
  <c r="P100" i="4"/>
  <c r="Y101" i="4"/>
  <c r="Q101" i="4"/>
  <c r="I101" i="4"/>
  <c r="AK101" i="4"/>
  <c r="V101" i="4"/>
  <c r="N101" i="4"/>
  <c r="F101" i="4"/>
  <c r="AI101" i="4" s="1"/>
  <c r="U101" i="4"/>
  <c r="M101" i="4"/>
  <c r="E101" i="4"/>
  <c r="M67" i="4"/>
  <c r="AH67" i="4"/>
  <c r="G70" i="4"/>
  <c r="S70" i="4"/>
  <c r="AK70" i="4"/>
  <c r="G78" i="4"/>
  <c r="AK78" i="4"/>
  <c r="J79" i="4"/>
  <c r="T79" i="4"/>
  <c r="AK79" i="4"/>
  <c r="AH83" i="4"/>
  <c r="E67" i="4"/>
  <c r="C70" i="4"/>
  <c r="M70" i="4"/>
  <c r="W70" i="4"/>
  <c r="L75" i="4"/>
  <c r="X75" i="4"/>
  <c r="O76" i="4"/>
  <c r="P78" i="4"/>
  <c r="F79" i="4"/>
  <c r="AI79" i="4" s="1"/>
  <c r="O79" i="4"/>
  <c r="R87" i="4"/>
  <c r="X95" i="4"/>
  <c r="J505" i="6"/>
  <c r="B505" i="6"/>
  <c r="G505" i="6"/>
  <c r="F505" i="6"/>
  <c r="P505" i="6"/>
  <c r="L505" i="6"/>
  <c r="D505" i="6"/>
  <c r="H505" i="6" s="1"/>
  <c r="I505" i="6" s="1"/>
  <c r="C505" i="6"/>
  <c r="Q505" i="6"/>
  <c r="A290" i="6"/>
  <c r="A282" i="6"/>
  <c r="A288" i="6"/>
  <c r="A286" i="6"/>
  <c r="A279" i="6"/>
  <c r="A281" i="6"/>
  <c r="A283" i="6"/>
  <c r="A292" i="6"/>
  <c r="A285" i="6"/>
  <c r="A294" i="6"/>
  <c r="A287" i="6"/>
  <c r="A293" i="6"/>
  <c r="A280" i="6"/>
  <c r="A291" i="6"/>
  <c r="A289" i="6"/>
  <c r="A278" i="6"/>
  <c r="AA18" i="4"/>
  <c r="S18" i="4"/>
  <c r="K18" i="4"/>
  <c r="C18" i="4"/>
  <c r="A284" i="6"/>
  <c r="F31" i="4"/>
  <c r="AI31" i="4" s="1"/>
  <c r="A542" i="6"/>
  <c r="A534" i="6"/>
  <c r="A548" i="6"/>
  <c r="A546" i="6"/>
  <c r="A539" i="6"/>
  <c r="A541" i="6"/>
  <c r="A543" i="6"/>
  <c r="A545" i="6"/>
  <c r="A536" i="6"/>
  <c r="A547" i="6"/>
  <c r="A540" i="6"/>
  <c r="A538" i="6"/>
  <c r="A537" i="6"/>
  <c r="A535" i="6"/>
  <c r="A549" i="6"/>
  <c r="A533" i="6"/>
  <c r="U33" i="4"/>
  <c r="M33" i="4"/>
  <c r="E33" i="4"/>
  <c r="AH33" i="4"/>
  <c r="T33" i="4"/>
  <c r="L33" i="4"/>
  <c r="D33" i="4"/>
  <c r="A544" i="6"/>
  <c r="Y33" i="4"/>
  <c r="Q33" i="4"/>
  <c r="I33" i="4"/>
  <c r="A818" i="6"/>
  <c r="A810" i="6"/>
  <c r="A809" i="6"/>
  <c r="A811" i="6"/>
  <c r="A820" i="6"/>
  <c r="A813" i="6"/>
  <c r="A815" i="6"/>
  <c r="A808" i="6"/>
  <c r="A806" i="6"/>
  <c r="A817" i="6"/>
  <c r="A814" i="6"/>
  <c r="A812" i="6"/>
  <c r="A807" i="6"/>
  <c r="A819" i="6"/>
  <c r="A816" i="6"/>
  <c r="A805" i="6"/>
  <c r="U49" i="4"/>
  <c r="M49" i="4"/>
  <c r="E49" i="4"/>
  <c r="AH49" i="4"/>
  <c r="T49" i="4"/>
  <c r="L49" i="4"/>
  <c r="D49" i="4"/>
  <c r="A821" i="6"/>
  <c r="Y49" i="4"/>
  <c r="Q49" i="4"/>
  <c r="I49" i="4"/>
  <c r="C59" i="4"/>
  <c r="Q60" i="4"/>
  <c r="Q80" i="4"/>
  <c r="O90" i="4"/>
  <c r="A1667" i="6"/>
  <c r="A1659" i="6"/>
  <c r="A1668" i="6"/>
  <c r="A1660" i="6"/>
  <c r="A1666" i="6"/>
  <c r="A1658" i="6"/>
  <c r="A1669" i="6"/>
  <c r="A1656" i="6"/>
  <c r="A1670" i="6"/>
  <c r="A1655" i="6"/>
  <c r="A1671" i="6"/>
  <c r="A1663" i="6"/>
  <c r="A1661" i="6"/>
  <c r="A1657" i="6"/>
  <c r="A1664" i="6"/>
  <c r="A1665" i="6"/>
  <c r="A1662" i="6"/>
  <c r="AA99" i="4"/>
  <c r="S99" i="4"/>
  <c r="K99" i="4"/>
  <c r="C99" i="4"/>
  <c r="Y99" i="4"/>
  <c r="P99" i="4"/>
  <c r="G99" i="4"/>
  <c r="X99" i="4"/>
  <c r="O99" i="4"/>
  <c r="F99" i="4"/>
  <c r="AI99" i="4" s="1"/>
  <c r="AK99" i="4"/>
  <c r="U99" i="4"/>
  <c r="L99" i="4"/>
  <c r="V6" i="4"/>
  <c r="N11" i="4"/>
  <c r="M13" i="4"/>
  <c r="T59" i="4"/>
  <c r="A1246" i="6"/>
  <c r="A1244" i="6"/>
  <c r="A1242" i="6"/>
  <c r="A1236" i="6"/>
  <c r="A1231" i="6"/>
  <c r="A1239" i="6"/>
  <c r="A1234" i="6"/>
  <c r="A1230" i="6"/>
  <c r="A1237" i="6"/>
  <c r="A1241" i="6"/>
  <c r="A1243" i="6"/>
  <c r="A1235" i="6"/>
  <c r="A1245" i="6"/>
  <c r="A1233" i="6"/>
  <c r="A1238" i="6"/>
  <c r="A1240" i="6"/>
  <c r="A1232" i="6"/>
  <c r="Y74" i="4"/>
  <c r="Q74" i="4"/>
  <c r="I74" i="4"/>
  <c r="Z74" i="4"/>
  <c r="P74" i="4"/>
  <c r="G74" i="4"/>
  <c r="X74" i="4"/>
  <c r="O74" i="4"/>
  <c r="F74" i="4"/>
  <c r="AI74" i="4" s="1"/>
  <c r="AK74" i="4"/>
  <c r="U74" i="4"/>
  <c r="L74" i="4"/>
  <c r="C74" i="4"/>
  <c r="D90" i="4"/>
  <c r="P91" i="4"/>
  <c r="Q96" i="4"/>
  <c r="T98" i="4"/>
  <c r="R99" i="4"/>
  <c r="W13" i="4"/>
  <c r="O18" i="4"/>
  <c r="L19" i="4"/>
  <c r="J29" i="4"/>
  <c r="A714" i="6"/>
  <c r="A706" i="6"/>
  <c r="A713" i="6"/>
  <c r="A715" i="6"/>
  <c r="A719" i="6"/>
  <c r="A712" i="6"/>
  <c r="A710" i="6"/>
  <c r="A703" i="6"/>
  <c r="A705" i="6"/>
  <c r="A716" i="6"/>
  <c r="A711" i="6"/>
  <c r="A704" i="6"/>
  <c r="A717" i="6"/>
  <c r="A707" i="6"/>
  <c r="A708" i="6"/>
  <c r="A718" i="6"/>
  <c r="A709" i="6"/>
  <c r="Y43" i="4"/>
  <c r="Q43" i="4"/>
  <c r="I43" i="4"/>
  <c r="AM43" i="4"/>
  <c r="X43" i="4"/>
  <c r="P43" i="4"/>
  <c r="H43" i="4"/>
  <c r="U43" i="4"/>
  <c r="M43" i="4"/>
  <c r="E43" i="4"/>
  <c r="H49" i="4"/>
  <c r="U59" i="4"/>
  <c r="G62" i="4"/>
  <c r="D71" i="4"/>
  <c r="AM71" i="4"/>
  <c r="AM74" i="4"/>
  <c r="D91" i="4"/>
  <c r="R92" i="4"/>
  <c r="S94" i="4"/>
  <c r="T96" i="4"/>
  <c r="E99" i="4"/>
  <c r="A199" i="6"/>
  <c r="F6" i="4"/>
  <c r="AI6" i="4" s="1"/>
  <c r="O6" i="4"/>
  <c r="A106" i="6"/>
  <c r="A98" i="6"/>
  <c r="A107" i="6"/>
  <c r="A91" i="6"/>
  <c r="A100" i="6"/>
  <c r="A93" i="6"/>
  <c r="A104" i="6"/>
  <c r="A102" i="6"/>
  <c r="A95" i="6"/>
  <c r="A97" i="6"/>
  <c r="A99" i="6"/>
  <c r="A105" i="6"/>
  <c r="A103" i="6"/>
  <c r="A101" i="6"/>
  <c r="A96" i="6"/>
  <c r="U7" i="4"/>
  <c r="M7" i="4"/>
  <c r="E7" i="4"/>
  <c r="C9" i="4"/>
  <c r="L9" i="4"/>
  <c r="U9" i="4"/>
  <c r="I10" i="4"/>
  <c r="R10" i="4"/>
  <c r="AH10" i="4"/>
  <c r="G11" i="4"/>
  <c r="P11" i="4"/>
  <c r="Y11" i="4"/>
  <c r="F13" i="4"/>
  <c r="AI13" i="4" s="1"/>
  <c r="O13" i="4"/>
  <c r="X13" i="4"/>
  <c r="A226" i="6"/>
  <c r="A218" i="6"/>
  <c r="A224" i="6"/>
  <c r="A222" i="6"/>
  <c r="A215" i="6"/>
  <c r="A210" i="6"/>
  <c r="A225" i="6"/>
  <c r="A212" i="6"/>
  <c r="A221" i="6"/>
  <c r="A217" i="6"/>
  <c r="A214" i="6"/>
  <c r="A216" i="6"/>
  <c r="A211" i="6"/>
  <c r="A213" i="6"/>
  <c r="A220" i="6"/>
  <c r="A223" i="6"/>
  <c r="AA14" i="4"/>
  <c r="S14" i="4"/>
  <c r="K14" i="4"/>
  <c r="C14" i="4"/>
  <c r="J15" i="4"/>
  <c r="S15" i="4"/>
  <c r="J17" i="4"/>
  <c r="S17" i="4"/>
  <c r="AH17" i="4"/>
  <c r="G18" i="4"/>
  <c r="P18" i="4"/>
  <c r="Y18" i="4"/>
  <c r="D19" i="4"/>
  <c r="N19" i="4"/>
  <c r="W19" i="4"/>
  <c r="AM19" i="4"/>
  <c r="A338" i="6"/>
  <c r="A330" i="6"/>
  <c r="A343" i="6"/>
  <c r="A336" i="6"/>
  <c r="A334" i="6"/>
  <c r="A345" i="6"/>
  <c r="A329" i="6"/>
  <c r="A331" i="6"/>
  <c r="A340" i="6"/>
  <c r="A333" i="6"/>
  <c r="A344" i="6"/>
  <c r="A342" i="6"/>
  <c r="A335" i="6"/>
  <c r="A341" i="6"/>
  <c r="A339" i="6"/>
  <c r="A337" i="6"/>
  <c r="Y21" i="4"/>
  <c r="Q21" i="4"/>
  <c r="I21" i="4"/>
  <c r="A332" i="6"/>
  <c r="J22" i="4"/>
  <c r="H25" i="4"/>
  <c r="S25" i="4"/>
  <c r="G27" i="4"/>
  <c r="R27" i="4"/>
  <c r="K29" i="4"/>
  <c r="V29" i="4"/>
  <c r="AM29" i="4"/>
  <c r="K31" i="4"/>
  <c r="W31" i="4"/>
  <c r="J33" i="4"/>
  <c r="W33" i="4"/>
  <c r="N35" i="4"/>
  <c r="AA35" i="4"/>
  <c r="N37" i="4"/>
  <c r="Z37" i="4"/>
  <c r="D39" i="4"/>
  <c r="R39" i="4"/>
  <c r="C41" i="4"/>
  <c r="P41" i="4"/>
  <c r="G43" i="4"/>
  <c r="T43" i="4"/>
  <c r="G45" i="4"/>
  <c r="S45" i="4"/>
  <c r="AM45" i="4"/>
  <c r="K47" i="4"/>
  <c r="W47" i="4"/>
  <c r="J49" i="4"/>
  <c r="W49" i="4"/>
  <c r="N51" i="4"/>
  <c r="N53" i="4"/>
  <c r="D55" i="4"/>
  <c r="R55" i="4"/>
  <c r="C57" i="4"/>
  <c r="P57" i="4"/>
  <c r="G59" i="4"/>
  <c r="V59" i="4"/>
  <c r="H60" i="4"/>
  <c r="H62" i="4"/>
  <c r="E71" i="4"/>
  <c r="U71" i="4"/>
  <c r="E74" i="4"/>
  <c r="T74" i="4"/>
  <c r="L76" i="4"/>
  <c r="Z76" i="4"/>
  <c r="M78" i="4"/>
  <c r="H80" i="4"/>
  <c r="D83" i="4"/>
  <c r="Q83" i="4"/>
  <c r="AM83" i="4"/>
  <c r="A1414" i="6"/>
  <c r="A1406" i="6"/>
  <c r="A1413" i="6"/>
  <c r="A1401" i="6"/>
  <c r="A1409" i="6"/>
  <c r="A1403" i="6"/>
  <c r="A1416" i="6"/>
  <c r="A1412" i="6"/>
  <c r="A1405" i="6"/>
  <c r="A1415" i="6"/>
  <c r="A1408" i="6"/>
  <c r="A1400" i="6"/>
  <c r="A1402" i="6"/>
  <c r="A1411" i="6"/>
  <c r="A1407" i="6"/>
  <c r="A1404" i="6"/>
  <c r="A1410" i="6"/>
  <c r="U84" i="4"/>
  <c r="M84" i="4"/>
  <c r="E84" i="4"/>
  <c r="AA84" i="4"/>
  <c r="R84" i="4"/>
  <c r="I84" i="4"/>
  <c r="Z84" i="4"/>
  <c r="Q84" i="4"/>
  <c r="H84" i="4"/>
  <c r="AM84" i="4"/>
  <c r="W84" i="4"/>
  <c r="N84" i="4"/>
  <c r="D84" i="4"/>
  <c r="P87" i="4"/>
  <c r="F90" i="4"/>
  <c r="AI90" i="4" s="1"/>
  <c r="V90" i="4"/>
  <c r="F91" i="4"/>
  <c r="AI91" i="4" s="1"/>
  <c r="U91" i="4"/>
  <c r="D92" i="4"/>
  <c r="S92" i="4"/>
  <c r="G94" i="4"/>
  <c r="U94" i="4"/>
  <c r="G96" i="4"/>
  <c r="G98" i="4"/>
  <c r="H99" i="4"/>
  <c r="V99" i="4"/>
  <c r="D18" i="4"/>
  <c r="S31" i="4"/>
  <c r="F33" i="4"/>
  <c r="AI33" i="4" s="1"/>
  <c r="F47" i="4"/>
  <c r="AI47" i="4" s="1"/>
  <c r="A1002" i="6"/>
  <c r="A994" i="6"/>
  <c r="A995" i="6"/>
  <c r="A1004" i="6"/>
  <c r="A997" i="6"/>
  <c r="A1006" i="6"/>
  <c r="A999" i="6"/>
  <c r="A992" i="6"/>
  <c r="A1008" i="6"/>
  <c r="A1001" i="6"/>
  <c r="A1003" i="6"/>
  <c r="A998" i="6"/>
  <c r="A996" i="6"/>
  <c r="A993" i="6"/>
  <c r="A1007" i="6"/>
  <c r="A1000" i="6"/>
  <c r="A1005" i="6"/>
  <c r="U60" i="4"/>
  <c r="M60" i="4"/>
  <c r="E60" i="4"/>
  <c r="Y60" i="4"/>
  <c r="P60" i="4"/>
  <c r="G60" i="4"/>
  <c r="X60" i="4"/>
  <c r="O60" i="4"/>
  <c r="F60" i="4"/>
  <c r="AI60" i="4" s="1"/>
  <c r="AK60" i="4"/>
  <c r="T60" i="4"/>
  <c r="K60" i="4"/>
  <c r="A1042" i="6"/>
  <c r="A1034" i="6"/>
  <c r="A1026" i="6"/>
  <c r="A1041" i="6"/>
  <c r="A1039" i="6"/>
  <c r="A1035" i="6"/>
  <c r="A1028" i="6"/>
  <c r="A1031" i="6"/>
  <c r="A1027" i="6"/>
  <c r="A1038" i="6"/>
  <c r="A1037" i="6"/>
  <c r="A1030" i="6"/>
  <c r="A1040" i="6"/>
  <c r="A1029" i="6"/>
  <c r="A1036" i="6"/>
  <c r="A1033" i="6"/>
  <c r="A1032" i="6"/>
  <c r="Y62" i="4"/>
  <c r="Q62" i="4"/>
  <c r="I62" i="4"/>
  <c r="X62" i="4"/>
  <c r="O62" i="4"/>
  <c r="F62" i="4"/>
  <c r="AI62" i="4" s="1"/>
  <c r="AM62" i="4"/>
  <c r="W62" i="4"/>
  <c r="N62" i="4"/>
  <c r="E62" i="4"/>
  <c r="T62" i="4"/>
  <c r="K62" i="4"/>
  <c r="A1346" i="6"/>
  <c r="A1338" i="6"/>
  <c r="A1341" i="6"/>
  <c r="A1333" i="6"/>
  <c r="A1344" i="6"/>
  <c r="A1336" i="6"/>
  <c r="A1347" i="6"/>
  <c r="A1339" i="6"/>
  <c r="A1342" i="6"/>
  <c r="A1334" i="6"/>
  <c r="A1348" i="6"/>
  <c r="A1345" i="6"/>
  <c r="A1335" i="6"/>
  <c r="A1332" i="6"/>
  <c r="A1337" i="6"/>
  <c r="A1343" i="6"/>
  <c r="A1340" i="6"/>
  <c r="U80" i="4"/>
  <c r="M80" i="4"/>
  <c r="E80" i="4"/>
  <c r="X80" i="4"/>
  <c r="O80" i="4"/>
  <c r="F80" i="4"/>
  <c r="AI80" i="4" s="1"/>
  <c r="AM80" i="4"/>
  <c r="W80" i="4"/>
  <c r="N80" i="4"/>
  <c r="D80" i="4"/>
  <c r="AH80" i="4"/>
  <c r="S80" i="4"/>
  <c r="J80" i="4"/>
  <c r="A1620" i="6"/>
  <c r="A1615" i="6"/>
  <c r="A1617" i="6"/>
  <c r="A1610" i="6"/>
  <c r="A1613" i="6"/>
  <c r="A1608" i="6"/>
  <c r="A1609" i="6"/>
  <c r="A1619" i="6"/>
  <c r="A1616" i="6"/>
  <c r="A1606" i="6"/>
  <c r="A1604" i="6"/>
  <c r="A1614" i="6"/>
  <c r="A1612" i="6"/>
  <c r="A1618" i="6"/>
  <c r="A1605" i="6"/>
  <c r="A1611" i="6"/>
  <c r="A1607" i="6"/>
  <c r="U96" i="4"/>
  <c r="M96" i="4"/>
  <c r="E96" i="4"/>
  <c r="AH96" i="4"/>
  <c r="S96" i="4"/>
  <c r="J96" i="4"/>
  <c r="AA96" i="4"/>
  <c r="R96" i="4"/>
  <c r="I96" i="4"/>
  <c r="X96" i="4"/>
  <c r="O96" i="4"/>
  <c r="F96" i="4"/>
  <c r="AI96" i="4" s="1"/>
  <c r="A1652" i="6"/>
  <c r="A1649" i="6"/>
  <c r="A1641" i="6"/>
  <c r="A1650" i="6"/>
  <c r="A1643" i="6"/>
  <c r="A1654" i="6"/>
  <c r="A1647" i="6"/>
  <c r="A1645" i="6"/>
  <c r="A1638" i="6"/>
  <c r="A1640" i="6"/>
  <c r="A1651" i="6"/>
  <c r="A1639" i="6"/>
  <c r="A1648" i="6"/>
  <c r="A1644" i="6"/>
  <c r="A1646" i="6"/>
  <c r="A1653" i="6"/>
  <c r="A1642" i="6"/>
  <c r="Y98" i="4"/>
  <c r="Q98" i="4"/>
  <c r="I98" i="4"/>
  <c r="AH98" i="4"/>
  <c r="S98" i="4"/>
  <c r="J98" i="4"/>
  <c r="AA98" i="4"/>
  <c r="R98" i="4"/>
  <c r="H98" i="4"/>
  <c r="AM98" i="4"/>
  <c r="W98" i="4"/>
  <c r="N98" i="4"/>
  <c r="E98" i="4"/>
  <c r="A90" i="6"/>
  <c r="A85" i="6"/>
  <c r="A77" i="6"/>
  <c r="A80" i="6"/>
  <c r="A88" i="6"/>
  <c r="A83" i="6"/>
  <c r="A75" i="6"/>
  <c r="A86" i="6"/>
  <c r="A78" i="6"/>
  <c r="A81" i="6"/>
  <c r="A87" i="6"/>
  <c r="A84" i="6"/>
  <c r="A74" i="6"/>
  <c r="A82" i="6"/>
  <c r="A79" i="6"/>
  <c r="A76" i="6"/>
  <c r="AA6" i="4"/>
  <c r="S6" i="4"/>
  <c r="K6" i="4"/>
  <c r="C6" i="4"/>
  <c r="D13" i="4"/>
  <c r="V13" i="4"/>
  <c r="N18" i="4"/>
  <c r="S49" i="4"/>
  <c r="R74" i="4"/>
  <c r="R80" i="4"/>
  <c r="AM90" i="4"/>
  <c r="Q92" i="4"/>
  <c r="R94" i="4"/>
  <c r="AM99" i="4"/>
  <c r="G1686" i="6"/>
  <c r="Q1686" i="6"/>
  <c r="F1686" i="6"/>
  <c r="AM6" i="4"/>
  <c r="G6" i="4"/>
  <c r="P6" i="4"/>
  <c r="Y6" i="4"/>
  <c r="A138" i="6"/>
  <c r="A130" i="6"/>
  <c r="A139" i="6"/>
  <c r="A141" i="6"/>
  <c r="A132" i="6"/>
  <c r="A125" i="6"/>
  <c r="A136" i="6"/>
  <c r="A134" i="6"/>
  <c r="A127" i="6"/>
  <c r="A129" i="6"/>
  <c r="A131" i="6"/>
  <c r="A128" i="6"/>
  <c r="A126" i="6"/>
  <c r="Y9" i="4"/>
  <c r="Q9" i="4"/>
  <c r="I9" i="4"/>
  <c r="A140" i="6"/>
  <c r="A137" i="6"/>
  <c r="H11" i="4"/>
  <c r="Q11" i="4"/>
  <c r="Z11" i="4"/>
  <c r="G13" i="4"/>
  <c r="P13" i="4"/>
  <c r="H18" i="4"/>
  <c r="Q18" i="4"/>
  <c r="Z18" i="4"/>
  <c r="F19" i="4"/>
  <c r="AI19" i="4" s="1"/>
  <c r="O19" i="4"/>
  <c r="X19" i="4"/>
  <c r="A406" i="6"/>
  <c r="A412" i="6"/>
  <c r="A410" i="6"/>
  <c r="A402" i="6"/>
  <c r="A400" i="6"/>
  <c r="A398" i="6"/>
  <c r="A411" i="6"/>
  <c r="A408" i="6"/>
  <c r="A407" i="6"/>
  <c r="A404" i="6"/>
  <c r="A397" i="6"/>
  <c r="A399" i="6"/>
  <c r="A409" i="6"/>
  <c r="A405" i="6"/>
  <c r="A403" i="6"/>
  <c r="A413" i="6"/>
  <c r="A401" i="6"/>
  <c r="U25" i="4"/>
  <c r="M25" i="4"/>
  <c r="E25" i="4"/>
  <c r="Y25" i="4"/>
  <c r="Q25" i="4"/>
  <c r="I25" i="4"/>
  <c r="L29" i="4"/>
  <c r="W29" i="4"/>
  <c r="L31" i="4"/>
  <c r="Z31" i="4"/>
  <c r="K33" i="4"/>
  <c r="X33" i="4"/>
  <c r="A650" i="6"/>
  <c r="A642" i="6"/>
  <c r="A641" i="6"/>
  <c r="A647" i="6"/>
  <c r="A643" i="6"/>
  <c r="A636" i="6"/>
  <c r="A639" i="6"/>
  <c r="A635" i="6"/>
  <c r="A646" i="6"/>
  <c r="A649" i="6"/>
  <c r="A645" i="6"/>
  <c r="A638" i="6"/>
  <c r="A648" i="6"/>
  <c r="A637" i="6"/>
  <c r="A651" i="6"/>
  <c r="A640" i="6"/>
  <c r="Y39" i="4"/>
  <c r="Q39" i="4"/>
  <c r="I39" i="4"/>
  <c r="A644" i="6"/>
  <c r="AM39" i="4"/>
  <c r="X39" i="4"/>
  <c r="P39" i="4"/>
  <c r="H39" i="4"/>
  <c r="U39" i="4"/>
  <c r="M39" i="4"/>
  <c r="E39" i="4"/>
  <c r="A682" i="6"/>
  <c r="A674" i="6"/>
  <c r="A673" i="6"/>
  <c r="A680" i="6"/>
  <c r="A669" i="6"/>
  <c r="A683" i="6"/>
  <c r="A676" i="6"/>
  <c r="A672" i="6"/>
  <c r="A679" i="6"/>
  <c r="A675" i="6"/>
  <c r="A671" i="6"/>
  <c r="A677" i="6"/>
  <c r="A670" i="6"/>
  <c r="A684" i="6"/>
  <c r="A678" i="6"/>
  <c r="A685" i="6"/>
  <c r="A681" i="6"/>
  <c r="U41" i="4"/>
  <c r="M41" i="4"/>
  <c r="E41" i="4"/>
  <c r="AH41" i="4"/>
  <c r="T41" i="4"/>
  <c r="L41" i="4"/>
  <c r="D41" i="4"/>
  <c r="Y41" i="4"/>
  <c r="Q41" i="4"/>
  <c r="I41" i="4"/>
  <c r="J43" i="4"/>
  <c r="V43" i="4"/>
  <c r="H45" i="4"/>
  <c r="V45" i="4"/>
  <c r="L47" i="4"/>
  <c r="K49" i="4"/>
  <c r="X49" i="4"/>
  <c r="A922" i="6"/>
  <c r="A914" i="6"/>
  <c r="A915" i="6"/>
  <c r="A917" i="6"/>
  <c r="A908" i="6"/>
  <c r="A919" i="6"/>
  <c r="A912" i="6"/>
  <c r="A910" i="6"/>
  <c r="A921" i="6"/>
  <c r="A923" i="6"/>
  <c r="A907" i="6"/>
  <c r="A911" i="6"/>
  <c r="A909" i="6"/>
  <c r="A920" i="6"/>
  <c r="A918" i="6"/>
  <c r="A913" i="6"/>
  <c r="A916" i="6"/>
  <c r="Y55" i="4"/>
  <c r="Q55" i="4"/>
  <c r="I55" i="4"/>
  <c r="AM55" i="4"/>
  <c r="X55" i="4"/>
  <c r="P55" i="4"/>
  <c r="H55" i="4"/>
  <c r="U55" i="4"/>
  <c r="M55" i="4"/>
  <c r="E55" i="4"/>
  <c r="A954" i="6"/>
  <c r="A946" i="6"/>
  <c r="A947" i="6"/>
  <c r="A956" i="6"/>
  <c r="A949" i="6"/>
  <c r="A951" i="6"/>
  <c r="A944" i="6"/>
  <c r="A942" i="6"/>
  <c r="A953" i="6"/>
  <c r="A955" i="6"/>
  <c r="A952" i="6"/>
  <c r="A950" i="6"/>
  <c r="A948" i="6"/>
  <c r="A945" i="6"/>
  <c r="A943" i="6"/>
  <c r="A957" i="6"/>
  <c r="A941" i="6"/>
  <c r="U57" i="4"/>
  <c r="M57" i="4"/>
  <c r="E57" i="4"/>
  <c r="AH57" i="4"/>
  <c r="T57" i="4"/>
  <c r="L57" i="4"/>
  <c r="D57" i="4"/>
  <c r="Y57" i="4"/>
  <c r="Q57" i="4"/>
  <c r="I57" i="4"/>
  <c r="J59" i="4"/>
  <c r="X59" i="4"/>
  <c r="I60" i="4"/>
  <c r="W60" i="4"/>
  <c r="J62" i="4"/>
  <c r="Z62" i="4"/>
  <c r="G71" i="4"/>
  <c r="V71" i="4"/>
  <c r="H74" i="4"/>
  <c r="V74" i="4"/>
  <c r="N76" i="4"/>
  <c r="I80" i="4"/>
  <c r="Y80" i="4"/>
  <c r="E83" i="4"/>
  <c r="R83" i="4"/>
  <c r="A1460" i="6"/>
  <c r="A1452" i="6"/>
  <c r="A1463" i="6"/>
  <c r="A1454" i="6"/>
  <c r="A1467" i="6"/>
  <c r="A1461" i="6"/>
  <c r="A1457" i="6"/>
  <c r="A1464" i="6"/>
  <c r="A1453" i="6"/>
  <c r="A1456" i="6"/>
  <c r="A1466" i="6"/>
  <c r="A1459" i="6"/>
  <c r="A1455" i="6"/>
  <c r="A1462" i="6"/>
  <c r="A1458" i="6"/>
  <c r="A1451" i="6"/>
  <c r="A1465" i="6"/>
  <c r="AA87" i="4"/>
  <c r="S87" i="4"/>
  <c r="K87" i="4"/>
  <c r="C87" i="4"/>
  <c r="X87" i="4"/>
  <c r="O87" i="4"/>
  <c r="F87" i="4"/>
  <c r="AI87" i="4" s="1"/>
  <c r="AM87" i="4"/>
  <c r="W87" i="4"/>
  <c r="N87" i="4"/>
  <c r="E87" i="4"/>
  <c r="T87" i="4"/>
  <c r="J87" i="4"/>
  <c r="H90" i="4"/>
  <c r="G91" i="4"/>
  <c r="V91" i="4"/>
  <c r="H92" i="4"/>
  <c r="V92" i="4"/>
  <c r="H94" i="4"/>
  <c r="H96" i="4"/>
  <c r="W96" i="4"/>
  <c r="K98" i="4"/>
  <c r="X98" i="4"/>
  <c r="I99" i="4"/>
  <c r="W99" i="4"/>
  <c r="A89" i="6"/>
  <c r="A133" i="6"/>
  <c r="V11" i="4"/>
  <c r="M18" i="4"/>
  <c r="A786" i="6"/>
  <c r="A778" i="6"/>
  <c r="A777" i="6"/>
  <c r="A779" i="6"/>
  <c r="A781" i="6"/>
  <c r="A772" i="6"/>
  <c r="A783" i="6"/>
  <c r="A776" i="6"/>
  <c r="A774" i="6"/>
  <c r="A785" i="6"/>
  <c r="A780" i="6"/>
  <c r="A775" i="6"/>
  <c r="A773" i="6"/>
  <c r="A771" i="6"/>
  <c r="A782" i="6"/>
  <c r="A787" i="6"/>
  <c r="A784" i="6"/>
  <c r="Y47" i="4"/>
  <c r="Q47" i="4"/>
  <c r="I47" i="4"/>
  <c r="AM47" i="4"/>
  <c r="X47" i="4"/>
  <c r="P47" i="4"/>
  <c r="H47" i="4"/>
  <c r="U47" i="4"/>
  <c r="M47" i="4"/>
  <c r="E47" i="4"/>
  <c r="R49" i="4"/>
  <c r="P59" i="4"/>
  <c r="C62" i="4"/>
  <c r="A1516" i="6"/>
  <c r="A1514" i="6"/>
  <c r="A1512" i="6"/>
  <c r="A1510" i="6"/>
  <c r="A1518" i="6"/>
  <c r="A1508" i="6"/>
  <c r="A1513" i="6"/>
  <c r="A1511" i="6"/>
  <c r="A1502" i="6"/>
  <c r="A1517" i="6"/>
  <c r="A1509" i="6"/>
  <c r="A1506" i="6"/>
  <c r="A1504" i="6"/>
  <c r="A1515" i="6"/>
  <c r="A1507" i="6"/>
  <c r="A1503" i="6"/>
  <c r="A1505" i="6"/>
  <c r="Y90" i="4"/>
  <c r="Q90" i="4"/>
  <c r="I90" i="4"/>
  <c r="AK90" i="4"/>
  <c r="U90" i="4"/>
  <c r="L90" i="4"/>
  <c r="C90" i="4"/>
  <c r="T90" i="4"/>
  <c r="K90" i="4"/>
  <c r="Z90" i="4"/>
  <c r="P90" i="4"/>
  <c r="G90" i="4"/>
  <c r="P96" i="4"/>
  <c r="P98" i="4"/>
  <c r="AM11" i="4"/>
  <c r="A202" i="6"/>
  <c r="A194" i="6"/>
  <c r="A203" i="6"/>
  <c r="A205" i="6"/>
  <c r="A196" i="6"/>
  <c r="A207" i="6"/>
  <c r="A200" i="6"/>
  <c r="A198" i="6"/>
  <c r="A209" i="6"/>
  <c r="A193" i="6"/>
  <c r="A195" i="6"/>
  <c r="A208" i="6"/>
  <c r="A206" i="6"/>
  <c r="Y13" i="4"/>
  <c r="Q13" i="4"/>
  <c r="I13" i="4"/>
  <c r="A204" i="6"/>
  <c r="A201" i="6"/>
  <c r="W18" i="4"/>
  <c r="T31" i="4"/>
  <c r="G33" i="4"/>
  <c r="S33" i="4"/>
  <c r="T47" i="4"/>
  <c r="AM49" i="4"/>
  <c r="C60" i="4"/>
  <c r="AM60" i="4"/>
  <c r="R90" i="4"/>
  <c r="A1579" i="6"/>
  <c r="A1582" i="6"/>
  <c r="A1585" i="6"/>
  <c r="A1580" i="6"/>
  <c r="A1572" i="6"/>
  <c r="A1583" i="6"/>
  <c r="A1571" i="6"/>
  <c r="A1573" i="6"/>
  <c r="A1584" i="6"/>
  <c r="A1575" i="6"/>
  <c r="A1586" i="6"/>
  <c r="A1577" i="6"/>
  <c r="A1570" i="6"/>
  <c r="A1581" i="6"/>
  <c r="A1576" i="6"/>
  <c r="A1578" i="6"/>
  <c r="A1574" i="6"/>
  <c r="Y94" i="4"/>
  <c r="Q94" i="4"/>
  <c r="I94" i="4"/>
  <c r="X94" i="4"/>
  <c r="O94" i="4"/>
  <c r="F94" i="4"/>
  <c r="AI94" i="4" s="1"/>
  <c r="AM94" i="4"/>
  <c r="W94" i="4"/>
  <c r="N94" i="4"/>
  <c r="E94" i="4"/>
  <c r="T94" i="4"/>
  <c r="K94" i="4"/>
  <c r="C96" i="4"/>
  <c r="AM96" i="4"/>
  <c r="D98" i="4"/>
  <c r="N6" i="4"/>
  <c r="E13" i="4"/>
  <c r="AM13" i="4"/>
  <c r="F18" i="4"/>
  <c r="AI18" i="4" s="1"/>
  <c r="X18" i="4"/>
  <c r="V19" i="4"/>
  <c r="T29" i="4"/>
  <c r="J31" i="4"/>
  <c r="H33" i="4"/>
  <c r="R45" i="4"/>
  <c r="V49" i="4"/>
  <c r="S60" i="4"/>
  <c r="Q71" i="4"/>
  <c r="D74" i="4"/>
  <c r="G80" i="4"/>
  <c r="T80" i="4"/>
  <c r="O83" i="4"/>
  <c r="S90" i="4"/>
  <c r="C92" i="4"/>
  <c r="D96" i="4"/>
  <c r="F98" i="4"/>
  <c r="AI98" i="4" s="1"/>
  <c r="T99" i="4"/>
  <c r="H6" i="4"/>
  <c r="Q6" i="4"/>
  <c r="Z6" i="4"/>
  <c r="F7" i="4"/>
  <c r="AI7" i="4" s="1"/>
  <c r="O7" i="4"/>
  <c r="X7" i="4"/>
  <c r="E9" i="4"/>
  <c r="N9" i="4"/>
  <c r="W9" i="4"/>
  <c r="AM9" i="4"/>
  <c r="L10" i="4"/>
  <c r="U10" i="4"/>
  <c r="AK10" i="4"/>
  <c r="I11" i="4"/>
  <c r="R11" i="4"/>
  <c r="H13" i="4"/>
  <c r="R13" i="4"/>
  <c r="AA13" i="4"/>
  <c r="A242" i="6"/>
  <c r="A234" i="6"/>
  <c r="A240" i="6"/>
  <c r="A238" i="6"/>
  <c r="A231" i="6"/>
  <c r="A243" i="6"/>
  <c r="A232" i="6"/>
  <c r="A229" i="6"/>
  <c r="A239" i="6"/>
  <c r="A236" i="6"/>
  <c r="A235" i="6"/>
  <c r="A228" i="6"/>
  <c r="A241" i="6"/>
  <c r="A227" i="6"/>
  <c r="A233" i="6"/>
  <c r="U15" i="4"/>
  <c r="M15" i="4"/>
  <c r="E15" i="4"/>
  <c r="C17" i="4"/>
  <c r="L17" i="4"/>
  <c r="U17" i="4"/>
  <c r="AK17" i="4"/>
  <c r="I18" i="4"/>
  <c r="R18" i="4"/>
  <c r="AH18" i="4"/>
  <c r="G19" i="4"/>
  <c r="P19" i="4"/>
  <c r="Y19" i="4"/>
  <c r="A362" i="6"/>
  <c r="A354" i="6"/>
  <c r="A346" i="6"/>
  <c r="A359" i="6"/>
  <c r="A352" i="6"/>
  <c r="A350" i="6"/>
  <c r="A361" i="6"/>
  <c r="A347" i="6"/>
  <c r="A356" i="6"/>
  <c r="A349" i="6"/>
  <c r="A360" i="6"/>
  <c r="A358" i="6"/>
  <c r="A351" i="6"/>
  <c r="A357" i="6"/>
  <c r="A355" i="6"/>
  <c r="A353" i="6"/>
  <c r="AA22" i="4"/>
  <c r="S22" i="4"/>
  <c r="K22" i="4"/>
  <c r="C22" i="4"/>
  <c r="A348" i="6"/>
  <c r="K25" i="4"/>
  <c r="V25" i="4"/>
  <c r="AM25" i="4"/>
  <c r="A446" i="6"/>
  <c r="A438" i="6"/>
  <c r="A444" i="6"/>
  <c r="A442" i="6"/>
  <c r="A435" i="6"/>
  <c r="A447" i="6"/>
  <c r="A436" i="6"/>
  <c r="A433" i="6"/>
  <c r="A443" i="6"/>
  <c r="A440" i="6"/>
  <c r="A439" i="6"/>
  <c r="A432" i="6"/>
  <c r="A437" i="6"/>
  <c r="A445" i="6"/>
  <c r="A431" i="6"/>
  <c r="Y27" i="4"/>
  <c r="Q27" i="4"/>
  <c r="I27" i="4"/>
  <c r="U27" i="4"/>
  <c r="M27" i="4"/>
  <c r="E27" i="4"/>
  <c r="A441" i="6"/>
  <c r="C29" i="4"/>
  <c r="N29" i="4"/>
  <c r="N31" i="4"/>
  <c r="AA31" i="4"/>
  <c r="N33" i="4"/>
  <c r="Z33" i="4"/>
  <c r="D35" i="4"/>
  <c r="R35" i="4"/>
  <c r="C37" i="4"/>
  <c r="P37" i="4"/>
  <c r="G39" i="4"/>
  <c r="T39" i="4"/>
  <c r="G41" i="4"/>
  <c r="S41" i="4"/>
  <c r="AM41" i="4"/>
  <c r="K43" i="4"/>
  <c r="W43" i="4"/>
  <c r="J45" i="4"/>
  <c r="W45" i="4"/>
  <c r="N47" i="4"/>
  <c r="AA47" i="4"/>
  <c r="N49" i="4"/>
  <c r="Z49" i="4"/>
  <c r="G55" i="4"/>
  <c r="T55" i="4"/>
  <c r="S57" i="4"/>
  <c r="AM57" i="4"/>
  <c r="L59" i="4"/>
  <c r="J60" i="4"/>
  <c r="Z60" i="4"/>
  <c r="L62" i="4"/>
  <c r="AA62" i="4"/>
  <c r="H71" i="4"/>
  <c r="J74" i="4"/>
  <c r="W74" i="4"/>
  <c r="A1278" i="6"/>
  <c r="A1270" i="6"/>
  <c r="A1275" i="6"/>
  <c r="A1268" i="6"/>
  <c r="A1266" i="6"/>
  <c r="A1279" i="6"/>
  <c r="A1265" i="6"/>
  <c r="A1274" i="6"/>
  <c r="A1271" i="6"/>
  <c r="A1276" i="6"/>
  <c r="A1272" i="6"/>
  <c r="A1269" i="6"/>
  <c r="A1264" i="6"/>
  <c r="A1277" i="6"/>
  <c r="A1273" i="6"/>
  <c r="A1267" i="6"/>
  <c r="A1280" i="6"/>
  <c r="U76" i="4"/>
  <c r="M76" i="4"/>
  <c r="E76" i="4"/>
  <c r="AK76" i="4"/>
  <c r="T76" i="4"/>
  <c r="K76" i="4"/>
  <c r="AH76" i="4"/>
  <c r="S76" i="4"/>
  <c r="J76" i="4"/>
  <c r="Y76" i="4"/>
  <c r="P76" i="4"/>
  <c r="G76" i="4"/>
  <c r="A1310" i="6"/>
  <c r="A1302" i="6"/>
  <c r="A1314" i="6"/>
  <c r="A1307" i="6"/>
  <c r="A1300" i="6"/>
  <c r="A1298" i="6"/>
  <c r="A1309" i="6"/>
  <c r="A1311" i="6"/>
  <c r="A1303" i="6"/>
  <c r="A1301" i="6"/>
  <c r="A1308" i="6"/>
  <c r="A1299" i="6"/>
  <c r="A1305" i="6"/>
  <c r="A1312" i="6"/>
  <c r="A1306" i="6"/>
  <c r="A1304" i="6"/>
  <c r="A1313" i="6"/>
  <c r="Y78" i="4"/>
  <c r="Q78" i="4"/>
  <c r="I78" i="4"/>
  <c r="T78" i="4"/>
  <c r="K78" i="4"/>
  <c r="AH78" i="4"/>
  <c r="S78" i="4"/>
  <c r="J78" i="4"/>
  <c r="X78" i="4"/>
  <c r="O78" i="4"/>
  <c r="F78" i="4"/>
  <c r="AI78" i="4" s="1"/>
  <c r="K80" i="4"/>
  <c r="Z80" i="4"/>
  <c r="F83" i="4"/>
  <c r="AI83" i="4" s="1"/>
  <c r="J90" i="4"/>
  <c r="X90" i="4"/>
  <c r="J91" i="4"/>
  <c r="X91" i="4"/>
  <c r="I92" i="4"/>
  <c r="J94" i="4"/>
  <c r="Z94" i="4"/>
  <c r="K96" i="4"/>
  <c r="Y96" i="4"/>
  <c r="L98" i="4"/>
  <c r="Z98" i="4"/>
  <c r="J99" i="4"/>
  <c r="Z99" i="4"/>
  <c r="A92" i="6"/>
  <c r="A156" i="6"/>
  <c r="A170" i="6"/>
  <c r="A162" i="6"/>
  <c r="A171" i="6"/>
  <c r="A173" i="6"/>
  <c r="A164" i="6"/>
  <c r="A175" i="6"/>
  <c r="A168" i="6"/>
  <c r="A166" i="6"/>
  <c r="A159" i="6"/>
  <c r="A161" i="6"/>
  <c r="A163" i="6"/>
  <c r="A174" i="6"/>
  <c r="A172" i="6"/>
  <c r="A169" i="6"/>
  <c r="A167" i="6"/>
  <c r="A165" i="6"/>
  <c r="A160" i="6"/>
  <c r="U11" i="4"/>
  <c r="M11" i="4"/>
  <c r="E11" i="4"/>
  <c r="A510" i="6"/>
  <c r="A502" i="6"/>
  <c r="A515" i="6"/>
  <c r="A508" i="6"/>
  <c r="A506" i="6"/>
  <c r="A499" i="6"/>
  <c r="A511" i="6"/>
  <c r="A500" i="6"/>
  <c r="A507" i="6"/>
  <c r="A504" i="6"/>
  <c r="A514" i="6"/>
  <c r="A503" i="6"/>
  <c r="A509" i="6"/>
  <c r="Y31" i="4"/>
  <c r="Q31" i="4"/>
  <c r="I31" i="4"/>
  <c r="AM31" i="4"/>
  <c r="X31" i="4"/>
  <c r="P31" i="4"/>
  <c r="H31" i="4"/>
  <c r="A501" i="6"/>
  <c r="A513" i="6"/>
  <c r="U31" i="4"/>
  <c r="M31" i="4"/>
  <c r="E31" i="4"/>
  <c r="R33" i="4"/>
  <c r="S47" i="4"/>
  <c r="F49" i="4"/>
  <c r="AI49" i="4" s="1"/>
  <c r="A986" i="6"/>
  <c r="A978" i="6"/>
  <c r="A979" i="6"/>
  <c r="A988" i="6"/>
  <c r="A981" i="6"/>
  <c r="A990" i="6"/>
  <c r="A983" i="6"/>
  <c r="A976" i="6"/>
  <c r="A985" i="6"/>
  <c r="A987" i="6"/>
  <c r="A975" i="6"/>
  <c r="A991" i="6"/>
  <c r="A989" i="6"/>
  <c r="A984" i="6"/>
  <c r="A980" i="6"/>
  <c r="A977" i="6"/>
  <c r="A982" i="6"/>
  <c r="AA59" i="4"/>
  <c r="S59" i="4"/>
  <c r="K59" i="4"/>
  <c r="AH59" i="4"/>
  <c r="R59" i="4"/>
  <c r="I59" i="4"/>
  <c r="Z59" i="4"/>
  <c r="Q59" i="4"/>
  <c r="H59" i="4"/>
  <c r="AM59" i="4"/>
  <c r="W59" i="4"/>
  <c r="N59" i="4"/>
  <c r="E59" i="4"/>
  <c r="R62" i="4"/>
  <c r="C98" i="4"/>
  <c r="Q99" i="4"/>
  <c r="M6" i="4"/>
  <c r="D11" i="4"/>
  <c r="E18" i="4"/>
  <c r="AM18" i="4"/>
  <c r="G31" i="4"/>
  <c r="AM33" i="4"/>
  <c r="G47" i="4"/>
  <c r="G49" i="4"/>
  <c r="D59" i="4"/>
  <c r="S62" i="4"/>
  <c r="A1188" i="6"/>
  <c r="A1180" i="6"/>
  <c r="A1191" i="6"/>
  <c r="A1183" i="6"/>
  <c r="A1194" i="6"/>
  <c r="A1186" i="6"/>
  <c r="A1181" i="6"/>
  <c r="A1182" i="6"/>
  <c r="A1195" i="6"/>
  <c r="A1179" i="6"/>
  <c r="A1193" i="6"/>
  <c r="A1192" i="6"/>
  <c r="A1189" i="6"/>
  <c r="A1185" i="6"/>
  <c r="A1190" i="6"/>
  <c r="A1184" i="6"/>
  <c r="A1187" i="6"/>
  <c r="AA71" i="4"/>
  <c r="S71" i="4"/>
  <c r="K71" i="4"/>
  <c r="C71" i="4"/>
  <c r="T71" i="4"/>
  <c r="J71" i="4"/>
  <c r="AH71" i="4"/>
  <c r="R71" i="4"/>
  <c r="I71" i="4"/>
  <c r="X71" i="4"/>
  <c r="O71" i="4"/>
  <c r="F71" i="4"/>
  <c r="AI71" i="4" s="1"/>
  <c r="C80" i="4"/>
  <c r="A1548" i="6"/>
  <c r="A1540" i="6"/>
  <c r="A1550" i="6"/>
  <c r="A1552" i="6"/>
  <c r="A1545" i="6"/>
  <c r="A1543" i="6"/>
  <c r="A1537" i="6"/>
  <c r="A1547" i="6"/>
  <c r="A1546" i="6"/>
  <c r="A1544" i="6"/>
  <c r="A1539" i="6"/>
  <c r="A1549" i="6"/>
  <c r="A1542" i="6"/>
  <c r="A1541" i="6"/>
  <c r="A1538" i="6"/>
  <c r="A1536" i="6"/>
  <c r="A1551" i="6"/>
  <c r="U92" i="4"/>
  <c r="M92" i="4"/>
  <c r="E92" i="4"/>
  <c r="Y92" i="4"/>
  <c r="P92" i="4"/>
  <c r="G92" i="4"/>
  <c r="X92" i="4"/>
  <c r="O92" i="4"/>
  <c r="F92" i="4"/>
  <c r="AI92" i="4" s="1"/>
  <c r="AK92" i="4"/>
  <c r="T92" i="4"/>
  <c r="K92" i="4"/>
  <c r="C94" i="4"/>
  <c r="E6" i="4"/>
  <c r="F11" i="4"/>
  <c r="AI11" i="4" s="1"/>
  <c r="C19" i="4"/>
  <c r="A478" i="6"/>
  <c r="A470" i="6"/>
  <c r="A476" i="6"/>
  <c r="A474" i="6"/>
  <c r="A467" i="6"/>
  <c r="A479" i="6"/>
  <c r="A468" i="6"/>
  <c r="A465" i="6"/>
  <c r="A475" i="6"/>
  <c r="A472" i="6"/>
  <c r="A471" i="6"/>
  <c r="A481" i="6"/>
  <c r="A469" i="6"/>
  <c r="A477" i="6"/>
  <c r="U29" i="4"/>
  <c r="M29" i="4"/>
  <c r="E29" i="4"/>
  <c r="A480" i="6"/>
  <c r="A473" i="6"/>
  <c r="A466" i="6"/>
  <c r="Y29" i="4"/>
  <c r="Q29" i="4"/>
  <c r="I29" i="4"/>
  <c r="V31" i="4"/>
  <c r="V33" i="4"/>
  <c r="F43" i="4"/>
  <c r="AI43" i="4" s="1"/>
  <c r="F45" i="4"/>
  <c r="AI45" i="4" s="1"/>
  <c r="J47" i="4"/>
  <c r="D60" i="4"/>
  <c r="U62" i="4"/>
  <c r="S74" i="4"/>
  <c r="A1393" i="6"/>
  <c r="A1385" i="6"/>
  <c r="A1396" i="6"/>
  <c r="A1387" i="6"/>
  <c r="A1398" i="6"/>
  <c r="A1391" i="6"/>
  <c r="A1389" i="6"/>
  <c r="A1384" i="6"/>
  <c r="A1386" i="6"/>
  <c r="A1395" i="6"/>
  <c r="A1388" i="6"/>
  <c r="A1383" i="6"/>
  <c r="A1399" i="6"/>
  <c r="A1397" i="6"/>
  <c r="A1390" i="6"/>
  <c r="A1394" i="6"/>
  <c r="A1392" i="6"/>
  <c r="AA83" i="4"/>
  <c r="S83" i="4"/>
  <c r="K83" i="4"/>
  <c r="C83" i="4"/>
  <c r="AK83" i="4"/>
  <c r="U83" i="4"/>
  <c r="L83" i="4"/>
  <c r="T83" i="4"/>
  <c r="J83" i="4"/>
  <c r="Y83" i="4"/>
  <c r="P83" i="4"/>
  <c r="G83" i="4"/>
  <c r="E90" i="4"/>
  <c r="T91" i="4"/>
  <c r="D94" i="4"/>
  <c r="U98" i="4"/>
  <c r="I6" i="4"/>
  <c r="R6" i="4"/>
  <c r="AH6" i="4"/>
  <c r="F9" i="4"/>
  <c r="AI9" i="4" s="1"/>
  <c r="V10" i="4"/>
  <c r="AH11" i="4"/>
  <c r="J13" i="4"/>
  <c r="AH13" i="4"/>
  <c r="J18" i="4"/>
  <c r="Q19" i="4"/>
  <c r="L25" i="4"/>
  <c r="O29" i="4"/>
  <c r="O31" i="4"/>
  <c r="AH31" i="4"/>
  <c r="AA33" i="4"/>
  <c r="A582" i="6"/>
  <c r="A574" i="6"/>
  <c r="A580" i="6"/>
  <c r="A578" i="6"/>
  <c r="A571" i="6"/>
  <c r="A573" i="6"/>
  <c r="A575" i="6"/>
  <c r="A577" i="6"/>
  <c r="A568" i="6"/>
  <c r="A579" i="6"/>
  <c r="A572" i="6"/>
  <c r="A570" i="6"/>
  <c r="A569" i="6"/>
  <c r="A583" i="6"/>
  <c r="A567" i="6"/>
  <c r="A581" i="6"/>
  <c r="Y35" i="4"/>
  <c r="Q35" i="4"/>
  <c r="I35" i="4"/>
  <c r="AM35" i="4"/>
  <c r="X35" i="4"/>
  <c r="P35" i="4"/>
  <c r="H35" i="4"/>
  <c r="A576" i="6"/>
  <c r="U35" i="4"/>
  <c r="M35" i="4"/>
  <c r="E35" i="4"/>
  <c r="A610" i="6"/>
  <c r="A606" i="6"/>
  <c r="A603" i="6"/>
  <c r="A614" i="6"/>
  <c r="A605" i="6"/>
  <c r="A617" i="6"/>
  <c r="A613" i="6"/>
  <c r="A607" i="6"/>
  <c r="A609" i="6"/>
  <c r="A616" i="6"/>
  <c r="A604" i="6"/>
  <c r="A602" i="6"/>
  <c r="A601" i="6"/>
  <c r="A612" i="6"/>
  <c r="A611" i="6"/>
  <c r="U37" i="4"/>
  <c r="M37" i="4"/>
  <c r="E37" i="4"/>
  <c r="A615" i="6"/>
  <c r="AH37" i="4"/>
  <c r="T37" i="4"/>
  <c r="L37" i="4"/>
  <c r="D37" i="4"/>
  <c r="A608" i="6"/>
  <c r="Y37" i="4"/>
  <c r="Q37" i="4"/>
  <c r="I37" i="4"/>
  <c r="V41" i="4"/>
  <c r="L43" i="4"/>
  <c r="Z43" i="4"/>
  <c r="K45" i="4"/>
  <c r="C47" i="4"/>
  <c r="O47" i="4"/>
  <c r="AH47" i="4"/>
  <c r="O49" i="4"/>
  <c r="AA49" i="4"/>
  <c r="A849" i="6"/>
  <c r="A841" i="6"/>
  <c r="A852" i="6"/>
  <c r="A855" i="6"/>
  <c r="A847" i="6"/>
  <c r="A839" i="6"/>
  <c r="A850" i="6"/>
  <c r="A842" i="6"/>
  <c r="A853" i="6"/>
  <c r="A851" i="6"/>
  <c r="A848" i="6"/>
  <c r="A854" i="6"/>
  <c r="A846" i="6"/>
  <c r="A845" i="6"/>
  <c r="A844" i="6"/>
  <c r="A843" i="6"/>
  <c r="A840" i="6"/>
  <c r="Y51" i="4"/>
  <c r="Q51" i="4"/>
  <c r="I51" i="4"/>
  <c r="AM51" i="4"/>
  <c r="X51" i="4"/>
  <c r="P51" i="4"/>
  <c r="H51" i="4"/>
  <c r="U51" i="4"/>
  <c r="M51" i="4"/>
  <c r="E51" i="4"/>
  <c r="A886" i="6"/>
  <c r="A878" i="6"/>
  <c r="A889" i="6"/>
  <c r="A881" i="6"/>
  <c r="A873" i="6"/>
  <c r="A884" i="6"/>
  <c r="A876" i="6"/>
  <c r="A887" i="6"/>
  <c r="A879" i="6"/>
  <c r="A882" i="6"/>
  <c r="A874" i="6"/>
  <c r="A888" i="6"/>
  <c r="A885" i="6"/>
  <c r="A875" i="6"/>
  <c r="A877" i="6"/>
  <c r="A883" i="6"/>
  <c r="A880" i="6"/>
  <c r="U53" i="4"/>
  <c r="M53" i="4"/>
  <c r="E53" i="4"/>
  <c r="AH53" i="4"/>
  <c r="T53" i="4"/>
  <c r="L53" i="4"/>
  <c r="D53" i="4"/>
  <c r="Y53" i="4"/>
  <c r="Q53" i="4"/>
  <c r="I53" i="4"/>
  <c r="J55" i="4"/>
  <c r="V55" i="4"/>
  <c r="H57" i="4"/>
  <c r="V57" i="4"/>
  <c r="M59" i="4"/>
  <c r="L60" i="4"/>
  <c r="AA60" i="4"/>
  <c r="M62" i="4"/>
  <c r="AH62" i="4"/>
  <c r="L71" i="4"/>
  <c r="Y71" i="4"/>
  <c r="K74" i="4"/>
  <c r="AA74" i="4"/>
  <c r="C76" i="4"/>
  <c r="Q76" i="4"/>
  <c r="AM76" i="4"/>
  <c r="D78" i="4"/>
  <c r="R78" i="4"/>
  <c r="AM78" i="4"/>
  <c r="L80" i="4"/>
  <c r="AA80" i="4"/>
  <c r="H83" i="4"/>
  <c r="W83" i="4"/>
  <c r="G84" i="4"/>
  <c r="V84" i="4"/>
  <c r="G87" i="4"/>
  <c r="U87" i="4"/>
  <c r="M90" i="4"/>
  <c r="AA90" i="4"/>
  <c r="L91" i="4"/>
  <c r="J92" i="4"/>
  <c r="Z92" i="4"/>
  <c r="L94" i="4"/>
  <c r="AA94" i="4"/>
  <c r="L96" i="4"/>
  <c r="Z96" i="4"/>
  <c r="M98" i="4"/>
  <c r="M99" i="4"/>
  <c r="AH99" i="4"/>
  <c r="A197" i="6"/>
  <c r="A230" i="6"/>
  <c r="A37" i="6"/>
  <c r="A29" i="6"/>
  <c r="A32" i="6"/>
  <c r="A24" i="6"/>
  <c r="A35" i="6"/>
  <c r="A27" i="6"/>
  <c r="A38" i="6"/>
  <c r="A30" i="6"/>
  <c r="A33" i="6"/>
  <c r="A25" i="6"/>
  <c r="A39" i="6"/>
  <c r="A36" i="6"/>
  <c r="A26" i="6"/>
  <c r="A23" i="6"/>
  <c r="A34" i="6"/>
  <c r="A31" i="6"/>
  <c r="A28" i="6"/>
  <c r="L11" i="4"/>
  <c r="V18" i="4"/>
  <c r="W11" i="4"/>
  <c r="R60" i="4"/>
  <c r="D62" i="4"/>
  <c r="P71" i="4"/>
  <c r="A1532" i="6"/>
  <c r="A1524" i="6"/>
  <c r="A1530" i="6"/>
  <c r="A1528" i="6"/>
  <c r="A1521" i="6"/>
  <c r="A1523" i="6"/>
  <c r="A1525" i="6"/>
  <c r="A1534" i="6"/>
  <c r="A1527" i="6"/>
  <c r="A1529" i="6"/>
  <c r="A1522" i="6"/>
  <c r="A1520" i="6"/>
  <c r="A1535" i="6"/>
  <c r="A1519" i="6"/>
  <c r="A1533" i="6"/>
  <c r="A1531" i="6"/>
  <c r="A1526" i="6"/>
  <c r="AA91" i="4"/>
  <c r="S91" i="4"/>
  <c r="K91" i="4"/>
  <c r="C91" i="4"/>
  <c r="AH91" i="4"/>
  <c r="R91" i="4"/>
  <c r="I91" i="4"/>
  <c r="Z91" i="4"/>
  <c r="Q91" i="4"/>
  <c r="H91" i="4"/>
  <c r="AM91" i="4"/>
  <c r="W91" i="4"/>
  <c r="N91" i="4"/>
  <c r="E91" i="4"/>
  <c r="D99" i="4"/>
  <c r="W6" i="4"/>
  <c r="O11" i="4"/>
  <c r="X11" i="4"/>
  <c r="N13" i="4"/>
  <c r="A306" i="6"/>
  <c r="A298" i="6"/>
  <c r="A311" i="6"/>
  <c r="A304" i="6"/>
  <c r="A302" i="6"/>
  <c r="A295" i="6"/>
  <c r="A297" i="6"/>
  <c r="A299" i="6"/>
  <c r="A308" i="6"/>
  <c r="A301" i="6"/>
  <c r="A310" i="6"/>
  <c r="A303" i="6"/>
  <c r="A296" i="6"/>
  <c r="A309" i="6"/>
  <c r="A307" i="6"/>
  <c r="A305" i="6"/>
  <c r="U19" i="4"/>
  <c r="M19" i="4"/>
  <c r="E19" i="4"/>
  <c r="A300" i="6"/>
  <c r="A746" i="6"/>
  <c r="A738" i="6"/>
  <c r="A745" i="6"/>
  <c r="A747" i="6"/>
  <c r="A749" i="6"/>
  <c r="A740" i="6"/>
  <c r="A751" i="6"/>
  <c r="A744" i="6"/>
  <c r="A742" i="6"/>
  <c r="A753" i="6"/>
  <c r="A737" i="6"/>
  <c r="A743" i="6"/>
  <c r="A741" i="6"/>
  <c r="A739" i="6"/>
  <c r="A752" i="6"/>
  <c r="A748" i="6"/>
  <c r="U45" i="4"/>
  <c r="M45" i="4"/>
  <c r="E45" i="4"/>
  <c r="AH45" i="4"/>
  <c r="T45" i="4"/>
  <c r="L45" i="4"/>
  <c r="D45" i="4"/>
  <c r="A750" i="6"/>
  <c r="Y45" i="4"/>
  <c r="Q45" i="4"/>
  <c r="I45" i="4"/>
  <c r="V47" i="4"/>
  <c r="F59" i="4"/>
  <c r="AI59" i="4" s="1"/>
  <c r="AM92" i="4"/>
  <c r="A21" i="6"/>
  <c r="A13" i="6"/>
  <c r="A16" i="6"/>
  <c r="A8" i="6"/>
  <c r="A19" i="6"/>
  <c r="A11" i="6"/>
  <c r="A22" i="6"/>
  <c r="A14" i="6"/>
  <c r="A6" i="6"/>
  <c r="A17" i="6"/>
  <c r="A9" i="6"/>
  <c r="A20" i="6"/>
  <c r="A10" i="6"/>
  <c r="A7" i="6"/>
  <c r="C6" i="5"/>
  <c r="A18" i="6"/>
  <c r="A15" i="6"/>
  <c r="A12" i="6"/>
  <c r="K2" i="4"/>
  <c r="AK2" i="4"/>
  <c r="O9" i="4"/>
  <c r="X9" i="4"/>
  <c r="A154" i="6"/>
  <c r="A146" i="6"/>
  <c r="A155" i="6"/>
  <c r="A157" i="6"/>
  <c r="A148" i="6"/>
  <c r="A152" i="6"/>
  <c r="A150" i="6"/>
  <c r="A143" i="6"/>
  <c r="A145" i="6"/>
  <c r="A147" i="6"/>
  <c r="A151" i="6"/>
  <c r="A149" i="6"/>
  <c r="A144" i="6"/>
  <c r="A142" i="6"/>
  <c r="AA10" i="4"/>
  <c r="S10" i="4"/>
  <c r="K10" i="4"/>
  <c r="C10" i="4"/>
  <c r="J11" i="4"/>
  <c r="S11" i="4"/>
  <c r="S13" i="4"/>
  <c r="A274" i="6"/>
  <c r="A266" i="6"/>
  <c r="A272" i="6"/>
  <c r="A270" i="6"/>
  <c r="A263" i="6"/>
  <c r="A275" i="6"/>
  <c r="A264" i="6"/>
  <c r="A261" i="6"/>
  <c r="A271" i="6"/>
  <c r="A268" i="6"/>
  <c r="A267" i="6"/>
  <c r="A273" i="6"/>
  <c r="A262" i="6"/>
  <c r="A269" i="6"/>
  <c r="A276" i="6"/>
  <c r="A265" i="6"/>
  <c r="Y17" i="4"/>
  <c r="Q17" i="4"/>
  <c r="I17" i="4"/>
  <c r="T18" i="4"/>
  <c r="H19" i="4"/>
  <c r="W25" i="4"/>
  <c r="D29" i="4"/>
  <c r="Z29" i="4"/>
  <c r="C31" i="4"/>
  <c r="O33" i="4"/>
  <c r="F35" i="4"/>
  <c r="AI35" i="4" s="1"/>
  <c r="S35" i="4"/>
  <c r="R37" i="4"/>
  <c r="E2" i="4"/>
  <c r="B32" i="5" s="1"/>
  <c r="B12" i="5" s="1"/>
  <c r="AM2" i="4"/>
  <c r="R4" i="2" s="1"/>
  <c r="A69" i="6"/>
  <c r="A61" i="6"/>
  <c r="A72" i="6"/>
  <c r="A64" i="6"/>
  <c r="A67" i="6"/>
  <c r="A59" i="6"/>
  <c r="A70" i="6"/>
  <c r="A62" i="6"/>
  <c r="A73" i="6"/>
  <c r="A65" i="6"/>
  <c r="A57" i="6"/>
  <c r="A71" i="6"/>
  <c r="A68" i="6"/>
  <c r="A58" i="6"/>
  <c r="A66" i="6"/>
  <c r="A63" i="6"/>
  <c r="A60" i="6"/>
  <c r="I5" i="4"/>
  <c r="J6" i="4"/>
  <c r="T6" i="4"/>
  <c r="H7" i="4"/>
  <c r="Q7" i="4"/>
  <c r="Z7" i="4"/>
  <c r="G9" i="4"/>
  <c r="P9" i="4"/>
  <c r="Z9" i="4"/>
  <c r="E10" i="4"/>
  <c r="N10" i="4"/>
  <c r="W10" i="4"/>
  <c r="AM10" i="4"/>
  <c r="K11" i="4"/>
  <c r="T11" i="4"/>
  <c r="AK11" i="4"/>
  <c r="K13" i="4"/>
  <c r="T13" i="4"/>
  <c r="H14" i="4"/>
  <c r="Q14" i="4"/>
  <c r="Z14" i="4"/>
  <c r="F15" i="4"/>
  <c r="AI15" i="4" s="1"/>
  <c r="O15" i="4"/>
  <c r="X15" i="4"/>
  <c r="E17" i="4"/>
  <c r="N17" i="4"/>
  <c r="W17" i="4"/>
  <c r="AM17" i="4"/>
  <c r="L18" i="4"/>
  <c r="U18" i="4"/>
  <c r="AK18" i="4"/>
  <c r="I19" i="4"/>
  <c r="R19" i="4"/>
  <c r="AA19" i="4"/>
  <c r="H21" i="4"/>
  <c r="R21" i="4"/>
  <c r="AA21" i="4"/>
  <c r="F22" i="4"/>
  <c r="AI22" i="4" s="1"/>
  <c r="O22" i="4"/>
  <c r="X22" i="4"/>
  <c r="A378" i="6"/>
  <c r="A370" i="6"/>
  <c r="A375" i="6"/>
  <c r="A368" i="6"/>
  <c r="A366" i="6"/>
  <c r="A377" i="6"/>
  <c r="A379" i="6"/>
  <c r="A363" i="6"/>
  <c r="A372" i="6"/>
  <c r="A365" i="6"/>
  <c r="A376" i="6"/>
  <c r="A374" i="6"/>
  <c r="A367" i="6"/>
  <c r="A373" i="6"/>
  <c r="A371" i="6"/>
  <c r="A369" i="6"/>
  <c r="U23" i="4"/>
  <c r="M23" i="4"/>
  <c r="E23" i="4"/>
  <c r="A364" i="6"/>
  <c r="C25" i="4"/>
  <c r="N25" i="4"/>
  <c r="X25" i="4"/>
  <c r="L27" i="4"/>
  <c r="W27" i="4"/>
  <c r="F29" i="4"/>
  <c r="AI29" i="4" s="1"/>
  <c r="P29" i="4"/>
  <c r="AA29" i="4"/>
  <c r="D31" i="4"/>
  <c r="R31" i="4"/>
  <c r="AK31" i="4"/>
  <c r="C33" i="4"/>
  <c r="P33" i="4"/>
  <c r="AK33" i="4"/>
  <c r="G35" i="4"/>
  <c r="T35" i="4"/>
  <c r="G37" i="4"/>
  <c r="S37" i="4"/>
  <c r="AM37" i="4"/>
  <c r="K39" i="4"/>
  <c r="W39" i="4"/>
  <c r="J41" i="4"/>
  <c r="W41" i="4"/>
  <c r="N43" i="4"/>
  <c r="AA43" i="4"/>
  <c r="N45" i="4"/>
  <c r="Z45" i="4"/>
  <c r="D47" i="4"/>
  <c r="R47" i="4"/>
  <c r="AK47" i="4"/>
  <c r="C49" i="4"/>
  <c r="P49" i="4"/>
  <c r="AK49" i="4"/>
  <c r="G51" i="4"/>
  <c r="T51" i="4"/>
  <c r="G53" i="4"/>
  <c r="S53" i="4"/>
  <c r="AM53" i="4"/>
  <c r="K55" i="4"/>
  <c r="W55" i="4"/>
  <c r="J57" i="4"/>
  <c r="W57" i="4"/>
  <c r="O59" i="4"/>
  <c r="AK59" i="4"/>
  <c r="N60" i="4"/>
  <c r="AH60" i="4"/>
  <c r="P62" i="4"/>
  <c r="AK62" i="4"/>
  <c r="A1074" i="6"/>
  <c r="A1066" i="6"/>
  <c r="A1072" i="6"/>
  <c r="A1075" i="6"/>
  <c r="A1067" i="6"/>
  <c r="A1069" i="6"/>
  <c r="A1060" i="6"/>
  <c r="A1071" i="6"/>
  <c r="A1064" i="6"/>
  <c r="A1062" i="6"/>
  <c r="A1068" i="6"/>
  <c r="A1063" i="6"/>
  <c r="A1076" i="6"/>
  <c r="A1073" i="6"/>
  <c r="A1070" i="6"/>
  <c r="A1065" i="6"/>
  <c r="A1061" i="6"/>
  <c r="U64" i="4"/>
  <c r="M64" i="4"/>
  <c r="E64" i="4"/>
  <c r="AH64" i="4"/>
  <c r="S64" i="4"/>
  <c r="J64" i="4"/>
  <c r="AA64" i="4"/>
  <c r="R64" i="4"/>
  <c r="I64" i="4"/>
  <c r="X64" i="4"/>
  <c r="O64" i="4"/>
  <c r="F64" i="4"/>
  <c r="AI64" i="4" s="1"/>
  <c r="A1108" i="6"/>
  <c r="A1103" i="6"/>
  <c r="A1106" i="6"/>
  <c r="A1098" i="6"/>
  <c r="A1101" i="6"/>
  <c r="A1096" i="6"/>
  <c r="A1099" i="6"/>
  <c r="A1109" i="6"/>
  <c r="A1102" i="6"/>
  <c r="A1094" i="6"/>
  <c r="A1100" i="6"/>
  <c r="A1097" i="6"/>
  <c r="A1107" i="6"/>
  <c r="A1105" i="6"/>
  <c r="A1110" i="6"/>
  <c r="A1104" i="6"/>
  <c r="A1095" i="6"/>
  <c r="Y66" i="4"/>
  <c r="Q66" i="4"/>
  <c r="I66" i="4"/>
  <c r="AH66" i="4"/>
  <c r="S66" i="4"/>
  <c r="J66" i="4"/>
  <c r="AA66" i="4"/>
  <c r="R66" i="4"/>
  <c r="H66" i="4"/>
  <c r="AM66" i="4"/>
  <c r="W66" i="4"/>
  <c r="N66" i="4"/>
  <c r="E66" i="4"/>
  <c r="A1124" i="6"/>
  <c r="A1116" i="6"/>
  <c r="A1127" i="6"/>
  <c r="A1119" i="6"/>
  <c r="A1111" i="6"/>
  <c r="A1122" i="6"/>
  <c r="A1114" i="6"/>
  <c r="A1117" i="6"/>
  <c r="A1118" i="6"/>
  <c r="A1115" i="6"/>
  <c r="A1113" i="6"/>
  <c r="A1112" i="6"/>
  <c r="A1125" i="6"/>
  <c r="A1126" i="6"/>
  <c r="A1120" i="6"/>
  <c r="A1121" i="6"/>
  <c r="A1123" i="6"/>
  <c r="AA67" i="4"/>
  <c r="S67" i="4"/>
  <c r="K67" i="4"/>
  <c r="C67" i="4"/>
  <c r="Y67" i="4"/>
  <c r="P67" i="4"/>
  <c r="G67" i="4"/>
  <c r="X67" i="4"/>
  <c r="O67" i="4"/>
  <c r="F67" i="4"/>
  <c r="AI67" i="4" s="1"/>
  <c r="AK67" i="4"/>
  <c r="U67" i="4"/>
  <c r="L67" i="4"/>
  <c r="M71" i="4"/>
  <c r="Z71" i="4"/>
  <c r="M74" i="4"/>
  <c r="AH74" i="4"/>
  <c r="D76" i="4"/>
  <c r="R76" i="4"/>
  <c r="E78" i="4"/>
  <c r="U78" i="4"/>
  <c r="P80" i="4"/>
  <c r="AK80" i="4"/>
  <c r="I83" i="4"/>
  <c r="X83" i="4"/>
  <c r="J84" i="4"/>
  <c r="X84" i="4"/>
  <c r="H87" i="4"/>
  <c r="V87" i="4"/>
  <c r="N90" i="4"/>
  <c r="AH90" i="4"/>
  <c r="M91" i="4"/>
  <c r="L92" i="4"/>
  <c r="AA92" i="4"/>
  <c r="M94" i="4"/>
  <c r="AH94" i="4"/>
  <c r="N96" i="4"/>
  <c r="AK96" i="4"/>
  <c r="O98" i="4"/>
  <c r="AK98" i="4"/>
  <c r="N99" i="4"/>
  <c r="A512" i="6"/>
  <c r="A53" i="6"/>
  <c r="A45" i="6"/>
  <c r="A56" i="6"/>
  <c r="A48" i="6"/>
  <c r="A40" i="6"/>
  <c r="A51" i="6"/>
  <c r="A43" i="6"/>
  <c r="A54" i="6"/>
  <c r="A46" i="6"/>
  <c r="A49" i="6"/>
  <c r="A41" i="6"/>
  <c r="A122" i="6"/>
  <c r="A114" i="6"/>
  <c r="A123" i="6"/>
  <c r="A116" i="6"/>
  <c r="A109" i="6"/>
  <c r="A120" i="6"/>
  <c r="A118" i="6"/>
  <c r="A111" i="6"/>
  <c r="A113" i="6"/>
  <c r="A115" i="6"/>
  <c r="A186" i="6"/>
  <c r="A178" i="6"/>
  <c r="A187" i="6"/>
  <c r="A189" i="6"/>
  <c r="A180" i="6"/>
  <c r="A191" i="6"/>
  <c r="A184" i="6"/>
  <c r="A182" i="6"/>
  <c r="A177" i="6"/>
  <c r="A179" i="6"/>
  <c r="A258" i="6"/>
  <c r="A250" i="6"/>
  <c r="A256" i="6"/>
  <c r="A254" i="6"/>
  <c r="A247" i="6"/>
  <c r="A257" i="6"/>
  <c r="A260" i="6"/>
  <c r="A253" i="6"/>
  <c r="A249" i="6"/>
  <c r="A246" i="6"/>
  <c r="A259" i="6"/>
  <c r="A248" i="6"/>
  <c r="A245" i="6"/>
  <c r="A322" i="6"/>
  <c r="A314" i="6"/>
  <c r="A327" i="6"/>
  <c r="A320" i="6"/>
  <c r="A318" i="6"/>
  <c r="A313" i="6"/>
  <c r="A315" i="6"/>
  <c r="A324" i="6"/>
  <c r="A317" i="6"/>
  <c r="A328" i="6"/>
  <c r="A326" i="6"/>
  <c r="A319" i="6"/>
  <c r="A312" i="6"/>
  <c r="A325" i="6"/>
  <c r="A323" i="6"/>
  <c r="A321" i="6"/>
  <c r="A394" i="6"/>
  <c r="A386" i="6"/>
  <c r="A391" i="6"/>
  <c r="A384" i="6"/>
  <c r="A382" i="6"/>
  <c r="A393" i="6"/>
  <c r="A395" i="6"/>
  <c r="A388" i="6"/>
  <c r="A381" i="6"/>
  <c r="A392" i="6"/>
  <c r="A390" i="6"/>
  <c r="A383" i="6"/>
  <c r="A389" i="6"/>
  <c r="A387" i="6"/>
  <c r="A385" i="6"/>
  <c r="C26" i="4"/>
  <c r="K26" i="4"/>
  <c r="S26" i="4"/>
  <c r="A462" i="6"/>
  <c r="A454" i="6"/>
  <c r="A460" i="6"/>
  <c r="A458" i="6"/>
  <c r="A451" i="6"/>
  <c r="A461" i="6"/>
  <c r="A464" i="6"/>
  <c r="A457" i="6"/>
  <c r="A453" i="6"/>
  <c r="A450" i="6"/>
  <c r="A449" i="6"/>
  <c r="A463" i="6"/>
  <c r="A456" i="6"/>
  <c r="A452" i="6"/>
  <c r="C30" i="4"/>
  <c r="K30" i="4"/>
  <c r="S30" i="4"/>
  <c r="AA30" i="4"/>
  <c r="A526" i="6"/>
  <c r="A518" i="6"/>
  <c r="A532" i="6"/>
  <c r="A530" i="6"/>
  <c r="A527" i="6"/>
  <c r="A531" i="6"/>
  <c r="A524" i="6"/>
  <c r="A522" i="6"/>
  <c r="A529" i="6"/>
  <c r="A528" i="6"/>
  <c r="A525" i="6"/>
  <c r="A521" i="6"/>
  <c r="A517" i="6"/>
  <c r="A520" i="6"/>
  <c r="A516" i="6"/>
  <c r="A523" i="6"/>
  <c r="C34" i="4"/>
  <c r="K34" i="4"/>
  <c r="S34" i="4"/>
  <c r="AA34" i="4"/>
  <c r="A598" i="6"/>
  <c r="A590" i="6"/>
  <c r="A596" i="6"/>
  <c r="A594" i="6"/>
  <c r="A587" i="6"/>
  <c r="A589" i="6"/>
  <c r="A591" i="6"/>
  <c r="A600" i="6"/>
  <c r="A593" i="6"/>
  <c r="A584" i="6"/>
  <c r="A595" i="6"/>
  <c r="A588" i="6"/>
  <c r="A586" i="6"/>
  <c r="A585" i="6"/>
  <c r="A599" i="6"/>
  <c r="A597" i="6"/>
  <c r="C38" i="4"/>
  <c r="K38" i="4"/>
  <c r="S38" i="4"/>
  <c r="AA38" i="4"/>
  <c r="A666" i="6"/>
  <c r="A658" i="6"/>
  <c r="A657" i="6"/>
  <c r="A662" i="6"/>
  <c r="A665" i="6"/>
  <c r="A661" i="6"/>
  <c r="A654" i="6"/>
  <c r="A668" i="6"/>
  <c r="A664" i="6"/>
  <c r="A653" i="6"/>
  <c r="A667" i="6"/>
  <c r="A660" i="6"/>
  <c r="A656" i="6"/>
  <c r="A659" i="6"/>
  <c r="A652" i="6"/>
  <c r="A655" i="6"/>
  <c r="A663" i="6"/>
  <c r="C42" i="4"/>
  <c r="K42" i="4"/>
  <c r="S42" i="4"/>
  <c r="AA42" i="4"/>
  <c r="A730" i="6"/>
  <c r="A722" i="6"/>
  <c r="A729" i="6"/>
  <c r="A731" i="6"/>
  <c r="A733" i="6"/>
  <c r="A735" i="6"/>
  <c r="A728" i="6"/>
  <c r="A726" i="6"/>
  <c r="A721" i="6"/>
  <c r="A720" i="6"/>
  <c r="A725" i="6"/>
  <c r="A736" i="6"/>
  <c r="A734" i="6"/>
  <c r="A723" i="6"/>
  <c r="A727" i="6"/>
  <c r="A732" i="6"/>
  <c r="C46" i="4"/>
  <c r="K46" i="4"/>
  <c r="S46" i="4"/>
  <c r="A802" i="6"/>
  <c r="A794" i="6"/>
  <c r="A793" i="6"/>
  <c r="A795" i="6"/>
  <c r="A804" i="6"/>
  <c r="A797" i="6"/>
  <c r="A788" i="6"/>
  <c r="A799" i="6"/>
  <c r="A792" i="6"/>
  <c r="A790" i="6"/>
  <c r="A801" i="6"/>
  <c r="A798" i="6"/>
  <c r="A796" i="6"/>
  <c r="A791" i="6"/>
  <c r="A789" i="6"/>
  <c r="A803" i="6"/>
  <c r="A800" i="6"/>
  <c r="C50" i="4"/>
  <c r="K50" i="4"/>
  <c r="S50" i="4"/>
  <c r="A870" i="6"/>
  <c r="A862" i="6"/>
  <c r="A865" i="6"/>
  <c r="A857" i="6"/>
  <c r="A868" i="6"/>
  <c r="A860" i="6"/>
  <c r="A871" i="6"/>
  <c r="A863" i="6"/>
  <c r="A866" i="6"/>
  <c r="A858" i="6"/>
  <c r="A872" i="6"/>
  <c r="A869" i="6"/>
  <c r="A859" i="6"/>
  <c r="A856" i="6"/>
  <c r="A867" i="6"/>
  <c r="A861" i="6"/>
  <c r="C54" i="4"/>
  <c r="K54" i="4"/>
  <c r="S54" i="4"/>
  <c r="A938" i="6"/>
  <c r="A930" i="6"/>
  <c r="A931" i="6"/>
  <c r="A940" i="6"/>
  <c r="A933" i="6"/>
  <c r="A924" i="6"/>
  <c r="A935" i="6"/>
  <c r="A928" i="6"/>
  <c r="A926" i="6"/>
  <c r="A937" i="6"/>
  <c r="A939" i="6"/>
  <c r="A934" i="6"/>
  <c r="A932" i="6"/>
  <c r="A929" i="6"/>
  <c r="A927" i="6"/>
  <c r="A925" i="6"/>
  <c r="A936" i="6"/>
  <c r="C58" i="4"/>
  <c r="K58" i="4"/>
  <c r="S58" i="4"/>
  <c r="H63" i="4"/>
  <c r="Q63" i="4"/>
  <c r="I68" i="4"/>
  <c r="R68" i="4"/>
  <c r="H70" i="4"/>
  <c r="R70" i="4"/>
  <c r="A1212" i="6"/>
  <c r="A1204" i="6"/>
  <c r="A1196" i="6"/>
  <c r="A1207" i="6"/>
  <c r="A1199" i="6"/>
  <c r="A1210" i="6"/>
  <c r="A1202" i="6"/>
  <c r="A1197" i="6"/>
  <c r="A1198" i="6"/>
  <c r="A1211" i="6"/>
  <c r="A1209" i="6"/>
  <c r="A1208" i="6"/>
  <c r="A1205" i="6"/>
  <c r="A1203" i="6"/>
  <c r="A1201" i="6"/>
  <c r="A1206" i="6"/>
  <c r="A1200" i="6"/>
  <c r="U72" i="4"/>
  <c r="M72" i="4"/>
  <c r="E72" i="4"/>
  <c r="I75" i="4"/>
  <c r="R75" i="4"/>
  <c r="A1331" i="6"/>
  <c r="A1326" i="6"/>
  <c r="A1318" i="6"/>
  <c r="A1330" i="6"/>
  <c r="A1323" i="6"/>
  <c r="A1316" i="6"/>
  <c r="A1325" i="6"/>
  <c r="A1327" i="6"/>
  <c r="A1320" i="6"/>
  <c r="A1319" i="6"/>
  <c r="A1324" i="6"/>
  <c r="A1322" i="6"/>
  <c r="A1321" i="6"/>
  <c r="A1329" i="6"/>
  <c r="A1317" i="6"/>
  <c r="A1328" i="6"/>
  <c r="A1315" i="6"/>
  <c r="AA79" i="4"/>
  <c r="S79" i="4"/>
  <c r="K79" i="4"/>
  <c r="C79" i="4"/>
  <c r="J82" i="4"/>
  <c r="S82" i="4"/>
  <c r="A1444" i="6"/>
  <c r="A1436" i="6"/>
  <c r="A1447" i="6"/>
  <c r="A1438" i="6"/>
  <c r="A1442" i="6"/>
  <c r="A1449" i="6"/>
  <c r="A1446" i="6"/>
  <c r="A1445" i="6"/>
  <c r="A1441" i="6"/>
  <c r="A1448" i="6"/>
  <c r="A1437" i="6"/>
  <c r="A1435" i="6"/>
  <c r="A1434" i="6"/>
  <c r="A1450" i="6"/>
  <c r="A1440" i="6"/>
  <c r="A1439" i="6"/>
  <c r="A1443" i="6"/>
  <c r="Y86" i="4"/>
  <c r="Q86" i="4"/>
  <c r="I86" i="4"/>
  <c r="H88" i="4"/>
  <c r="Q88" i="4"/>
  <c r="H95" i="4"/>
  <c r="Q95" i="4"/>
  <c r="I100" i="4"/>
  <c r="R100" i="4"/>
  <c r="A44" i="6"/>
  <c r="A47" i="6"/>
  <c r="A50" i="6"/>
  <c r="A119" i="6"/>
  <c r="A183" i="6"/>
  <c r="A252" i="6"/>
  <c r="A448" i="6"/>
  <c r="A121" i="6"/>
  <c r="A124" i="6"/>
  <c r="A185" i="6"/>
  <c r="A188" i="6"/>
  <c r="A455" i="6"/>
  <c r="A592" i="6"/>
  <c r="A190" i="6"/>
  <c r="A459" i="6"/>
  <c r="A864" i="6"/>
  <c r="A1140" i="6"/>
  <c r="A1132" i="6"/>
  <c r="A1143" i="6"/>
  <c r="A1135" i="6"/>
  <c r="A1138" i="6"/>
  <c r="A1130" i="6"/>
  <c r="A1133" i="6"/>
  <c r="A1134" i="6"/>
  <c r="A1131" i="6"/>
  <c r="A1144" i="6"/>
  <c r="A1129" i="6"/>
  <c r="A1128" i="6"/>
  <c r="A1141" i="6"/>
  <c r="A1139" i="6"/>
  <c r="A1137" i="6"/>
  <c r="A1136" i="6"/>
  <c r="A1142" i="6"/>
  <c r="U68" i="4"/>
  <c r="M68" i="4"/>
  <c r="E68" i="4"/>
  <c r="A1262" i="6"/>
  <c r="A1254" i="6"/>
  <c r="A1259" i="6"/>
  <c r="A1263" i="6"/>
  <c r="A1247" i="6"/>
  <c r="A1258" i="6"/>
  <c r="A1257" i="6"/>
  <c r="A1256" i="6"/>
  <c r="A1250" i="6"/>
  <c r="A1255" i="6"/>
  <c r="A1249" i="6"/>
  <c r="A1252" i="6"/>
  <c r="A1260" i="6"/>
  <c r="A1253" i="6"/>
  <c r="A1261" i="6"/>
  <c r="A1251" i="6"/>
  <c r="A1248" i="6"/>
  <c r="AA75" i="4"/>
  <c r="S75" i="4"/>
  <c r="K75" i="4"/>
  <c r="C75" i="4"/>
  <c r="A1377" i="6"/>
  <c r="A1369" i="6"/>
  <c r="A1380" i="6"/>
  <c r="A1371" i="6"/>
  <c r="A1382" i="6"/>
  <c r="A1375" i="6"/>
  <c r="A1373" i="6"/>
  <c r="A1368" i="6"/>
  <c r="A1370" i="6"/>
  <c r="A1379" i="6"/>
  <c r="A1372" i="6"/>
  <c r="A1366" i="6"/>
  <c r="A1367" i="6"/>
  <c r="A1381" i="6"/>
  <c r="A1378" i="6"/>
  <c r="A1374" i="6"/>
  <c r="A1376" i="6"/>
  <c r="Y82" i="4"/>
  <c r="Q82" i="4"/>
  <c r="I82" i="4"/>
  <c r="A1685" i="6"/>
  <c r="A1677" i="6"/>
  <c r="A1683" i="6"/>
  <c r="A1675" i="6"/>
  <c r="A1684" i="6"/>
  <c r="A1676" i="6"/>
  <c r="A1682" i="6"/>
  <c r="A1674" i="6"/>
  <c r="A1680" i="6"/>
  <c r="A1673" i="6"/>
  <c r="A1688" i="6"/>
  <c r="A1679" i="6"/>
  <c r="A1687" i="6"/>
  <c r="A1672" i="6"/>
  <c r="A1678" i="6"/>
  <c r="A1681" i="6"/>
  <c r="U100" i="4"/>
  <c r="M100" i="4"/>
  <c r="E100" i="4"/>
  <c r="A108" i="6"/>
  <c r="A251" i="6"/>
  <c r="A430" i="6"/>
  <c r="A422" i="6"/>
  <c r="A414" i="6"/>
  <c r="A428" i="6"/>
  <c r="A426" i="6"/>
  <c r="A419" i="6"/>
  <c r="A429" i="6"/>
  <c r="A415" i="6"/>
  <c r="A425" i="6"/>
  <c r="A421" i="6"/>
  <c r="A418" i="6"/>
  <c r="A423" i="6"/>
  <c r="A416" i="6"/>
  <c r="A417" i="6"/>
  <c r="A424" i="6"/>
  <c r="A420" i="6"/>
  <c r="A494" i="6"/>
  <c r="A486" i="6"/>
  <c r="A492" i="6"/>
  <c r="A490" i="6"/>
  <c r="A483" i="6"/>
  <c r="A497" i="6"/>
  <c r="A493" i="6"/>
  <c r="A496" i="6"/>
  <c r="A489" i="6"/>
  <c r="A485" i="6"/>
  <c r="A482" i="6"/>
  <c r="A495" i="6"/>
  <c r="A488" i="6"/>
  <c r="A484" i="6"/>
  <c r="A491" i="6"/>
  <c r="A566" i="6"/>
  <c r="A558" i="6"/>
  <c r="A550" i="6"/>
  <c r="A564" i="6"/>
  <c r="A562" i="6"/>
  <c r="A555" i="6"/>
  <c r="A557" i="6"/>
  <c r="A559" i="6"/>
  <c r="A561" i="6"/>
  <c r="A552" i="6"/>
  <c r="A563" i="6"/>
  <c r="A556" i="6"/>
  <c r="A554" i="6"/>
  <c r="A553" i="6"/>
  <c r="A551" i="6"/>
  <c r="A565" i="6"/>
  <c r="A634" i="6"/>
  <c r="A626" i="6"/>
  <c r="A618" i="6"/>
  <c r="A625" i="6"/>
  <c r="A632" i="6"/>
  <c r="A621" i="6"/>
  <c r="A628" i="6"/>
  <c r="A624" i="6"/>
  <c r="A631" i="6"/>
  <c r="A627" i="6"/>
  <c r="A620" i="6"/>
  <c r="A623" i="6"/>
  <c r="A630" i="6"/>
  <c r="A619" i="6"/>
  <c r="A629" i="6"/>
  <c r="A622" i="6"/>
  <c r="A698" i="6"/>
  <c r="A690" i="6"/>
  <c r="A699" i="6"/>
  <c r="A689" i="6"/>
  <c r="A701" i="6"/>
  <c r="A695" i="6"/>
  <c r="A702" i="6"/>
  <c r="A687" i="6"/>
  <c r="A694" i="6"/>
  <c r="A693" i="6"/>
  <c r="A686" i="6"/>
  <c r="A691" i="6"/>
  <c r="A697" i="6"/>
  <c r="A696" i="6"/>
  <c r="A692" i="6"/>
  <c r="A688" i="6"/>
  <c r="A770" i="6"/>
  <c r="A762" i="6"/>
  <c r="A754" i="6"/>
  <c r="A761" i="6"/>
  <c r="A763" i="6"/>
  <c r="A765" i="6"/>
  <c r="A756" i="6"/>
  <c r="A767" i="6"/>
  <c r="A760" i="6"/>
  <c r="A758" i="6"/>
  <c r="A769" i="6"/>
  <c r="A759" i="6"/>
  <c r="A757" i="6"/>
  <c r="A755" i="6"/>
  <c r="A768" i="6"/>
  <c r="A764" i="6"/>
  <c r="A766" i="6"/>
  <c r="A834" i="6"/>
  <c r="A826" i="6"/>
  <c r="A825" i="6"/>
  <c r="A827" i="6"/>
  <c r="A836" i="6"/>
  <c r="A829" i="6"/>
  <c r="A831" i="6"/>
  <c r="A824" i="6"/>
  <c r="A822" i="6"/>
  <c r="A833" i="6"/>
  <c r="A837" i="6"/>
  <c r="A835" i="6"/>
  <c r="A832" i="6"/>
  <c r="A830" i="6"/>
  <c r="A838" i="6"/>
  <c r="A828" i="6"/>
  <c r="A823" i="6"/>
  <c r="A906" i="6"/>
  <c r="A902" i="6"/>
  <c r="A894" i="6"/>
  <c r="A897" i="6"/>
  <c r="A900" i="6"/>
  <c r="A892" i="6"/>
  <c r="A905" i="6"/>
  <c r="A903" i="6"/>
  <c r="A895" i="6"/>
  <c r="A898" i="6"/>
  <c r="A890" i="6"/>
  <c r="A904" i="6"/>
  <c r="A901" i="6"/>
  <c r="A891" i="6"/>
  <c r="A893" i="6"/>
  <c r="A899" i="6"/>
  <c r="A896" i="6"/>
  <c r="A970" i="6"/>
  <c r="A962" i="6"/>
  <c r="A963" i="6"/>
  <c r="A972" i="6"/>
  <c r="A965" i="6"/>
  <c r="A974" i="6"/>
  <c r="A967" i="6"/>
  <c r="A960" i="6"/>
  <c r="A958" i="6"/>
  <c r="A969" i="6"/>
  <c r="A971" i="6"/>
  <c r="A973" i="6"/>
  <c r="A968" i="6"/>
  <c r="A966" i="6"/>
  <c r="A959" i="6"/>
  <c r="A964" i="6"/>
  <c r="A961" i="6"/>
  <c r="A1058" i="6"/>
  <c r="A1050" i="6"/>
  <c r="A1055" i="6"/>
  <c r="A1057" i="6"/>
  <c r="A1059" i="6"/>
  <c r="A1053" i="6"/>
  <c r="A1046" i="6"/>
  <c r="A1049" i="6"/>
  <c r="A1045" i="6"/>
  <c r="A1052" i="6"/>
  <c r="A1048" i="6"/>
  <c r="A1047" i="6"/>
  <c r="A1056" i="6"/>
  <c r="A1054" i="6"/>
  <c r="A1043" i="6"/>
  <c r="A1051" i="6"/>
  <c r="A1044" i="6"/>
  <c r="AA63" i="4"/>
  <c r="S63" i="4"/>
  <c r="K63" i="4"/>
  <c r="C63" i="4"/>
  <c r="D68" i="4"/>
  <c r="N68" i="4"/>
  <c r="W68" i="4"/>
  <c r="AM68" i="4"/>
  <c r="A1172" i="6"/>
  <c r="A1164" i="6"/>
  <c r="A1175" i="6"/>
  <c r="A1167" i="6"/>
  <c r="A1178" i="6"/>
  <c r="A1170" i="6"/>
  <c r="A1162" i="6"/>
  <c r="A1165" i="6"/>
  <c r="A1166" i="6"/>
  <c r="A1163" i="6"/>
  <c r="A1177" i="6"/>
  <c r="A1176" i="6"/>
  <c r="A1173" i="6"/>
  <c r="A1171" i="6"/>
  <c r="A1169" i="6"/>
  <c r="A1174" i="6"/>
  <c r="A1168" i="6"/>
  <c r="Y70" i="4"/>
  <c r="Q70" i="4"/>
  <c r="I70" i="4"/>
  <c r="E75" i="4"/>
  <c r="N75" i="4"/>
  <c r="W75" i="4"/>
  <c r="AM75" i="4"/>
  <c r="E82" i="4"/>
  <c r="N82" i="4"/>
  <c r="W82" i="4"/>
  <c r="AM82" i="4"/>
  <c r="A1484" i="6"/>
  <c r="A1476" i="6"/>
  <c r="A1468" i="6"/>
  <c r="A1479" i="6"/>
  <c r="A1470" i="6"/>
  <c r="A1481" i="6"/>
  <c r="A1474" i="6"/>
  <c r="A1483" i="6"/>
  <c r="A1469" i="6"/>
  <c r="A1475" i="6"/>
  <c r="A1480" i="6"/>
  <c r="A1471" i="6"/>
  <c r="A1478" i="6"/>
  <c r="A1472" i="6"/>
  <c r="A1477" i="6"/>
  <c r="A1482" i="6"/>
  <c r="A1473" i="6"/>
  <c r="U88" i="4"/>
  <c r="M88" i="4"/>
  <c r="E88" i="4"/>
  <c r="A1600" i="6"/>
  <c r="A1592" i="6"/>
  <c r="A1593" i="6"/>
  <c r="A1587" i="6"/>
  <c r="A1602" i="6"/>
  <c r="A1595" i="6"/>
  <c r="A1597" i="6"/>
  <c r="A1590" i="6"/>
  <c r="A1599" i="6"/>
  <c r="A1588" i="6"/>
  <c r="A1601" i="6"/>
  <c r="A1596" i="6"/>
  <c r="A1591" i="6"/>
  <c r="A1598" i="6"/>
  <c r="A1589" i="6"/>
  <c r="A1603" i="6"/>
  <c r="A1594" i="6"/>
  <c r="AA95" i="4"/>
  <c r="S95" i="4"/>
  <c r="K95" i="4"/>
  <c r="C95" i="4"/>
  <c r="D100" i="4"/>
  <c r="N100" i="4"/>
  <c r="W100" i="4"/>
  <c r="AM100" i="4"/>
  <c r="A42" i="6"/>
  <c r="A52" i="6"/>
  <c r="A55" i="6"/>
  <c r="A110" i="6"/>
  <c r="A192" i="6"/>
  <c r="A244" i="6"/>
  <c r="A498" i="6"/>
  <c r="A1018" i="6"/>
  <c r="A1010" i="6"/>
  <c r="A1025" i="6"/>
  <c r="A1009" i="6"/>
  <c r="A1024" i="6"/>
  <c r="A1017" i="6"/>
  <c r="A1013" i="6"/>
  <c r="A1020" i="6"/>
  <c r="A1016" i="6"/>
  <c r="A1023" i="6"/>
  <c r="A1019" i="6"/>
  <c r="A1012" i="6"/>
  <c r="A1015" i="6"/>
  <c r="A1011" i="6"/>
  <c r="A1022" i="6"/>
  <c r="A1021" i="6"/>
  <c r="A1090" i="6"/>
  <c r="A1082" i="6"/>
  <c r="A1093" i="6"/>
  <c r="A1085" i="6"/>
  <c r="A1077" i="6"/>
  <c r="A1088" i="6"/>
  <c r="A1080" i="6"/>
  <c r="A1091" i="6"/>
  <c r="A1083" i="6"/>
  <c r="A1086" i="6"/>
  <c r="A1078" i="6"/>
  <c r="A1087" i="6"/>
  <c r="A1084" i="6"/>
  <c r="A1081" i="6"/>
  <c r="A1089" i="6"/>
  <c r="A1092" i="6"/>
  <c r="A1079" i="6"/>
  <c r="A1156" i="6"/>
  <c r="A1148" i="6"/>
  <c r="A1159" i="6"/>
  <c r="A1151" i="6"/>
  <c r="A1154" i="6"/>
  <c r="A1146" i="6"/>
  <c r="A1149" i="6"/>
  <c r="A1150" i="6"/>
  <c r="A1147" i="6"/>
  <c r="A1161" i="6"/>
  <c r="A1160" i="6"/>
  <c r="A1145" i="6"/>
  <c r="A1157" i="6"/>
  <c r="A1153" i="6"/>
  <c r="A1158" i="6"/>
  <c r="A1152" i="6"/>
  <c r="A1155" i="6"/>
  <c r="A1228" i="6"/>
  <c r="A1220" i="6"/>
  <c r="A1223" i="6"/>
  <c r="A1215" i="6"/>
  <c r="A1226" i="6"/>
  <c r="A1218" i="6"/>
  <c r="A1229" i="6"/>
  <c r="A1213" i="6"/>
  <c r="A1214" i="6"/>
  <c r="A1227" i="6"/>
  <c r="A1225" i="6"/>
  <c r="A1224" i="6"/>
  <c r="A1221" i="6"/>
  <c r="A1217" i="6"/>
  <c r="A1222" i="6"/>
  <c r="A1216" i="6"/>
  <c r="A1219" i="6"/>
  <c r="A1294" i="6"/>
  <c r="A1286" i="6"/>
  <c r="A1291" i="6"/>
  <c r="A1284" i="6"/>
  <c r="A1282" i="6"/>
  <c r="A1295" i="6"/>
  <c r="A1293" i="6"/>
  <c r="A1292" i="6"/>
  <c r="A1283" i="6"/>
  <c r="A1290" i="6"/>
  <c r="A1281" i="6"/>
  <c r="A1296" i="6"/>
  <c r="A1289" i="6"/>
  <c r="A1287" i="6"/>
  <c r="A1297" i="6"/>
  <c r="A1288" i="6"/>
  <c r="A1285" i="6"/>
  <c r="A1362" i="6"/>
  <c r="A1354" i="6"/>
  <c r="A1365" i="6"/>
  <c r="A1357" i="6"/>
  <c r="A1349" i="6"/>
  <c r="A1360" i="6"/>
  <c r="A1352" i="6"/>
  <c r="A1363" i="6"/>
  <c r="A1355" i="6"/>
  <c r="A1358" i="6"/>
  <c r="A1350" i="6"/>
  <c r="A1364" i="6"/>
  <c r="A1361" i="6"/>
  <c r="A1351" i="6"/>
  <c r="A1356" i="6"/>
  <c r="A1353" i="6"/>
  <c r="A1359" i="6"/>
  <c r="A1428" i="6"/>
  <c r="A1431" i="6"/>
  <c r="A1422" i="6"/>
  <c r="A1433" i="6"/>
  <c r="A1430" i="6"/>
  <c r="A1420" i="6"/>
  <c r="A1427" i="6"/>
  <c r="A1423" i="6"/>
  <c r="A1419" i="6"/>
  <c r="A1432" i="6"/>
  <c r="A1426" i="6"/>
  <c r="A1424" i="6"/>
  <c r="A1429" i="6"/>
  <c r="A1418" i="6"/>
  <c r="A1425" i="6"/>
  <c r="A1417" i="6"/>
  <c r="A1421" i="6"/>
  <c r="A1500" i="6"/>
  <c r="A1492" i="6"/>
  <c r="A1495" i="6"/>
  <c r="A1486" i="6"/>
  <c r="A1497" i="6"/>
  <c r="A1490" i="6"/>
  <c r="A1488" i="6"/>
  <c r="A1499" i="6"/>
  <c r="A1501" i="6"/>
  <c r="A1485" i="6"/>
  <c r="A1498" i="6"/>
  <c r="A1493" i="6"/>
  <c r="A1489" i="6"/>
  <c r="A1494" i="6"/>
  <c r="A1491" i="6"/>
  <c r="A1496" i="6"/>
  <c r="A1487" i="6"/>
  <c r="A1564" i="6"/>
  <c r="A1556" i="6"/>
  <c r="A1555" i="6"/>
  <c r="A1557" i="6"/>
  <c r="A1566" i="6"/>
  <c r="A1559" i="6"/>
  <c r="A1568" i="6"/>
  <c r="A1561" i="6"/>
  <c r="A1554" i="6"/>
  <c r="A1562" i="6"/>
  <c r="A1567" i="6"/>
  <c r="A1563" i="6"/>
  <c r="A1558" i="6"/>
  <c r="A1553" i="6"/>
  <c r="A1560" i="6"/>
  <c r="A1565" i="6"/>
  <c r="A1569" i="6"/>
  <c r="A1633" i="6"/>
  <c r="A1634" i="6"/>
  <c r="A1630" i="6"/>
  <c r="A1636" i="6"/>
  <c r="A1625" i="6"/>
  <c r="A1628" i="6"/>
  <c r="A1631" i="6"/>
  <c r="A1623" i="6"/>
  <c r="A1627" i="6"/>
  <c r="A1624" i="6"/>
  <c r="A1629" i="6"/>
  <c r="A1622" i="6"/>
  <c r="A1621" i="6"/>
  <c r="A1635" i="6"/>
  <c r="A1626" i="6"/>
  <c r="A1632" i="6"/>
  <c r="A1637" i="6"/>
  <c r="A1701" i="6"/>
  <c r="A1693" i="6"/>
  <c r="A1704" i="6"/>
  <c r="A1699" i="6"/>
  <c r="A1691" i="6"/>
  <c r="A1702" i="6"/>
  <c r="A1705" i="6"/>
  <c r="A1700" i="6"/>
  <c r="A1692" i="6"/>
  <c r="A1698" i="6"/>
  <c r="A1703" i="6"/>
  <c r="A1697" i="6"/>
  <c r="A1696" i="6"/>
  <c r="A1695" i="6"/>
  <c r="A1690" i="6"/>
  <c r="A1689" i="6"/>
  <c r="A1694" i="6"/>
  <c r="A1014" i="6"/>
  <c r="F519" i="6" l="1"/>
  <c r="J1686" i="6"/>
  <c r="D1686" i="6"/>
  <c r="H1686" i="6" s="1"/>
  <c r="I1686" i="6" s="1"/>
  <c r="C277" i="6"/>
  <c r="B1686" i="6"/>
  <c r="L700" i="6"/>
  <c r="C1686" i="6"/>
  <c r="P1686" i="6"/>
  <c r="G277" i="6"/>
  <c r="G519" i="6"/>
  <c r="G135" i="6"/>
  <c r="J519" i="6"/>
  <c r="Q176" i="6"/>
  <c r="C519" i="6"/>
  <c r="J112" i="6"/>
  <c r="Q519" i="6"/>
  <c r="L117" i="6"/>
  <c r="B487" i="6"/>
  <c r="D519" i="6"/>
  <c r="H519" i="6" s="1"/>
  <c r="I519" i="6" s="1"/>
  <c r="C117" i="6"/>
  <c r="L487" i="6"/>
  <c r="T3" i="2"/>
  <c r="B519" i="6"/>
  <c r="P519" i="6"/>
  <c r="P487" i="6"/>
  <c r="I6" i="5"/>
  <c r="B277" i="6"/>
  <c r="P117" i="6"/>
  <c r="B47" i="5"/>
  <c r="C21" i="5" s="1"/>
  <c r="J277" i="6"/>
  <c r="L277" i="6"/>
  <c r="AA2" i="4"/>
  <c r="R2" i="3" s="1"/>
  <c r="L255" i="6"/>
  <c r="P112" i="6"/>
  <c r="D112" i="6"/>
  <c r="H112" i="6" s="1"/>
  <c r="I112" i="6" s="1"/>
  <c r="Q112" i="6"/>
  <c r="D396" i="6"/>
  <c r="H396" i="6" s="1"/>
  <c r="I396" i="6" s="1"/>
  <c r="Q396" i="6"/>
  <c r="O6" i="5"/>
  <c r="J117" i="6"/>
  <c r="D277" i="6"/>
  <c r="H277" i="6" s="1"/>
  <c r="I277" i="6" s="1"/>
  <c r="S2" i="3"/>
  <c r="P277" i="6"/>
  <c r="B117" i="6"/>
  <c r="Q277" i="6"/>
  <c r="J700" i="6"/>
  <c r="J153" i="6"/>
  <c r="F487" i="6"/>
  <c r="D255" i="6"/>
  <c r="H255" i="6" s="1"/>
  <c r="I255" i="6" s="1"/>
  <c r="Q427" i="6"/>
  <c r="G396" i="6"/>
  <c r="G112" i="6"/>
  <c r="D560" i="6"/>
  <c r="H560" i="6" s="1"/>
  <c r="I560" i="6" s="1"/>
  <c r="C487" i="6"/>
  <c r="F427" i="6"/>
  <c r="P255" i="6"/>
  <c r="G487" i="6"/>
  <c r="F396" i="6"/>
  <c r="L633" i="6"/>
  <c r="F724" i="6"/>
  <c r="C112" i="6"/>
  <c r="Q487" i="6"/>
  <c r="C255" i="6"/>
  <c r="F112" i="6"/>
  <c r="J487" i="6"/>
  <c r="L112" i="6"/>
  <c r="B255" i="6"/>
  <c r="F135" i="6"/>
  <c r="J94" i="6"/>
  <c r="C94" i="6"/>
  <c r="P153" i="6"/>
  <c r="P724" i="6"/>
  <c r="P700" i="6"/>
  <c r="F94" i="6"/>
  <c r="D153" i="6"/>
  <c r="H153" i="6" s="1"/>
  <c r="I153" i="6" s="1"/>
  <c r="D117" i="6"/>
  <c r="H117" i="6" s="1"/>
  <c r="I117" i="6" s="1"/>
  <c r="Q700" i="6"/>
  <c r="Q117" i="6"/>
  <c r="Q255" i="6"/>
  <c r="B94" i="6"/>
  <c r="Q94" i="6"/>
  <c r="J724" i="6"/>
  <c r="L153" i="6"/>
  <c r="C700" i="6"/>
  <c r="C176" i="6"/>
  <c r="G94" i="6"/>
  <c r="F700" i="6"/>
  <c r="F117" i="6"/>
  <c r="G255" i="6"/>
  <c r="F255" i="6"/>
  <c r="F176" i="6"/>
  <c r="Q724" i="6"/>
  <c r="G176" i="6"/>
  <c r="G724" i="6"/>
  <c r="D700" i="6"/>
  <c r="H700" i="6" s="1"/>
  <c r="I700" i="6" s="1"/>
  <c r="D724" i="6"/>
  <c r="H724" i="6" s="1"/>
  <c r="I724" i="6" s="1"/>
  <c r="B700" i="6"/>
  <c r="D176" i="6"/>
  <c r="H176" i="6" s="1"/>
  <c r="I176" i="6" s="1"/>
  <c r="C153" i="6"/>
  <c r="Q237" i="6"/>
  <c r="J237" i="6"/>
  <c r="P181" i="6"/>
  <c r="D181" i="6"/>
  <c r="H181" i="6" s="1"/>
  <c r="I181" i="6" s="1"/>
  <c r="F181" i="6"/>
  <c r="J181" i="6"/>
  <c r="F380" i="6"/>
  <c r="Q560" i="6"/>
  <c r="F633" i="6"/>
  <c r="Q181" i="6"/>
  <c r="C181" i="6"/>
  <c r="F560" i="6"/>
  <c r="C434" i="6"/>
  <c r="D427" i="6"/>
  <c r="H427" i="6" s="1"/>
  <c r="I427" i="6" s="1"/>
  <c r="Q135" i="6"/>
  <c r="J434" i="6"/>
  <c r="L380" i="6"/>
  <c r="L434" i="6"/>
  <c r="C396" i="6"/>
  <c r="B380" i="6"/>
  <c r="J396" i="6"/>
  <c r="B724" i="6"/>
  <c r="D434" i="6"/>
  <c r="H434" i="6" s="1"/>
  <c r="I434" i="6" s="1"/>
  <c r="B633" i="6"/>
  <c r="L176" i="6"/>
  <c r="L237" i="6"/>
  <c r="L181" i="6"/>
  <c r="C380" i="6"/>
  <c r="L396" i="6"/>
  <c r="D380" i="6"/>
  <c r="H380" i="6" s="1"/>
  <c r="I380" i="6" s="1"/>
  <c r="G181" i="6"/>
  <c r="L724" i="6"/>
  <c r="L560" i="6"/>
  <c r="P434" i="6"/>
  <c r="C633" i="6"/>
  <c r="J176" i="6"/>
  <c r="C427" i="6"/>
  <c r="P237" i="6"/>
  <c r="D94" i="6"/>
  <c r="H94" i="6" s="1"/>
  <c r="I94" i="6" s="1"/>
  <c r="P135" i="6"/>
  <c r="G153" i="6"/>
  <c r="B396" i="6"/>
  <c r="P633" i="6"/>
  <c r="P380" i="6"/>
  <c r="B176" i="6"/>
  <c r="L94" i="6"/>
  <c r="Q153" i="6"/>
  <c r="Q380" i="6"/>
  <c r="P560" i="6"/>
  <c r="J633" i="6"/>
  <c r="P427" i="6"/>
  <c r="D237" i="6"/>
  <c r="H237" i="6" s="1"/>
  <c r="I237" i="6" s="1"/>
  <c r="D135" i="6"/>
  <c r="H135" i="6" s="1"/>
  <c r="I135" i="6" s="1"/>
  <c r="B153" i="6"/>
  <c r="AI5" i="4"/>
  <c r="AH5" i="4" s="1"/>
  <c r="AA5" i="4"/>
  <c r="Y5" i="4" s="1"/>
  <c r="C219" i="6"/>
  <c r="G380" i="6"/>
  <c r="B560" i="6"/>
  <c r="G560" i="6"/>
  <c r="F434" i="6"/>
  <c r="L158" i="6"/>
  <c r="D633" i="6"/>
  <c r="H633" i="6" s="1"/>
  <c r="I633" i="6" s="1"/>
  <c r="B427" i="6"/>
  <c r="G427" i="6"/>
  <c r="C237" i="6"/>
  <c r="F237" i="6"/>
  <c r="J135" i="6"/>
  <c r="J316" i="6"/>
  <c r="C560" i="6"/>
  <c r="G434" i="6"/>
  <c r="B135" i="6"/>
  <c r="D158" i="6"/>
  <c r="H158" i="6" s="1"/>
  <c r="I158" i="6" s="1"/>
  <c r="Q633" i="6"/>
  <c r="J427" i="6"/>
  <c r="G237" i="6"/>
  <c r="L135" i="6"/>
  <c r="Q219" i="6"/>
  <c r="G316" i="6"/>
  <c r="B434" i="6"/>
  <c r="P158" i="6"/>
  <c r="C316" i="6"/>
  <c r="B316" i="6"/>
  <c r="P316" i="6"/>
  <c r="J219" i="6"/>
  <c r="G158" i="6"/>
  <c r="N2" i="4"/>
  <c r="O2" i="3" s="1"/>
  <c r="L316" i="6"/>
  <c r="D316" i="6"/>
  <c r="H316" i="6" s="1"/>
  <c r="I316" i="6" s="1"/>
  <c r="L219" i="6"/>
  <c r="B158" i="6"/>
  <c r="Q158" i="6"/>
  <c r="D219" i="6"/>
  <c r="H219" i="6" s="1"/>
  <c r="I219" i="6" s="1"/>
  <c r="Q316" i="6"/>
  <c r="F219" i="6"/>
  <c r="J158" i="6"/>
  <c r="G6" i="5"/>
  <c r="P219" i="6"/>
  <c r="F158" i="6"/>
  <c r="G219" i="6"/>
  <c r="J269" i="6"/>
  <c r="B269" i="6"/>
  <c r="G269" i="6"/>
  <c r="F269" i="6"/>
  <c r="Q269" i="6"/>
  <c r="D269" i="6"/>
  <c r="H269" i="6" s="1"/>
  <c r="I269" i="6" s="1"/>
  <c r="C269" i="6"/>
  <c r="P269" i="6"/>
  <c r="L269" i="6"/>
  <c r="P275" i="6"/>
  <c r="D275" i="6"/>
  <c r="H275" i="6" s="1"/>
  <c r="I275" i="6" s="1"/>
  <c r="L275" i="6"/>
  <c r="J275" i="6"/>
  <c r="G275" i="6"/>
  <c r="F275" i="6"/>
  <c r="Q275" i="6"/>
  <c r="C275" i="6"/>
  <c r="B275" i="6"/>
  <c r="G151" i="6"/>
  <c r="F151" i="6"/>
  <c r="Q151" i="6"/>
  <c r="D151" i="6"/>
  <c r="H151" i="6" s="1"/>
  <c r="I151" i="6" s="1"/>
  <c r="P151" i="6"/>
  <c r="C151" i="6"/>
  <c r="L151" i="6"/>
  <c r="J151" i="6"/>
  <c r="B151" i="6"/>
  <c r="P155" i="6"/>
  <c r="D155" i="6"/>
  <c r="H155" i="6" s="1"/>
  <c r="I155" i="6" s="1"/>
  <c r="J155" i="6"/>
  <c r="G155" i="6"/>
  <c r="F155" i="6"/>
  <c r="Q155" i="6"/>
  <c r="L155" i="6"/>
  <c r="C155" i="6"/>
  <c r="B155" i="6"/>
  <c r="G15" i="6"/>
  <c r="F15" i="6"/>
  <c r="Q15" i="6"/>
  <c r="P15" i="6"/>
  <c r="C15" i="6"/>
  <c r="B15" i="6"/>
  <c r="G10" i="6"/>
  <c r="F10" i="6"/>
  <c r="Q10" i="6"/>
  <c r="P10" i="6"/>
  <c r="B10" i="6"/>
  <c r="C10" i="6"/>
  <c r="L752" i="6"/>
  <c r="C752" i="6"/>
  <c r="G752" i="6"/>
  <c r="F752" i="6"/>
  <c r="D752" i="6"/>
  <c r="H752" i="6" s="1"/>
  <c r="I752" i="6" s="1"/>
  <c r="B752" i="6"/>
  <c r="P752" i="6"/>
  <c r="J752" i="6"/>
  <c r="Q752" i="6"/>
  <c r="Q751" i="6"/>
  <c r="D751" i="6"/>
  <c r="H751" i="6" s="1"/>
  <c r="I751" i="6" s="1"/>
  <c r="P751" i="6"/>
  <c r="C751" i="6"/>
  <c r="L751" i="6"/>
  <c r="B751" i="6"/>
  <c r="J751" i="6"/>
  <c r="G751" i="6"/>
  <c r="F751" i="6"/>
  <c r="G300" i="6"/>
  <c r="F300" i="6"/>
  <c r="Q300" i="6"/>
  <c r="D300" i="6"/>
  <c r="H300" i="6" s="1"/>
  <c r="I300" i="6" s="1"/>
  <c r="P300" i="6"/>
  <c r="L300" i="6"/>
  <c r="J300" i="6"/>
  <c r="C300" i="6"/>
  <c r="B300" i="6"/>
  <c r="Q303" i="6"/>
  <c r="D303" i="6"/>
  <c r="H303" i="6" s="1"/>
  <c r="I303" i="6" s="1"/>
  <c r="P303" i="6"/>
  <c r="C303" i="6"/>
  <c r="L303" i="6"/>
  <c r="B303" i="6"/>
  <c r="J303" i="6"/>
  <c r="G303" i="6"/>
  <c r="F303" i="6"/>
  <c r="L304" i="6"/>
  <c r="C304" i="6"/>
  <c r="J304" i="6"/>
  <c r="G304" i="6"/>
  <c r="F304" i="6"/>
  <c r="D304" i="6"/>
  <c r="H304" i="6" s="1"/>
  <c r="I304" i="6" s="1"/>
  <c r="B304" i="6"/>
  <c r="P304" i="6"/>
  <c r="Q304" i="6"/>
  <c r="Q1529" i="6"/>
  <c r="D1529" i="6"/>
  <c r="H1529" i="6" s="1"/>
  <c r="I1529" i="6" s="1"/>
  <c r="P1529" i="6"/>
  <c r="C1529" i="6"/>
  <c r="L1529" i="6"/>
  <c r="B1529" i="6"/>
  <c r="J1529" i="6"/>
  <c r="G1529" i="6"/>
  <c r="F1529" i="6"/>
  <c r="G1524" i="6"/>
  <c r="F1524" i="6"/>
  <c r="Q1524" i="6"/>
  <c r="D1524" i="6"/>
  <c r="H1524" i="6" s="1"/>
  <c r="I1524" i="6" s="1"/>
  <c r="P1524" i="6"/>
  <c r="C1524" i="6"/>
  <c r="L1524" i="6"/>
  <c r="J1524" i="6"/>
  <c r="B1524" i="6"/>
  <c r="G26" i="6"/>
  <c r="F26" i="6"/>
  <c r="Q26" i="6"/>
  <c r="P26" i="6"/>
  <c r="B26" i="6"/>
  <c r="C26" i="6"/>
  <c r="C35" i="6"/>
  <c r="B35" i="6"/>
  <c r="G35" i="6"/>
  <c r="Q35" i="6"/>
  <c r="P35" i="6"/>
  <c r="F35" i="6"/>
  <c r="G880" i="6"/>
  <c r="F880" i="6"/>
  <c r="Q880" i="6"/>
  <c r="P880" i="6"/>
  <c r="D880" i="6"/>
  <c r="H880" i="6" s="1"/>
  <c r="I880" i="6" s="1"/>
  <c r="L880" i="6"/>
  <c r="C880" i="6"/>
  <c r="J880" i="6"/>
  <c r="B880" i="6"/>
  <c r="P879" i="6"/>
  <c r="D879" i="6"/>
  <c r="H879" i="6" s="1"/>
  <c r="I879" i="6" s="1"/>
  <c r="L879" i="6"/>
  <c r="C879" i="6"/>
  <c r="J879" i="6"/>
  <c r="B879" i="6"/>
  <c r="G879" i="6"/>
  <c r="F879" i="6"/>
  <c r="Q879" i="6"/>
  <c r="G886" i="6"/>
  <c r="F886" i="6"/>
  <c r="Q886" i="6"/>
  <c r="L886" i="6"/>
  <c r="J886" i="6"/>
  <c r="D886" i="6"/>
  <c r="H886" i="6" s="1"/>
  <c r="I886" i="6" s="1"/>
  <c r="C886" i="6"/>
  <c r="P886" i="6"/>
  <c r="B886" i="6"/>
  <c r="G854" i="6"/>
  <c r="F854" i="6"/>
  <c r="Q854" i="6"/>
  <c r="C854" i="6"/>
  <c r="B854" i="6"/>
  <c r="P854" i="6"/>
  <c r="L854" i="6"/>
  <c r="J854" i="6"/>
  <c r="D854" i="6"/>
  <c r="H854" i="6" s="1"/>
  <c r="I854" i="6" s="1"/>
  <c r="L855" i="6"/>
  <c r="C855" i="6"/>
  <c r="J855" i="6"/>
  <c r="B855" i="6"/>
  <c r="D855" i="6"/>
  <c r="H855" i="6" s="1"/>
  <c r="I855" i="6" s="1"/>
  <c r="Q855" i="6"/>
  <c r="P855" i="6"/>
  <c r="G855" i="6"/>
  <c r="F855" i="6"/>
  <c r="J609" i="6"/>
  <c r="B609" i="6"/>
  <c r="Q609" i="6"/>
  <c r="D609" i="6"/>
  <c r="H609" i="6" s="1"/>
  <c r="I609" i="6" s="1"/>
  <c r="P609" i="6"/>
  <c r="C609" i="6"/>
  <c r="L609" i="6"/>
  <c r="G609" i="6"/>
  <c r="F609" i="6"/>
  <c r="F610" i="6"/>
  <c r="P610" i="6"/>
  <c r="B610" i="6"/>
  <c r="L610" i="6"/>
  <c r="J610" i="6"/>
  <c r="G610" i="6"/>
  <c r="Q610" i="6"/>
  <c r="D610" i="6"/>
  <c r="H610" i="6" s="1"/>
  <c r="I610" i="6" s="1"/>
  <c r="C610" i="6"/>
  <c r="Q570" i="6"/>
  <c r="P570" i="6"/>
  <c r="D570" i="6"/>
  <c r="H570" i="6" s="1"/>
  <c r="I570" i="6" s="1"/>
  <c r="L570" i="6"/>
  <c r="C570" i="6"/>
  <c r="J570" i="6"/>
  <c r="B570" i="6"/>
  <c r="G570" i="6"/>
  <c r="F570" i="6"/>
  <c r="Q578" i="6"/>
  <c r="G578" i="6"/>
  <c r="F578" i="6"/>
  <c r="D578" i="6"/>
  <c r="H578" i="6" s="1"/>
  <c r="I578" i="6" s="1"/>
  <c r="C578" i="6"/>
  <c r="B578" i="6"/>
  <c r="J578" i="6"/>
  <c r="P578" i="6"/>
  <c r="L578" i="6"/>
  <c r="L1399" i="6"/>
  <c r="C1399" i="6"/>
  <c r="G1399" i="6"/>
  <c r="F1399" i="6"/>
  <c r="Q1399" i="6"/>
  <c r="D1399" i="6"/>
  <c r="H1399" i="6" s="1"/>
  <c r="I1399" i="6" s="1"/>
  <c r="P1399" i="6"/>
  <c r="B1399" i="6"/>
  <c r="J1399" i="6"/>
  <c r="L1398" i="6"/>
  <c r="B1398" i="6"/>
  <c r="J1398" i="6"/>
  <c r="G1398" i="6"/>
  <c r="F1398" i="6"/>
  <c r="Q1398" i="6"/>
  <c r="D1398" i="6"/>
  <c r="H1398" i="6" s="1"/>
  <c r="I1398" i="6" s="1"/>
  <c r="C1398" i="6"/>
  <c r="P1398" i="6"/>
  <c r="Q466" i="6"/>
  <c r="G466" i="6"/>
  <c r="F466" i="6"/>
  <c r="P466" i="6"/>
  <c r="D466" i="6"/>
  <c r="H466" i="6" s="1"/>
  <c r="I466" i="6" s="1"/>
  <c r="L466" i="6"/>
  <c r="J466" i="6"/>
  <c r="C466" i="6"/>
  <c r="B466" i="6"/>
  <c r="J481" i="6"/>
  <c r="B481" i="6"/>
  <c r="G481" i="6"/>
  <c r="F481" i="6"/>
  <c r="D481" i="6"/>
  <c r="H481" i="6" s="1"/>
  <c r="I481" i="6" s="1"/>
  <c r="Q481" i="6"/>
  <c r="C481" i="6"/>
  <c r="P481" i="6"/>
  <c r="L481" i="6"/>
  <c r="Q474" i="6"/>
  <c r="F474" i="6"/>
  <c r="D474" i="6"/>
  <c r="H474" i="6" s="1"/>
  <c r="I474" i="6" s="1"/>
  <c r="P474" i="6"/>
  <c r="C474" i="6"/>
  <c r="L474" i="6"/>
  <c r="B474" i="6"/>
  <c r="J474" i="6"/>
  <c r="G474" i="6"/>
  <c r="P1541" i="6"/>
  <c r="D1541" i="6"/>
  <c r="H1541" i="6" s="1"/>
  <c r="I1541" i="6" s="1"/>
  <c r="L1541" i="6"/>
  <c r="B1541" i="6"/>
  <c r="J1541" i="6"/>
  <c r="C1541" i="6"/>
  <c r="Q1541" i="6"/>
  <c r="F1541" i="6"/>
  <c r="G1541" i="6"/>
  <c r="J1543" i="6"/>
  <c r="B1543" i="6"/>
  <c r="Q1543" i="6"/>
  <c r="D1543" i="6"/>
  <c r="H1543" i="6" s="1"/>
  <c r="I1543" i="6" s="1"/>
  <c r="P1543" i="6"/>
  <c r="C1543" i="6"/>
  <c r="L1543" i="6"/>
  <c r="G1543" i="6"/>
  <c r="F1543" i="6"/>
  <c r="Q1192" i="6"/>
  <c r="P1192" i="6"/>
  <c r="D1192" i="6"/>
  <c r="H1192" i="6" s="1"/>
  <c r="I1192" i="6" s="1"/>
  <c r="L1192" i="6"/>
  <c r="C1192" i="6"/>
  <c r="F1192" i="6"/>
  <c r="B1192" i="6"/>
  <c r="J1192" i="6"/>
  <c r="G1192" i="6"/>
  <c r="J1183" i="6"/>
  <c r="B1183" i="6"/>
  <c r="Q1183" i="6"/>
  <c r="P1183" i="6"/>
  <c r="L1183" i="6"/>
  <c r="G1183" i="6"/>
  <c r="F1183" i="6"/>
  <c r="C1183" i="6"/>
  <c r="D1183" i="6"/>
  <c r="H1183" i="6" s="1"/>
  <c r="I1183" i="6" s="1"/>
  <c r="F977" i="6"/>
  <c r="G977" i="6"/>
  <c r="Q977" i="6"/>
  <c r="D977" i="6"/>
  <c r="H977" i="6" s="1"/>
  <c r="I977" i="6" s="1"/>
  <c r="P977" i="6"/>
  <c r="L977" i="6"/>
  <c r="J977" i="6"/>
  <c r="C977" i="6"/>
  <c r="B977" i="6"/>
  <c r="L976" i="6"/>
  <c r="C976" i="6"/>
  <c r="Q976" i="6"/>
  <c r="D976" i="6"/>
  <c r="H976" i="6" s="1"/>
  <c r="I976" i="6" s="1"/>
  <c r="P976" i="6"/>
  <c r="B976" i="6"/>
  <c r="J976" i="6"/>
  <c r="G976" i="6"/>
  <c r="F976" i="6"/>
  <c r="P503" i="6"/>
  <c r="D503" i="6"/>
  <c r="H503" i="6" s="1"/>
  <c r="I503" i="6" s="1"/>
  <c r="Q503" i="6"/>
  <c r="C503" i="6"/>
  <c r="F503" i="6"/>
  <c r="B503" i="6"/>
  <c r="L503" i="6"/>
  <c r="J503" i="6"/>
  <c r="G503" i="6"/>
  <c r="L508" i="6"/>
  <c r="C508" i="6"/>
  <c r="J508" i="6"/>
  <c r="G508" i="6"/>
  <c r="F508" i="6"/>
  <c r="Q508" i="6"/>
  <c r="P508" i="6"/>
  <c r="B508" i="6"/>
  <c r="D508" i="6"/>
  <c r="H508" i="6" s="1"/>
  <c r="I508" i="6" s="1"/>
  <c r="J165" i="6"/>
  <c r="B165" i="6"/>
  <c r="G165" i="6"/>
  <c r="F165" i="6"/>
  <c r="Q165" i="6"/>
  <c r="D165" i="6"/>
  <c r="H165" i="6" s="1"/>
  <c r="I165" i="6" s="1"/>
  <c r="P165" i="6"/>
  <c r="C165" i="6"/>
  <c r="L165" i="6"/>
  <c r="Q166" i="6"/>
  <c r="L166" i="6"/>
  <c r="C166" i="6"/>
  <c r="J166" i="6"/>
  <c r="B166" i="6"/>
  <c r="G166" i="6"/>
  <c r="P166" i="6"/>
  <c r="F166" i="6"/>
  <c r="D166" i="6"/>
  <c r="H166" i="6" s="1"/>
  <c r="I166" i="6" s="1"/>
  <c r="G156" i="6"/>
  <c r="F156" i="6"/>
  <c r="Q156" i="6"/>
  <c r="D156" i="6"/>
  <c r="H156" i="6" s="1"/>
  <c r="I156" i="6" s="1"/>
  <c r="P156" i="6"/>
  <c r="C156" i="6"/>
  <c r="L156" i="6"/>
  <c r="B156" i="6"/>
  <c r="J156" i="6"/>
  <c r="G1304" i="6"/>
  <c r="Q1304" i="6"/>
  <c r="D1304" i="6"/>
  <c r="H1304" i="6" s="1"/>
  <c r="I1304" i="6" s="1"/>
  <c r="L1304" i="6"/>
  <c r="B1304" i="6"/>
  <c r="P1304" i="6"/>
  <c r="J1304" i="6"/>
  <c r="F1304" i="6"/>
  <c r="C1304" i="6"/>
  <c r="P1311" i="6"/>
  <c r="D1311" i="6"/>
  <c r="H1311" i="6" s="1"/>
  <c r="I1311" i="6" s="1"/>
  <c r="Q1311" i="6"/>
  <c r="C1311" i="6"/>
  <c r="L1311" i="6"/>
  <c r="B1311" i="6"/>
  <c r="J1311" i="6"/>
  <c r="G1311" i="6"/>
  <c r="F1311" i="6"/>
  <c r="G1264" i="6"/>
  <c r="F1264" i="6"/>
  <c r="D1264" i="6"/>
  <c r="H1264" i="6" s="1"/>
  <c r="I1264" i="6" s="1"/>
  <c r="C1264" i="6"/>
  <c r="Q1264" i="6"/>
  <c r="B1264" i="6"/>
  <c r="L1264" i="6"/>
  <c r="P1264" i="6"/>
  <c r="J1264" i="6"/>
  <c r="Q1266" i="6"/>
  <c r="G1266" i="6"/>
  <c r="P1266" i="6"/>
  <c r="B1266" i="6"/>
  <c r="L1266" i="6"/>
  <c r="J1266" i="6"/>
  <c r="F1266" i="6"/>
  <c r="D1266" i="6"/>
  <c r="H1266" i="6" s="1"/>
  <c r="I1266" i="6" s="1"/>
  <c r="C1266" i="6"/>
  <c r="J441" i="6"/>
  <c r="B441" i="6"/>
  <c r="G441" i="6"/>
  <c r="F441" i="6"/>
  <c r="Q441" i="6"/>
  <c r="P441" i="6"/>
  <c r="L441" i="6"/>
  <c r="D441" i="6"/>
  <c r="H441" i="6" s="1"/>
  <c r="I441" i="6" s="1"/>
  <c r="C441" i="6"/>
  <c r="F445" i="6"/>
  <c r="G445" i="6"/>
  <c r="D445" i="6"/>
  <c r="H445" i="6" s="1"/>
  <c r="I445" i="6" s="1"/>
  <c r="Q445" i="6"/>
  <c r="C445" i="6"/>
  <c r="P445" i="6"/>
  <c r="B445" i="6"/>
  <c r="J445" i="6"/>
  <c r="L445" i="6"/>
  <c r="P447" i="6"/>
  <c r="D447" i="6"/>
  <c r="H447" i="6" s="1"/>
  <c r="I447" i="6" s="1"/>
  <c r="Q447" i="6"/>
  <c r="B447" i="6"/>
  <c r="L447" i="6"/>
  <c r="J447" i="6"/>
  <c r="G447" i="6"/>
  <c r="F447" i="6"/>
  <c r="C447" i="6"/>
  <c r="J357" i="6"/>
  <c r="B357" i="6"/>
  <c r="G357" i="6"/>
  <c r="F357" i="6"/>
  <c r="D357" i="6"/>
  <c r="H357" i="6" s="1"/>
  <c r="I357" i="6" s="1"/>
  <c r="C357" i="6"/>
  <c r="Q357" i="6"/>
  <c r="P357" i="6"/>
  <c r="L357" i="6"/>
  <c r="Q350" i="6"/>
  <c r="G350" i="6"/>
  <c r="F350" i="6"/>
  <c r="J350" i="6"/>
  <c r="D350" i="6"/>
  <c r="H350" i="6" s="1"/>
  <c r="I350" i="6" s="1"/>
  <c r="C350" i="6"/>
  <c r="B350" i="6"/>
  <c r="P350" i="6"/>
  <c r="L350" i="6"/>
  <c r="G236" i="6"/>
  <c r="P236" i="6"/>
  <c r="B236" i="6"/>
  <c r="L236" i="6"/>
  <c r="J236" i="6"/>
  <c r="F236" i="6"/>
  <c r="Q236" i="6"/>
  <c r="D236" i="6"/>
  <c r="H236" i="6" s="1"/>
  <c r="I236" i="6" s="1"/>
  <c r="C236" i="6"/>
  <c r="G234" i="6"/>
  <c r="F234" i="6"/>
  <c r="D234" i="6"/>
  <c r="H234" i="6" s="1"/>
  <c r="I234" i="6" s="1"/>
  <c r="Q234" i="6"/>
  <c r="C234" i="6"/>
  <c r="P234" i="6"/>
  <c r="B234" i="6"/>
  <c r="L234" i="6"/>
  <c r="J234" i="6"/>
  <c r="Q1578" i="6"/>
  <c r="L1578" i="6"/>
  <c r="C1578" i="6"/>
  <c r="G1578" i="6"/>
  <c r="F1578" i="6"/>
  <c r="P1578" i="6"/>
  <c r="J1578" i="6"/>
  <c r="D1578" i="6"/>
  <c r="H1578" i="6" s="1"/>
  <c r="I1578" i="6" s="1"/>
  <c r="B1578" i="6"/>
  <c r="P1573" i="6"/>
  <c r="D1573" i="6"/>
  <c r="H1573" i="6" s="1"/>
  <c r="I1573" i="6" s="1"/>
  <c r="L1573" i="6"/>
  <c r="B1573" i="6"/>
  <c r="J1573" i="6"/>
  <c r="G1573" i="6"/>
  <c r="F1573" i="6"/>
  <c r="C1573" i="6"/>
  <c r="Q1573" i="6"/>
  <c r="P195" i="6"/>
  <c r="D195" i="6"/>
  <c r="H195" i="6" s="1"/>
  <c r="I195" i="6" s="1"/>
  <c r="F195" i="6"/>
  <c r="Q195" i="6"/>
  <c r="C195" i="6"/>
  <c r="L195" i="6"/>
  <c r="B195" i="6"/>
  <c r="J195" i="6"/>
  <c r="G195" i="6"/>
  <c r="P203" i="6"/>
  <c r="D203" i="6"/>
  <c r="H203" i="6" s="1"/>
  <c r="I203" i="6" s="1"/>
  <c r="J203" i="6"/>
  <c r="G203" i="6"/>
  <c r="F203" i="6"/>
  <c r="C203" i="6"/>
  <c r="B203" i="6"/>
  <c r="Q203" i="6"/>
  <c r="L203" i="6"/>
  <c r="L1506" i="6"/>
  <c r="C1506" i="6"/>
  <c r="P1506" i="6"/>
  <c r="B1506" i="6"/>
  <c r="J1506" i="6"/>
  <c r="Q1506" i="6"/>
  <c r="G1506" i="6"/>
  <c r="F1506" i="6"/>
  <c r="D1506" i="6"/>
  <c r="H1506" i="6" s="1"/>
  <c r="I1506" i="6" s="1"/>
  <c r="G1510" i="6"/>
  <c r="P1510" i="6"/>
  <c r="L1510" i="6"/>
  <c r="J1510" i="6"/>
  <c r="F1510" i="6"/>
  <c r="C1510" i="6"/>
  <c r="B1510" i="6"/>
  <c r="Q1510" i="6"/>
  <c r="D1510" i="6"/>
  <c r="H1510" i="6" s="1"/>
  <c r="I1510" i="6" s="1"/>
  <c r="F785" i="6"/>
  <c r="Q785" i="6"/>
  <c r="D785" i="6"/>
  <c r="H785" i="6" s="1"/>
  <c r="I785" i="6" s="1"/>
  <c r="P785" i="6"/>
  <c r="C785" i="6"/>
  <c r="L785" i="6"/>
  <c r="B785" i="6"/>
  <c r="J785" i="6"/>
  <c r="G785" i="6"/>
  <c r="F778" i="6"/>
  <c r="Q778" i="6"/>
  <c r="D778" i="6"/>
  <c r="H778" i="6" s="1"/>
  <c r="I778" i="6" s="1"/>
  <c r="P778" i="6"/>
  <c r="C778" i="6"/>
  <c r="L778" i="6"/>
  <c r="B778" i="6"/>
  <c r="G778" i="6"/>
  <c r="J778" i="6"/>
  <c r="F89" i="6"/>
  <c r="G89" i="6"/>
  <c r="Q89" i="6"/>
  <c r="D89" i="6"/>
  <c r="H89" i="6" s="1"/>
  <c r="I89" i="6" s="1"/>
  <c r="P89" i="6"/>
  <c r="L89" i="6"/>
  <c r="J89" i="6"/>
  <c r="C89" i="6"/>
  <c r="B89" i="6"/>
  <c r="J1455" i="6"/>
  <c r="B1455" i="6"/>
  <c r="F1455" i="6"/>
  <c r="G1455" i="6"/>
  <c r="D1455" i="6"/>
  <c r="H1455" i="6" s="1"/>
  <c r="I1455" i="6" s="1"/>
  <c r="Q1455" i="6"/>
  <c r="C1455" i="6"/>
  <c r="P1455" i="6"/>
  <c r="L1455" i="6"/>
  <c r="F1467" i="6"/>
  <c r="P1467" i="6"/>
  <c r="C1467" i="6"/>
  <c r="J1467" i="6"/>
  <c r="D1467" i="6"/>
  <c r="H1467" i="6" s="1"/>
  <c r="I1467" i="6" s="1"/>
  <c r="B1467" i="6"/>
  <c r="Q1467" i="6"/>
  <c r="L1467" i="6"/>
  <c r="G1467" i="6"/>
  <c r="G943" i="6"/>
  <c r="F943" i="6"/>
  <c r="Q943" i="6"/>
  <c r="D943" i="6"/>
  <c r="H943" i="6" s="1"/>
  <c r="I943" i="6" s="1"/>
  <c r="P943" i="6"/>
  <c r="C943" i="6"/>
  <c r="J943" i="6"/>
  <c r="B943" i="6"/>
  <c r="L943" i="6"/>
  <c r="L944" i="6"/>
  <c r="C944" i="6"/>
  <c r="Q944" i="6"/>
  <c r="D944" i="6"/>
  <c r="H944" i="6" s="1"/>
  <c r="I944" i="6" s="1"/>
  <c r="P944" i="6"/>
  <c r="B944" i="6"/>
  <c r="J944" i="6"/>
  <c r="G944" i="6"/>
  <c r="F944" i="6"/>
  <c r="P923" i="6"/>
  <c r="D923" i="6"/>
  <c r="H923" i="6" s="1"/>
  <c r="I923" i="6" s="1"/>
  <c r="F923" i="6"/>
  <c r="Q923" i="6"/>
  <c r="C923" i="6"/>
  <c r="L923" i="6"/>
  <c r="B923" i="6"/>
  <c r="J923" i="6"/>
  <c r="G923" i="6"/>
  <c r="Q914" i="6"/>
  <c r="D914" i="6"/>
  <c r="H914" i="6" s="1"/>
  <c r="I914" i="6" s="1"/>
  <c r="P914" i="6"/>
  <c r="C914" i="6"/>
  <c r="L914" i="6"/>
  <c r="B914" i="6"/>
  <c r="J914" i="6"/>
  <c r="G914" i="6"/>
  <c r="F914" i="6"/>
  <c r="J677" i="6"/>
  <c r="B677" i="6"/>
  <c r="Q677" i="6"/>
  <c r="D677" i="6"/>
  <c r="H677" i="6" s="1"/>
  <c r="I677" i="6" s="1"/>
  <c r="G677" i="6"/>
  <c r="F677" i="6"/>
  <c r="P677" i="6"/>
  <c r="L677" i="6"/>
  <c r="C677" i="6"/>
  <c r="L680" i="6"/>
  <c r="C680" i="6"/>
  <c r="P680" i="6"/>
  <c r="J680" i="6"/>
  <c r="G680" i="6"/>
  <c r="F680" i="6"/>
  <c r="Q680" i="6"/>
  <c r="D680" i="6"/>
  <c r="H680" i="6" s="1"/>
  <c r="I680" i="6" s="1"/>
  <c r="B680" i="6"/>
  <c r="P651" i="6"/>
  <c r="D651" i="6"/>
  <c r="H651" i="6" s="1"/>
  <c r="I651" i="6" s="1"/>
  <c r="G651" i="6"/>
  <c r="J651" i="6"/>
  <c r="F651" i="6"/>
  <c r="Q651" i="6"/>
  <c r="L651" i="6"/>
  <c r="C651" i="6"/>
  <c r="B651" i="6"/>
  <c r="Q639" i="6"/>
  <c r="C639" i="6"/>
  <c r="P639" i="6"/>
  <c r="B639" i="6"/>
  <c r="L639" i="6"/>
  <c r="J639" i="6"/>
  <c r="G639" i="6"/>
  <c r="D639" i="6"/>
  <c r="H639" i="6" s="1"/>
  <c r="I639" i="6" s="1"/>
  <c r="F639" i="6"/>
  <c r="J409" i="6"/>
  <c r="B409" i="6"/>
  <c r="G409" i="6"/>
  <c r="F409" i="6"/>
  <c r="Q409" i="6"/>
  <c r="P409" i="6"/>
  <c r="L409" i="6"/>
  <c r="D409" i="6"/>
  <c r="H409" i="6" s="1"/>
  <c r="I409" i="6" s="1"/>
  <c r="C409" i="6"/>
  <c r="L400" i="6"/>
  <c r="C400" i="6"/>
  <c r="J400" i="6"/>
  <c r="G400" i="6"/>
  <c r="F400" i="6"/>
  <c r="D400" i="6"/>
  <c r="H400" i="6" s="1"/>
  <c r="I400" i="6" s="1"/>
  <c r="B400" i="6"/>
  <c r="P400" i="6"/>
  <c r="Q400" i="6"/>
  <c r="F137" i="6"/>
  <c r="G137" i="6"/>
  <c r="Q137" i="6"/>
  <c r="D137" i="6"/>
  <c r="H137" i="6" s="1"/>
  <c r="I137" i="6" s="1"/>
  <c r="L137" i="6"/>
  <c r="J137" i="6"/>
  <c r="C137" i="6"/>
  <c r="B137" i="6"/>
  <c r="P137" i="6"/>
  <c r="F129" i="6"/>
  <c r="Q129" i="6"/>
  <c r="D129" i="6"/>
  <c r="H129" i="6" s="1"/>
  <c r="I129" i="6" s="1"/>
  <c r="P129" i="6"/>
  <c r="C129" i="6"/>
  <c r="L129" i="6"/>
  <c r="B129" i="6"/>
  <c r="J129" i="6"/>
  <c r="G129" i="6"/>
  <c r="J130" i="6"/>
  <c r="G130" i="6"/>
  <c r="F130" i="6"/>
  <c r="Q130" i="6"/>
  <c r="P130" i="6"/>
  <c r="L130" i="6"/>
  <c r="D130" i="6"/>
  <c r="H130" i="6" s="1"/>
  <c r="I130" i="6" s="1"/>
  <c r="C130" i="6"/>
  <c r="B130" i="6"/>
  <c r="P78" i="6"/>
  <c r="D78" i="6"/>
  <c r="H78" i="6" s="1"/>
  <c r="I78" i="6" s="1"/>
  <c r="L78" i="6"/>
  <c r="C78" i="6"/>
  <c r="J78" i="6"/>
  <c r="B78" i="6"/>
  <c r="F78" i="6"/>
  <c r="G78" i="6"/>
  <c r="Q78" i="6"/>
  <c r="Q90" i="6"/>
  <c r="D90" i="6"/>
  <c r="H90" i="6" s="1"/>
  <c r="I90" i="6" s="1"/>
  <c r="P90" i="6"/>
  <c r="C90" i="6"/>
  <c r="L90" i="6"/>
  <c r="B90" i="6"/>
  <c r="J90" i="6"/>
  <c r="F90" i="6"/>
  <c r="G90" i="6"/>
  <c r="P1642" i="6"/>
  <c r="D1642" i="6"/>
  <c r="H1642" i="6" s="1"/>
  <c r="I1642" i="6" s="1"/>
  <c r="F1642" i="6"/>
  <c r="Q1642" i="6"/>
  <c r="C1642" i="6"/>
  <c r="L1642" i="6"/>
  <c r="B1642" i="6"/>
  <c r="J1642" i="6"/>
  <c r="G1642" i="6"/>
  <c r="P1638" i="6"/>
  <c r="C1638" i="6"/>
  <c r="L1638" i="6"/>
  <c r="B1638" i="6"/>
  <c r="J1638" i="6"/>
  <c r="Q1638" i="6"/>
  <c r="F1638" i="6"/>
  <c r="D1638" i="6"/>
  <c r="H1638" i="6" s="1"/>
  <c r="I1638" i="6" s="1"/>
  <c r="G1638" i="6"/>
  <c r="P1652" i="6"/>
  <c r="G1652" i="6"/>
  <c r="F1652" i="6"/>
  <c r="D1652" i="6"/>
  <c r="H1652" i="6" s="1"/>
  <c r="I1652" i="6" s="1"/>
  <c r="J1652" i="6"/>
  <c r="C1652" i="6"/>
  <c r="B1652" i="6"/>
  <c r="L1652" i="6"/>
  <c r="Q1652" i="6"/>
  <c r="P1618" i="6"/>
  <c r="D1618" i="6"/>
  <c r="H1618" i="6" s="1"/>
  <c r="I1618" i="6" s="1"/>
  <c r="J1618" i="6"/>
  <c r="B1618" i="6"/>
  <c r="G1618" i="6"/>
  <c r="F1618" i="6"/>
  <c r="Q1618" i="6"/>
  <c r="L1618" i="6"/>
  <c r="C1618" i="6"/>
  <c r="Q1608" i="6"/>
  <c r="D1608" i="6"/>
  <c r="H1608" i="6" s="1"/>
  <c r="I1608" i="6" s="1"/>
  <c r="P1608" i="6"/>
  <c r="C1608" i="6"/>
  <c r="L1608" i="6"/>
  <c r="B1608" i="6"/>
  <c r="J1608" i="6"/>
  <c r="G1608" i="6"/>
  <c r="F1608" i="6"/>
  <c r="F1345" i="6"/>
  <c r="Q1345" i="6"/>
  <c r="P1345" i="6"/>
  <c r="D1345" i="6"/>
  <c r="H1345" i="6" s="1"/>
  <c r="I1345" i="6" s="1"/>
  <c r="L1345" i="6"/>
  <c r="C1345" i="6"/>
  <c r="J1345" i="6"/>
  <c r="B1345" i="6"/>
  <c r="G1345" i="6"/>
  <c r="J1333" i="6"/>
  <c r="B1333" i="6"/>
  <c r="G1333" i="6"/>
  <c r="F1333" i="6"/>
  <c r="L1333" i="6"/>
  <c r="D1333" i="6"/>
  <c r="H1333" i="6" s="1"/>
  <c r="I1333" i="6" s="1"/>
  <c r="C1333" i="6"/>
  <c r="P1333" i="6"/>
  <c r="Q1333" i="6"/>
  <c r="L1032" i="6"/>
  <c r="C1032" i="6"/>
  <c r="J1032" i="6"/>
  <c r="G1032" i="6"/>
  <c r="F1032" i="6"/>
  <c r="Q1032" i="6"/>
  <c r="P1032" i="6"/>
  <c r="D1032" i="6"/>
  <c r="H1032" i="6" s="1"/>
  <c r="I1032" i="6" s="1"/>
  <c r="B1032" i="6"/>
  <c r="P1027" i="6"/>
  <c r="D1027" i="6"/>
  <c r="H1027" i="6" s="1"/>
  <c r="I1027" i="6" s="1"/>
  <c r="L1027" i="6"/>
  <c r="B1027" i="6"/>
  <c r="C1027" i="6"/>
  <c r="Q1027" i="6"/>
  <c r="J1027" i="6"/>
  <c r="G1027" i="6"/>
  <c r="F1027" i="6"/>
  <c r="F1042" i="6"/>
  <c r="P1042" i="6"/>
  <c r="B1042" i="6"/>
  <c r="L1042" i="6"/>
  <c r="J1042" i="6"/>
  <c r="G1042" i="6"/>
  <c r="C1042" i="6"/>
  <c r="Q1042" i="6"/>
  <c r="D1042" i="6"/>
  <c r="H1042" i="6" s="1"/>
  <c r="I1042" i="6" s="1"/>
  <c r="F993" i="6"/>
  <c r="G993" i="6"/>
  <c r="Q993" i="6"/>
  <c r="D993" i="6"/>
  <c r="H993" i="6" s="1"/>
  <c r="I993" i="6" s="1"/>
  <c r="B993" i="6"/>
  <c r="P993" i="6"/>
  <c r="L993" i="6"/>
  <c r="J993" i="6"/>
  <c r="C993" i="6"/>
  <c r="Q1006" i="6"/>
  <c r="L1006" i="6"/>
  <c r="C1006" i="6"/>
  <c r="J1006" i="6"/>
  <c r="B1006" i="6"/>
  <c r="G1006" i="6"/>
  <c r="D1006" i="6"/>
  <c r="H1006" i="6" s="1"/>
  <c r="I1006" i="6" s="1"/>
  <c r="F1006" i="6"/>
  <c r="P1006" i="6"/>
  <c r="Q1410" i="6"/>
  <c r="P1410" i="6"/>
  <c r="D1410" i="6"/>
  <c r="H1410" i="6" s="1"/>
  <c r="I1410" i="6" s="1"/>
  <c r="G1410" i="6"/>
  <c r="F1410" i="6"/>
  <c r="C1410" i="6"/>
  <c r="L1410" i="6"/>
  <c r="J1410" i="6"/>
  <c r="B1410" i="6"/>
  <c r="F1405" i="6"/>
  <c r="L1405" i="6"/>
  <c r="B1405" i="6"/>
  <c r="J1405" i="6"/>
  <c r="G1405" i="6"/>
  <c r="P1405" i="6"/>
  <c r="D1405" i="6"/>
  <c r="H1405" i="6" s="1"/>
  <c r="I1405" i="6" s="1"/>
  <c r="C1405" i="6"/>
  <c r="Q1405" i="6"/>
  <c r="F1414" i="6"/>
  <c r="G1414" i="6"/>
  <c r="D1414" i="6"/>
  <c r="H1414" i="6" s="1"/>
  <c r="I1414" i="6" s="1"/>
  <c r="Q1414" i="6"/>
  <c r="C1414" i="6"/>
  <c r="P1414" i="6"/>
  <c r="B1414" i="6"/>
  <c r="J1414" i="6"/>
  <c r="L1414" i="6"/>
  <c r="P339" i="6"/>
  <c r="D339" i="6"/>
  <c r="H339" i="6" s="1"/>
  <c r="I339" i="6" s="1"/>
  <c r="G339" i="6"/>
  <c r="F339" i="6"/>
  <c r="Q339" i="6"/>
  <c r="C339" i="6"/>
  <c r="B339" i="6"/>
  <c r="L339" i="6"/>
  <c r="J339" i="6"/>
  <c r="F329" i="6"/>
  <c r="L329" i="6"/>
  <c r="B329" i="6"/>
  <c r="J329" i="6"/>
  <c r="G329" i="6"/>
  <c r="Q329" i="6"/>
  <c r="P329" i="6"/>
  <c r="D329" i="6"/>
  <c r="H329" i="6" s="1"/>
  <c r="I329" i="6" s="1"/>
  <c r="C329" i="6"/>
  <c r="G220" i="6"/>
  <c r="F220" i="6"/>
  <c r="D220" i="6"/>
  <c r="H220" i="6" s="1"/>
  <c r="I220" i="6" s="1"/>
  <c r="Q220" i="6"/>
  <c r="C220" i="6"/>
  <c r="P220" i="6"/>
  <c r="B220" i="6"/>
  <c r="L220" i="6"/>
  <c r="J220" i="6"/>
  <c r="F225" i="6"/>
  <c r="G225" i="6"/>
  <c r="L225" i="6"/>
  <c r="J225" i="6"/>
  <c r="P225" i="6"/>
  <c r="D225" i="6"/>
  <c r="H225" i="6" s="1"/>
  <c r="I225" i="6" s="1"/>
  <c r="C225" i="6"/>
  <c r="B225" i="6"/>
  <c r="Q225" i="6"/>
  <c r="G103" i="6"/>
  <c r="F103" i="6"/>
  <c r="Q103" i="6"/>
  <c r="D103" i="6"/>
  <c r="H103" i="6" s="1"/>
  <c r="I103" i="6" s="1"/>
  <c r="P103" i="6"/>
  <c r="C103" i="6"/>
  <c r="B103" i="6"/>
  <c r="J103" i="6"/>
  <c r="L103" i="6"/>
  <c r="G100" i="6"/>
  <c r="L100" i="6"/>
  <c r="B100" i="6"/>
  <c r="J100" i="6"/>
  <c r="F100" i="6"/>
  <c r="C100" i="6"/>
  <c r="Q100" i="6"/>
  <c r="P100" i="6"/>
  <c r="D100" i="6"/>
  <c r="H100" i="6" s="1"/>
  <c r="I100" i="6" s="1"/>
  <c r="G716" i="6"/>
  <c r="F716" i="6"/>
  <c r="Q716" i="6"/>
  <c r="D716" i="6"/>
  <c r="H716" i="6" s="1"/>
  <c r="I716" i="6" s="1"/>
  <c r="P716" i="6"/>
  <c r="C716" i="6"/>
  <c r="L716" i="6"/>
  <c r="J716" i="6"/>
  <c r="B716" i="6"/>
  <c r="J706" i="6"/>
  <c r="G706" i="6"/>
  <c r="F706" i="6"/>
  <c r="D706" i="6"/>
  <c r="H706" i="6" s="1"/>
  <c r="I706" i="6" s="1"/>
  <c r="C706" i="6"/>
  <c r="B706" i="6"/>
  <c r="Q706" i="6"/>
  <c r="P706" i="6"/>
  <c r="L706" i="6"/>
  <c r="J1241" i="6"/>
  <c r="B1241" i="6"/>
  <c r="Q1241" i="6"/>
  <c r="D1241" i="6"/>
  <c r="H1241" i="6" s="1"/>
  <c r="I1241" i="6" s="1"/>
  <c r="P1241" i="6"/>
  <c r="C1241" i="6"/>
  <c r="G1241" i="6"/>
  <c r="F1241" i="6"/>
  <c r="L1241" i="6"/>
  <c r="L1244" i="6"/>
  <c r="C1244" i="6"/>
  <c r="J1244" i="6"/>
  <c r="Q1244" i="6"/>
  <c r="P1244" i="6"/>
  <c r="G1244" i="6"/>
  <c r="F1244" i="6"/>
  <c r="D1244" i="6"/>
  <c r="H1244" i="6" s="1"/>
  <c r="I1244" i="6" s="1"/>
  <c r="B1244" i="6"/>
  <c r="Q1663" i="6"/>
  <c r="J1663" i="6"/>
  <c r="B1663" i="6"/>
  <c r="L1663" i="6"/>
  <c r="G1663" i="6"/>
  <c r="F1663" i="6"/>
  <c r="C1663" i="6"/>
  <c r="P1663" i="6"/>
  <c r="D1663" i="6"/>
  <c r="H1663" i="6" s="1"/>
  <c r="I1663" i="6" s="1"/>
  <c r="P1660" i="6"/>
  <c r="D1660" i="6"/>
  <c r="H1660" i="6" s="1"/>
  <c r="I1660" i="6" s="1"/>
  <c r="G1660" i="6"/>
  <c r="Q1660" i="6"/>
  <c r="B1660" i="6"/>
  <c r="L1660" i="6"/>
  <c r="J1660" i="6"/>
  <c r="F1660" i="6"/>
  <c r="C1660" i="6"/>
  <c r="Q814" i="6"/>
  <c r="G814" i="6"/>
  <c r="F814" i="6"/>
  <c r="P814" i="6"/>
  <c r="D814" i="6"/>
  <c r="H814" i="6" s="1"/>
  <c r="I814" i="6" s="1"/>
  <c r="B814" i="6"/>
  <c r="L814" i="6"/>
  <c r="J814" i="6"/>
  <c r="C814" i="6"/>
  <c r="F809" i="6"/>
  <c r="J809" i="6"/>
  <c r="G809" i="6"/>
  <c r="C809" i="6"/>
  <c r="B809" i="6"/>
  <c r="Q809" i="6"/>
  <c r="P809" i="6"/>
  <c r="L809" i="6"/>
  <c r="D809" i="6"/>
  <c r="H809" i="6" s="1"/>
  <c r="I809" i="6" s="1"/>
  <c r="P535" i="6"/>
  <c r="D535" i="6"/>
  <c r="H535" i="6" s="1"/>
  <c r="I535" i="6" s="1"/>
  <c r="G535" i="6"/>
  <c r="F535" i="6"/>
  <c r="Q535" i="6"/>
  <c r="C535" i="6"/>
  <c r="B535" i="6"/>
  <c r="L535" i="6"/>
  <c r="J535" i="6"/>
  <c r="F541" i="6"/>
  <c r="L541" i="6"/>
  <c r="B541" i="6"/>
  <c r="J541" i="6"/>
  <c r="G541" i="6"/>
  <c r="P541" i="6"/>
  <c r="D541" i="6"/>
  <c r="H541" i="6" s="1"/>
  <c r="I541" i="6" s="1"/>
  <c r="C541" i="6"/>
  <c r="Q541" i="6"/>
  <c r="J293" i="6"/>
  <c r="B293" i="6"/>
  <c r="G293" i="6"/>
  <c r="F293" i="6"/>
  <c r="D293" i="6"/>
  <c r="H293" i="6" s="1"/>
  <c r="I293" i="6" s="1"/>
  <c r="C293" i="6"/>
  <c r="Q293" i="6"/>
  <c r="P293" i="6"/>
  <c r="L293" i="6"/>
  <c r="Q286" i="6"/>
  <c r="G286" i="6"/>
  <c r="F286" i="6"/>
  <c r="J286" i="6"/>
  <c r="D286" i="6"/>
  <c r="H286" i="6" s="1"/>
  <c r="I286" i="6" s="1"/>
  <c r="C286" i="6"/>
  <c r="B286" i="6"/>
  <c r="P286" i="6"/>
  <c r="L286" i="6"/>
  <c r="F1690" i="6"/>
  <c r="L1690" i="6"/>
  <c r="C1690" i="6"/>
  <c r="G1690" i="6"/>
  <c r="D1690" i="6"/>
  <c r="H1690" i="6" s="1"/>
  <c r="I1690" i="6" s="1"/>
  <c r="Q1690" i="6"/>
  <c r="J1690" i="6"/>
  <c r="B1690" i="6"/>
  <c r="P1690" i="6"/>
  <c r="L1623" i="6"/>
  <c r="C1623" i="6"/>
  <c r="J1623" i="6"/>
  <c r="B1623" i="6"/>
  <c r="D1623" i="6"/>
  <c r="H1623" i="6" s="1"/>
  <c r="I1623" i="6" s="1"/>
  <c r="Q1623" i="6"/>
  <c r="P1623" i="6"/>
  <c r="G1623" i="6"/>
  <c r="F1623" i="6"/>
  <c r="L1564" i="6"/>
  <c r="B1564" i="6"/>
  <c r="J1564" i="6"/>
  <c r="G1564" i="6"/>
  <c r="P1564" i="6"/>
  <c r="F1564" i="6"/>
  <c r="D1564" i="6"/>
  <c r="H1564" i="6" s="1"/>
  <c r="I1564" i="6" s="1"/>
  <c r="C1564" i="6"/>
  <c r="Q1564" i="6"/>
  <c r="Q1426" i="6"/>
  <c r="P1426" i="6"/>
  <c r="D1426" i="6"/>
  <c r="H1426" i="6" s="1"/>
  <c r="I1426" i="6" s="1"/>
  <c r="C1426" i="6"/>
  <c r="L1426" i="6"/>
  <c r="B1426" i="6"/>
  <c r="J1426" i="6"/>
  <c r="G1426" i="6"/>
  <c r="F1426" i="6"/>
  <c r="J1357" i="6"/>
  <c r="B1357" i="6"/>
  <c r="G1357" i="6"/>
  <c r="F1357" i="6"/>
  <c r="Q1357" i="6"/>
  <c r="P1357" i="6"/>
  <c r="L1357" i="6"/>
  <c r="D1357" i="6"/>
  <c r="H1357" i="6" s="1"/>
  <c r="I1357" i="6" s="1"/>
  <c r="C1357" i="6"/>
  <c r="G1217" i="6"/>
  <c r="F1217" i="6"/>
  <c r="L1217" i="6"/>
  <c r="J1217" i="6"/>
  <c r="D1217" i="6"/>
  <c r="H1217" i="6" s="1"/>
  <c r="I1217" i="6" s="1"/>
  <c r="Q1217" i="6"/>
  <c r="P1217" i="6"/>
  <c r="C1217" i="6"/>
  <c r="B1217" i="6"/>
  <c r="P1149" i="6"/>
  <c r="D1149" i="6"/>
  <c r="H1149" i="6" s="1"/>
  <c r="I1149" i="6" s="1"/>
  <c r="L1149" i="6"/>
  <c r="C1149" i="6"/>
  <c r="J1149" i="6"/>
  <c r="B1149" i="6"/>
  <c r="Q1149" i="6"/>
  <c r="G1149" i="6"/>
  <c r="F1149" i="6"/>
  <c r="J1021" i="6"/>
  <c r="B1021" i="6"/>
  <c r="L1021" i="6"/>
  <c r="G1021" i="6"/>
  <c r="F1021" i="6"/>
  <c r="Q1021" i="6"/>
  <c r="P1021" i="6"/>
  <c r="D1021" i="6"/>
  <c r="H1021" i="6" s="1"/>
  <c r="I1021" i="6" s="1"/>
  <c r="C1021" i="6"/>
  <c r="J1600" i="6"/>
  <c r="G1600" i="6"/>
  <c r="F1600" i="6"/>
  <c r="D1600" i="6"/>
  <c r="H1600" i="6" s="1"/>
  <c r="I1600" i="6" s="1"/>
  <c r="C1600" i="6"/>
  <c r="B1600" i="6"/>
  <c r="Q1600" i="6"/>
  <c r="P1600" i="6"/>
  <c r="L1600" i="6"/>
  <c r="G1172" i="6"/>
  <c r="J1172" i="6"/>
  <c r="F1172" i="6"/>
  <c r="D1172" i="6"/>
  <c r="H1172" i="6" s="1"/>
  <c r="I1172" i="6" s="1"/>
  <c r="C1172" i="6"/>
  <c r="Q1172" i="6"/>
  <c r="P1172" i="6"/>
  <c r="L1172" i="6"/>
  <c r="B1172" i="6"/>
  <c r="L1050" i="6"/>
  <c r="B1050" i="6"/>
  <c r="J1050" i="6"/>
  <c r="G1050" i="6"/>
  <c r="F1050" i="6"/>
  <c r="Q1050" i="6"/>
  <c r="P1050" i="6"/>
  <c r="D1050" i="6"/>
  <c r="H1050" i="6" s="1"/>
  <c r="I1050" i="6" s="1"/>
  <c r="C1050" i="6"/>
  <c r="L904" i="6"/>
  <c r="C904" i="6"/>
  <c r="G904" i="6"/>
  <c r="F904" i="6"/>
  <c r="Q904" i="6"/>
  <c r="D904" i="6"/>
  <c r="H904" i="6" s="1"/>
  <c r="I904" i="6" s="1"/>
  <c r="B904" i="6"/>
  <c r="P904" i="6"/>
  <c r="J904" i="6"/>
  <c r="J836" i="6"/>
  <c r="G836" i="6"/>
  <c r="Q836" i="6"/>
  <c r="C836" i="6"/>
  <c r="P836" i="6"/>
  <c r="B836" i="6"/>
  <c r="L836" i="6"/>
  <c r="F836" i="6"/>
  <c r="D836" i="6"/>
  <c r="H836" i="6" s="1"/>
  <c r="I836" i="6" s="1"/>
  <c r="L696" i="6"/>
  <c r="C696" i="6"/>
  <c r="Q696" i="6"/>
  <c r="D696" i="6"/>
  <c r="H696" i="6" s="1"/>
  <c r="I696" i="6" s="1"/>
  <c r="P696" i="6"/>
  <c r="J696" i="6"/>
  <c r="G696" i="6"/>
  <c r="F696" i="6"/>
  <c r="B696" i="6"/>
  <c r="J621" i="6"/>
  <c r="B621" i="6"/>
  <c r="Q621" i="6"/>
  <c r="C621" i="6"/>
  <c r="P621" i="6"/>
  <c r="L621" i="6"/>
  <c r="G621" i="6"/>
  <c r="D621" i="6"/>
  <c r="H621" i="6" s="1"/>
  <c r="I621" i="6" s="1"/>
  <c r="F621" i="6"/>
  <c r="G488" i="6"/>
  <c r="F488" i="6"/>
  <c r="D488" i="6"/>
  <c r="H488" i="6" s="1"/>
  <c r="I488" i="6" s="1"/>
  <c r="Q488" i="6"/>
  <c r="C488" i="6"/>
  <c r="B488" i="6"/>
  <c r="P488" i="6"/>
  <c r="J488" i="6"/>
  <c r="L488" i="6"/>
  <c r="Q426" i="6"/>
  <c r="L426" i="6"/>
  <c r="B426" i="6"/>
  <c r="J426" i="6"/>
  <c r="G426" i="6"/>
  <c r="F426" i="6"/>
  <c r="D426" i="6"/>
  <c r="H426" i="6" s="1"/>
  <c r="I426" i="6" s="1"/>
  <c r="C426" i="6"/>
  <c r="P426" i="6"/>
  <c r="L1683" i="6"/>
  <c r="C1683" i="6"/>
  <c r="F1683" i="6"/>
  <c r="Q1683" i="6"/>
  <c r="J1683" i="6"/>
  <c r="G1683" i="6"/>
  <c r="D1683" i="6"/>
  <c r="H1683" i="6" s="1"/>
  <c r="I1683" i="6" s="1"/>
  <c r="B1683" i="6"/>
  <c r="P1683" i="6"/>
  <c r="Q1136" i="6"/>
  <c r="P1136" i="6"/>
  <c r="D1136" i="6"/>
  <c r="H1136" i="6" s="1"/>
  <c r="I1136" i="6" s="1"/>
  <c r="L1136" i="6"/>
  <c r="C1136" i="6"/>
  <c r="J1136" i="6"/>
  <c r="G1136" i="6"/>
  <c r="F1136" i="6"/>
  <c r="B1136" i="6"/>
  <c r="G188" i="6"/>
  <c r="F188" i="6"/>
  <c r="Q188" i="6"/>
  <c r="D188" i="6"/>
  <c r="H188" i="6" s="1"/>
  <c r="I188" i="6" s="1"/>
  <c r="P188" i="6"/>
  <c r="C188" i="6"/>
  <c r="L188" i="6"/>
  <c r="B188" i="6"/>
  <c r="J188" i="6"/>
  <c r="G927" i="6"/>
  <c r="F927" i="6"/>
  <c r="Q927" i="6"/>
  <c r="D927" i="6"/>
  <c r="H927" i="6" s="1"/>
  <c r="I927" i="6" s="1"/>
  <c r="P927" i="6"/>
  <c r="C927" i="6"/>
  <c r="B927" i="6"/>
  <c r="J927" i="6"/>
  <c r="L927" i="6"/>
  <c r="G862" i="6"/>
  <c r="F862" i="6"/>
  <c r="Q862" i="6"/>
  <c r="C862" i="6"/>
  <c r="B862" i="6"/>
  <c r="P862" i="6"/>
  <c r="L862" i="6"/>
  <c r="J862" i="6"/>
  <c r="D862" i="6"/>
  <c r="H862" i="6" s="1"/>
  <c r="I862" i="6" s="1"/>
  <c r="F721" i="6"/>
  <c r="Q721" i="6"/>
  <c r="D721" i="6"/>
  <c r="H721" i="6" s="1"/>
  <c r="I721" i="6" s="1"/>
  <c r="L721" i="6"/>
  <c r="B721" i="6"/>
  <c r="J721" i="6"/>
  <c r="C721" i="6"/>
  <c r="P721" i="6"/>
  <c r="G721" i="6"/>
  <c r="J661" i="6"/>
  <c r="B661" i="6"/>
  <c r="Q661" i="6"/>
  <c r="D661" i="6"/>
  <c r="H661" i="6" s="1"/>
  <c r="I661" i="6" s="1"/>
  <c r="C661" i="6"/>
  <c r="P661" i="6"/>
  <c r="L661" i="6"/>
  <c r="F661" i="6"/>
  <c r="G661" i="6"/>
  <c r="G584" i="6"/>
  <c r="Q584" i="6"/>
  <c r="D584" i="6"/>
  <c r="H584" i="6" s="1"/>
  <c r="I584" i="6" s="1"/>
  <c r="P584" i="6"/>
  <c r="C584" i="6"/>
  <c r="L584" i="6"/>
  <c r="B584" i="6"/>
  <c r="J584" i="6"/>
  <c r="F584" i="6"/>
  <c r="G520" i="6"/>
  <c r="F520" i="6"/>
  <c r="D520" i="6"/>
  <c r="H520" i="6" s="1"/>
  <c r="I520" i="6" s="1"/>
  <c r="Q520" i="6"/>
  <c r="C520" i="6"/>
  <c r="B520" i="6"/>
  <c r="P520" i="6"/>
  <c r="L520" i="6"/>
  <c r="J520" i="6"/>
  <c r="J457" i="6"/>
  <c r="B457" i="6"/>
  <c r="Q457" i="6"/>
  <c r="D457" i="6"/>
  <c r="H457" i="6" s="1"/>
  <c r="I457" i="6" s="1"/>
  <c r="P457" i="6"/>
  <c r="C457" i="6"/>
  <c r="L457" i="6"/>
  <c r="G457" i="6"/>
  <c r="F457" i="6"/>
  <c r="L392" i="6"/>
  <c r="C392" i="6"/>
  <c r="F392" i="6"/>
  <c r="Q392" i="6"/>
  <c r="D392" i="6"/>
  <c r="H392" i="6" s="1"/>
  <c r="I392" i="6" s="1"/>
  <c r="P392" i="6"/>
  <c r="B392" i="6"/>
  <c r="J392" i="6"/>
  <c r="G392" i="6"/>
  <c r="L328" i="6"/>
  <c r="C328" i="6"/>
  <c r="F328" i="6"/>
  <c r="Q328" i="6"/>
  <c r="D328" i="6"/>
  <c r="H328" i="6" s="1"/>
  <c r="I328" i="6" s="1"/>
  <c r="P328" i="6"/>
  <c r="B328" i="6"/>
  <c r="J328" i="6"/>
  <c r="G328" i="6"/>
  <c r="G260" i="6"/>
  <c r="Q260" i="6"/>
  <c r="D260" i="6"/>
  <c r="H260" i="6" s="1"/>
  <c r="I260" i="6" s="1"/>
  <c r="C260" i="6"/>
  <c r="P260" i="6"/>
  <c r="B260" i="6"/>
  <c r="L260" i="6"/>
  <c r="J260" i="6"/>
  <c r="F260" i="6"/>
  <c r="P123" i="6"/>
  <c r="D123" i="6"/>
  <c r="H123" i="6" s="1"/>
  <c r="I123" i="6" s="1"/>
  <c r="J123" i="6"/>
  <c r="G123" i="6"/>
  <c r="F123" i="6"/>
  <c r="B123" i="6"/>
  <c r="Q123" i="6"/>
  <c r="L123" i="6"/>
  <c r="C123" i="6"/>
  <c r="G1118" i="6"/>
  <c r="F1118" i="6"/>
  <c r="Q1118" i="6"/>
  <c r="P1118" i="6"/>
  <c r="B1118" i="6"/>
  <c r="L1118" i="6"/>
  <c r="J1118" i="6"/>
  <c r="C1118" i="6"/>
  <c r="D1118" i="6"/>
  <c r="H1118" i="6" s="1"/>
  <c r="I1118" i="6" s="1"/>
  <c r="P1099" i="6"/>
  <c r="D1099" i="6"/>
  <c r="H1099" i="6" s="1"/>
  <c r="I1099" i="6" s="1"/>
  <c r="L1099" i="6"/>
  <c r="C1099" i="6"/>
  <c r="J1099" i="6"/>
  <c r="B1099" i="6"/>
  <c r="Q1099" i="6"/>
  <c r="G1099" i="6"/>
  <c r="F1099" i="6"/>
  <c r="P1075" i="6"/>
  <c r="D1075" i="6"/>
  <c r="H1075" i="6" s="1"/>
  <c r="I1075" i="6" s="1"/>
  <c r="L1075" i="6"/>
  <c r="C1075" i="6"/>
  <c r="J1075" i="6"/>
  <c r="B1075" i="6"/>
  <c r="F1075" i="6"/>
  <c r="Q1075" i="6"/>
  <c r="G1075" i="6"/>
  <c r="F369" i="6"/>
  <c r="G369" i="6"/>
  <c r="Q369" i="6"/>
  <c r="D369" i="6"/>
  <c r="H369" i="6" s="1"/>
  <c r="I369" i="6" s="1"/>
  <c r="P369" i="6"/>
  <c r="C369" i="6"/>
  <c r="L369" i="6"/>
  <c r="B369" i="6"/>
  <c r="J369" i="6"/>
  <c r="B72" i="6"/>
  <c r="G72" i="6"/>
  <c r="F72" i="6"/>
  <c r="C72" i="6"/>
  <c r="P72" i="6"/>
  <c r="Q72" i="6"/>
  <c r="L271" i="6"/>
  <c r="B271" i="6"/>
  <c r="J271" i="6"/>
  <c r="G271" i="6"/>
  <c r="F271" i="6"/>
  <c r="Q271" i="6"/>
  <c r="P271" i="6"/>
  <c r="D271" i="6"/>
  <c r="H271" i="6" s="1"/>
  <c r="I271" i="6" s="1"/>
  <c r="C271" i="6"/>
  <c r="L152" i="6"/>
  <c r="C152" i="6"/>
  <c r="Q152" i="6"/>
  <c r="D152" i="6"/>
  <c r="H152" i="6" s="1"/>
  <c r="I152" i="6" s="1"/>
  <c r="P152" i="6"/>
  <c r="B152" i="6"/>
  <c r="J152" i="6"/>
  <c r="G152" i="6"/>
  <c r="F152" i="6"/>
  <c r="L738" i="6"/>
  <c r="B738" i="6"/>
  <c r="J738" i="6"/>
  <c r="G738" i="6"/>
  <c r="F738" i="6"/>
  <c r="Q738" i="6"/>
  <c r="P738" i="6"/>
  <c r="D738" i="6"/>
  <c r="H738" i="6" s="1"/>
  <c r="I738" i="6" s="1"/>
  <c r="C738" i="6"/>
  <c r="F297" i="6"/>
  <c r="L297" i="6"/>
  <c r="B297" i="6"/>
  <c r="J297" i="6"/>
  <c r="G297" i="6"/>
  <c r="Q297" i="6"/>
  <c r="P297" i="6"/>
  <c r="D297" i="6"/>
  <c r="H297" i="6" s="1"/>
  <c r="I297" i="6" s="1"/>
  <c r="C297" i="6"/>
  <c r="J1535" i="6"/>
  <c r="B1535" i="6"/>
  <c r="G1535" i="6"/>
  <c r="F1535" i="6"/>
  <c r="C1535" i="6"/>
  <c r="Q1535" i="6"/>
  <c r="P1535" i="6"/>
  <c r="L1535" i="6"/>
  <c r="D1535" i="6"/>
  <c r="H1535" i="6" s="1"/>
  <c r="I1535" i="6" s="1"/>
  <c r="P30" i="6"/>
  <c r="C30" i="6"/>
  <c r="B30" i="6"/>
  <c r="Q30" i="6"/>
  <c r="G30" i="6"/>
  <c r="F30" i="6"/>
  <c r="G888" i="6"/>
  <c r="F888" i="6"/>
  <c r="Q888" i="6"/>
  <c r="P888" i="6"/>
  <c r="D888" i="6"/>
  <c r="H888" i="6" s="1"/>
  <c r="I888" i="6" s="1"/>
  <c r="L888" i="6"/>
  <c r="C888" i="6"/>
  <c r="B888" i="6"/>
  <c r="J888" i="6"/>
  <c r="P850" i="6"/>
  <c r="D850" i="6"/>
  <c r="H850" i="6" s="1"/>
  <c r="I850" i="6" s="1"/>
  <c r="J850" i="6"/>
  <c r="B850" i="6"/>
  <c r="Q850" i="6"/>
  <c r="L850" i="6"/>
  <c r="G850" i="6"/>
  <c r="F850" i="6"/>
  <c r="C850" i="6"/>
  <c r="P567" i="6"/>
  <c r="D567" i="6"/>
  <c r="H567" i="6" s="1"/>
  <c r="I567" i="6" s="1"/>
  <c r="G567" i="6"/>
  <c r="F567" i="6"/>
  <c r="Q567" i="6"/>
  <c r="C567" i="6"/>
  <c r="B567" i="6"/>
  <c r="L567" i="6"/>
  <c r="J567" i="6"/>
  <c r="G1190" i="6"/>
  <c r="F1190" i="6"/>
  <c r="Q1190" i="6"/>
  <c r="D1190" i="6"/>
  <c r="H1190" i="6" s="1"/>
  <c r="I1190" i="6" s="1"/>
  <c r="C1190" i="6"/>
  <c r="P1190" i="6"/>
  <c r="B1190" i="6"/>
  <c r="J1190" i="6"/>
  <c r="L1190" i="6"/>
  <c r="P171" i="6"/>
  <c r="D171" i="6"/>
  <c r="H171" i="6" s="1"/>
  <c r="I171" i="6" s="1"/>
  <c r="J171" i="6"/>
  <c r="G171" i="6"/>
  <c r="F171" i="6"/>
  <c r="Q171" i="6"/>
  <c r="L171" i="6"/>
  <c r="C171" i="6"/>
  <c r="B171" i="6"/>
  <c r="G362" i="6"/>
  <c r="F362" i="6"/>
  <c r="Q362" i="6"/>
  <c r="D362" i="6"/>
  <c r="H362" i="6" s="1"/>
  <c r="I362" i="6" s="1"/>
  <c r="P362" i="6"/>
  <c r="C362" i="6"/>
  <c r="L362" i="6"/>
  <c r="J362" i="6"/>
  <c r="B362" i="6"/>
  <c r="Q1464" i="6"/>
  <c r="F1464" i="6"/>
  <c r="L1464" i="6"/>
  <c r="B1464" i="6"/>
  <c r="J1464" i="6"/>
  <c r="G1464" i="6"/>
  <c r="D1464" i="6"/>
  <c r="H1464" i="6" s="1"/>
  <c r="I1464" i="6" s="1"/>
  <c r="C1464" i="6"/>
  <c r="P1464" i="6"/>
  <c r="Q946" i="6"/>
  <c r="D946" i="6"/>
  <c r="H946" i="6" s="1"/>
  <c r="I946" i="6" s="1"/>
  <c r="P946" i="6"/>
  <c r="C946" i="6"/>
  <c r="L946" i="6"/>
  <c r="B946" i="6"/>
  <c r="J946" i="6"/>
  <c r="G946" i="6"/>
  <c r="F946" i="6"/>
  <c r="G676" i="6"/>
  <c r="P676" i="6"/>
  <c r="B676" i="6"/>
  <c r="L676" i="6"/>
  <c r="J676" i="6"/>
  <c r="F676" i="6"/>
  <c r="Q676" i="6"/>
  <c r="D676" i="6"/>
  <c r="H676" i="6" s="1"/>
  <c r="I676" i="6" s="1"/>
  <c r="C676" i="6"/>
  <c r="G408" i="6"/>
  <c r="Q408" i="6"/>
  <c r="C408" i="6"/>
  <c r="P408" i="6"/>
  <c r="B408" i="6"/>
  <c r="L408" i="6"/>
  <c r="J408" i="6"/>
  <c r="F408" i="6"/>
  <c r="D408" i="6"/>
  <c r="H408" i="6" s="1"/>
  <c r="I408" i="6" s="1"/>
  <c r="L1639" i="6"/>
  <c r="C1639" i="6"/>
  <c r="G1639" i="6"/>
  <c r="F1639" i="6"/>
  <c r="D1639" i="6"/>
  <c r="H1639" i="6" s="1"/>
  <c r="I1639" i="6" s="1"/>
  <c r="B1639" i="6"/>
  <c r="Q1639" i="6"/>
  <c r="P1639" i="6"/>
  <c r="J1639" i="6"/>
  <c r="J1620" i="6"/>
  <c r="B1620" i="6"/>
  <c r="D1620" i="6"/>
  <c r="H1620" i="6" s="1"/>
  <c r="I1620" i="6" s="1"/>
  <c r="C1620" i="6"/>
  <c r="Q1620" i="6"/>
  <c r="G1620" i="6"/>
  <c r="F1620" i="6"/>
  <c r="P1620" i="6"/>
  <c r="L1620" i="6"/>
  <c r="Q1030" i="6"/>
  <c r="D1030" i="6"/>
  <c r="H1030" i="6" s="1"/>
  <c r="I1030" i="6" s="1"/>
  <c r="P1030" i="6"/>
  <c r="C1030" i="6"/>
  <c r="L1030" i="6"/>
  <c r="B1030" i="6"/>
  <c r="J1030" i="6"/>
  <c r="G1030" i="6"/>
  <c r="F1030" i="6"/>
  <c r="L1008" i="6"/>
  <c r="C1008" i="6"/>
  <c r="Q1008" i="6"/>
  <c r="D1008" i="6"/>
  <c r="H1008" i="6" s="1"/>
  <c r="I1008" i="6" s="1"/>
  <c r="P1008" i="6"/>
  <c r="B1008" i="6"/>
  <c r="J1008" i="6"/>
  <c r="G1008" i="6"/>
  <c r="F1008" i="6"/>
  <c r="P1702" i="6"/>
  <c r="D1702" i="6"/>
  <c r="H1702" i="6" s="1"/>
  <c r="I1702" i="6" s="1"/>
  <c r="J1702" i="6"/>
  <c r="B1702" i="6"/>
  <c r="G1702" i="6"/>
  <c r="Q1702" i="6"/>
  <c r="L1702" i="6"/>
  <c r="F1702" i="6"/>
  <c r="C1702" i="6"/>
  <c r="Q1561" i="6"/>
  <c r="D1561" i="6"/>
  <c r="H1561" i="6" s="1"/>
  <c r="I1561" i="6" s="1"/>
  <c r="P1561" i="6"/>
  <c r="C1561" i="6"/>
  <c r="L1561" i="6"/>
  <c r="B1561" i="6"/>
  <c r="J1561" i="6"/>
  <c r="G1561" i="6"/>
  <c r="F1561" i="6"/>
  <c r="Q1432" i="6"/>
  <c r="F1432" i="6"/>
  <c r="D1432" i="6"/>
  <c r="H1432" i="6" s="1"/>
  <c r="I1432" i="6" s="1"/>
  <c r="C1432" i="6"/>
  <c r="P1432" i="6"/>
  <c r="B1432" i="6"/>
  <c r="L1432" i="6"/>
  <c r="J1432" i="6"/>
  <c r="G1432" i="6"/>
  <c r="G1296" i="6"/>
  <c r="F1296" i="6"/>
  <c r="L1296" i="6"/>
  <c r="J1296" i="6"/>
  <c r="D1296" i="6"/>
  <c r="H1296" i="6" s="1"/>
  <c r="I1296" i="6" s="1"/>
  <c r="C1296" i="6"/>
  <c r="B1296" i="6"/>
  <c r="Q1296" i="6"/>
  <c r="P1296" i="6"/>
  <c r="G1153" i="6"/>
  <c r="F1153" i="6"/>
  <c r="L1153" i="6"/>
  <c r="J1153" i="6"/>
  <c r="D1153" i="6"/>
  <c r="H1153" i="6" s="1"/>
  <c r="I1153" i="6" s="1"/>
  <c r="Q1153" i="6"/>
  <c r="P1153" i="6"/>
  <c r="C1153" i="6"/>
  <c r="B1153" i="6"/>
  <c r="L1080" i="6"/>
  <c r="C1080" i="6"/>
  <c r="J1080" i="6"/>
  <c r="B1080" i="6"/>
  <c r="G1080" i="6"/>
  <c r="Q1080" i="6"/>
  <c r="P1080" i="6"/>
  <c r="F1080" i="6"/>
  <c r="D1080" i="6"/>
  <c r="H1080" i="6" s="1"/>
  <c r="I1080" i="6" s="1"/>
  <c r="L1590" i="6"/>
  <c r="C1590" i="6"/>
  <c r="Q1590" i="6"/>
  <c r="D1590" i="6"/>
  <c r="H1590" i="6" s="1"/>
  <c r="I1590" i="6" s="1"/>
  <c r="P1590" i="6"/>
  <c r="B1590" i="6"/>
  <c r="J1590" i="6"/>
  <c r="G1590" i="6"/>
  <c r="F1590" i="6"/>
  <c r="F969" i="6"/>
  <c r="Q969" i="6"/>
  <c r="D969" i="6"/>
  <c r="H969" i="6" s="1"/>
  <c r="I969" i="6" s="1"/>
  <c r="P969" i="6"/>
  <c r="C969" i="6"/>
  <c r="L969" i="6"/>
  <c r="B969" i="6"/>
  <c r="J969" i="6"/>
  <c r="G969" i="6"/>
  <c r="P827" i="6"/>
  <c r="D827" i="6"/>
  <c r="H827" i="6" s="1"/>
  <c r="I827" i="6" s="1"/>
  <c r="L827" i="6"/>
  <c r="B827" i="6"/>
  <c r="J827" i="6"/>
  <c r="G827" i="6"/>
  <c r="Q827" i="6"/>
  <c r="F827" i="6"/>
  <c r="C827" i="6"/>
  <c r="L632" i="6"/>
  <c r="C632" i="6"/>
  <c r="Q632" i="6"/>
  <c r="B632" i="6"/>
  <c r="P632" i="6"/>
  <c r="J632" i="6"/>
  <c r="G632" i="6"/>
  <c r="D632" i="6"/>
  <c r="H632" i="6" s="1"/>
  <c r="I632" i="6" s="1"/>
  <c r="F632" i="6"/>
  <c r="Q490" i="6"/>
  <c r="L490" i="6"/>
  <c r="B490" i="6"/>
  <c r="J490" i="6"/>
  <c r="G490" i="6"/>
  <c r="F490" i="6"/>
  <c r="C490" i="6"/>
  <c r="P490" i="6"/>
  <c r="D490" i="6"/>
  <c r="H490" i="6" s="1"/>
  <c r="I490" i="6" s="1"/>
  <c r="J1249" i="6"/>
  <c r="B1249" i="6"/>
  <c r="P1249" i="6"/>
  <c r="C1249" i="6"/>
  <c r="D1249" i="6"/>
  <c r="H1249" i="6" s="1"/>
  <c r="I1249" i="6" s="1"/>
  <c r="Q1249" i="6"/>
  <c r="L1249" i="6"/>
  <c r="G1249" i="6"/>
  <c r="F1249" i="6"/>
  <c r="G183" i="6"/>
  <c r="F183" i="6"/>
  <c r="Q183" i="6"/>
  <c r="D183" i="6"/>
  <c r="H183" i="6" s="1"/>
  <c r="I183" i="6" s="1"/>
  <c r="P183" i="6"/>
  <c r="C183" i="6"/>
  <c r="J183" i="6"/>
  <c r="B183" i="6"/>
  <c r="L183" i="6"/>
  <c r="L1316" i="6"/>
  <c r="C1316" i="6"/>
  <c r="J1316" i="6"/>
  <c r="Q1316" i="6"/>
  <c r="P1316" i="6"/>
  <c r="G1316" i="6"/>
  <c r="F1316" i="6"/>
  <c r="D1316" i="6"/>
  <c r="H1316" i="6" s="1"/>
  <c r="I1316" i="6" s="1"/>
  <c r="B1316" i="6"/>
  <c r="Q866" i="6"/>
  <c r="P866" i="6"/>
  <c r="D866" i="6"/>
  <c r="H866" i="6" s="1"/>
  <c r="I866" i="6" s="1"/>
  <c r="L866" i="6"/>
  <c r="C866" i="6"/>
  <c r="J866" i="6"/>
  <c r="B866" i="6"/>
  <c r="G866" i="6"/>
  <c r="F866" i="6"/>
  <c r="Q726" i="6"/>
  <c r="P726" i="6"/>
  <c r="D726" i="6"/>
  <c r="H726" i="6" s="1"/>
  <c r="I726" i="6" s="1"/>
  <c r="L726" i="6"/>
  <c r="C726" i="6"/>
  <c r="J726" i="6"/>
  <c r="B726" i="6"/>
  <c r="G726" i="6"/>
  <c r="F726" i="6"/>
  <c r="F665" i="6"/>
  <c r="L665" i="6"/>
  <c r="B665" i="6"/>
  <c r="J665" i="6"/>
  <c r="G665" i="6"/>
  <c r="Q665" i="6"/>
  <c r="P665" i="6"/>
  <c r="D665" i="6"/>
  <c r="H665" i="6" s="1"/>
  <c r="I665" i="6" s="1"/>
  <c r="C665" i="6"/>
  <c r="F517" i="6"/>
  <c r="L517" i="6"/>
  <c r="B517" i="6"/>
  <c r="D517" i="6"/>
  <c r="H517" i="6" s="1"/>
  <c r="I517" i="6" s="1"/>
  <c r="Q517" i="6"/>
  <c r="C517" i="6"/>
  <c r="P517" i="6"/>
  <c r="J517" i="6"/>
  <c r="G517" i="6"/>
  <c r="G464" i="6"/>
  <c r="Q464" i="6"/>
  <c r="D464" i="6"/>
  <c r="H464" i="6" s="1"/>
  <c r="I464" i="6" s="1"/>
  <c r="C464" i="6"/>
  <c r="P464" i="6"/>
  <c r="B464" i="6"/>
  <c r="L464" i="6"/>
  <c r="J464" i="6"/>
  <c r="F464" i="6"/>
  <c r="J317" i="6"/>
  <c r="B317" i="6"/>
  <c r="Q317" i="6"/>
  <c r="D317" i="6"/>
  <c r="H317" i="6" s="1"/>
  <c r="I317" i="6" s="1"/>
  <c r="P317" i="6"/>
  <c r="C317" i="6"/>
  <c r="L317" i="6"/>
  <c r="F317" i="6"/>
  <c r="G317" i="6"/>
  <c r="P115" i="6"/>
  <c r="D115" i="6"/>
  <c r="H115" i="6" s="1"/>
  <c r="I115" i="6" s="1"/>
  <c r="F115" i="6"/>
  <c r="Q115" i="6"/>
  <c r="C115" i="6"/>
  <c r="L115" i="6"/>
  <c r="B115" i="6"/>
  <c r="J115" i="6"/>
  <c r="G115" i="6"/>
  <c r="G1105" i="6"/>
  <c r="F1105" i="6"/>
  <c r="L1105" i="6"/>
  <c r="J1105" i="6"/>
  <c r="D1105" i="6"/>
  <c r="H1105" i="6" s="1"/>
  <c r="I1105" i="6" s="1"/>
  <c r="C1105" i="6"/>
  <c r="B1105" i="6"/>
  <c r="Q1105" i="6"/>
  <c r="P1105" i="6"/>
  <c r="L1072" i="6"/>
  <c r="C1072" i="6"/>
  <c r="J1072" i="6"/>
  <c r="G1072" i="6"/>
  <c r="Q1072" i="6"/>
  <c r="P1072" i="6"/>
  <c r="F1072" i="6"/>
  <c r="D1072" i="6"/>
  <c r="H1072" i="6" s="1"/>
  <c r="I1072" i="6" s="1"/>
  <c r="B1072" i="6"/>
  <c r="G61" i="6"/>
  <c r="F61" i="6"/>
  <c r="Q61" i="6"/>
  <c r="P61" i="6"/>
  <c r="C61" i="6"/>
  <c r="B61" i="6"/>
  <c r="J261" i="6"/>
  <c r="B261" i="6"/>
  <c r="P261" i="6"/>
  <c r="L261" i="6"/>
  <c r="G261" i="6"/>
  <c r="F261" i="6"/>
  <c r="Q261" i="6"/>
  <c r="D261" i="6"/>
  <c r="H261" i="6" s="1"/>
  <c r="I261" i="6" s="1"/>
  <c r="C261" i="6"/>
  <c r="G13" i="6"/>
  <c r="F13" i="6"/>
  <c r="Q13" i="6"/>
  <c r="P13" i="6"/>
  <c r="C13" i="6"/>
  <c r="B13" i="6"/>
  <c r="Q742" i="6"/>
  <c r="P742" i="6"/>
  <c r="D742" i="6"/>
  <c r="H742" i="6" s="1"/>
  <c r="I742" i="6" s="1"/>
  <c r="L742" i="6"/>
  <c r="C742" i="6"/>
  <c r="J742" i="6"/>
  <c r="B742" i="6"/>
  <c r="G742" i="6"/>
  <c r="F742" i="6"/>
  <c r="J295" i="6"/>
  <c r="G295" i="6"/>
  <c r="F295" i="6"/>
  <c r="Q295" i="6"/>
  <c r="P295" i="6"/>
  <c r="L295" i="6"/>
  <c r="D295" i="6"/>
  <c r="H295" i="6" s="1"/>
  <c r="I295" i="6" s="1"/>
  <c r="C295" i="6"/>
  <c r="B295" i="6"/>
  <c r="Q1528" i="6"/>
  <c r="G1528" i="6"/>
  <c r="F1528" i="6"/>
  <c r="D1528" i="6"/>
  <c r="H1528" i="6" s="1"/>
  <c r="I1528" i="6" s="1"/>
  <c r="C1528" i="6"/>
  <c r="B1528" i="6"/>
  <c r="P1528" i="6"/>
  <c r="L1528" i="6"/>
  <c r="J1528" i="6"/>
  <c r="P38" i="6"/>
  <c r="C38" i="6"/>
  <c r="B38" i="6"/>
  <c r="Q38" i="6"/>
  <c r="G38" i="6"/>
  <c r="F38" i="6"/>
  <c r="L839" i="6"/>
  <c r="C839" i="6"/>
  <c r="G839" i="6"/>
  <c r="F839" i="6"/>
  <c r="D839" i="6"/>
  <c r="H839" i="6" s="1"/>
  <c r="I839" i="6" s="1"/>
  <c r="B839" i="6"/>
  <c r="Q839" i="6"/>
  <c r="P839" i="6"/>
  <c r="J839" i="6"/>
  <c r="P583" i="6"/>
  <c r="D583" i="6"/>
  <c r="H583" i="6" s="1"/>
  <c r="I583" i="6" s="1"/>
  <c r="G583" i="6"/>
  <c r="F583" i="6"/>
  <c r="Q583" i="6"/>
  <c r="C583" i="6"/>
  <c r="B583" i="6"/>
  <c r="L583" i="6"/>
  <c r="J583" i="6"/>
  <c r="F477" i="6"/>
  <c r="G477" i="6"/>
  <c r="D477" i="6"/>
  <c r="H477" i="6" s="1"/>
  <c r="I477" i="6" s="1"/>
  <c r="Q477" i="6"/>
  <c r="C477" i="6"/>
  <c r="P477" i="6"/>
  <c r="B477" i="6"/>
  <c r="J477" i="6"/>
  <c r="L477" i="6"/>
  <c r="Q1536" i="6"/>
  <c r="P1536" i="6"/>
  <c r="D1536" i="6"/>
  <c r="H1536" i="6" s="1"/>
  <c r="I1536" i="6" s="1"/>
  <c r="L1536" i="6"/>
  <c r="C1536" i="6"/>
  <c r="J1536" i="6"/>
  <c r="B1536" i="6"/>
  <c r="G1536" i="6"/>
  <c r="F1536" i="6"/>
  <c r="L1186" i="6"/>
  <c r="C1186" i="6"/>
  <c r="J1186" i="6"/>
  <c r="B1186" i="6"/>
  <c r="P1186" i="6"/>
  <c r="G1186" i="6"/>
  <c r="F1186" i="6"/>
  <c r="Q1186" i="6"/>
  <c r="D1186" i="6"/>
  <c r="H1186" i="6" s="1"/>
  <c r="I1186" i="6" s="1"/>
  <c r="P987" i="6"/>
  <c r="D987" i="6"/>
  <c r="H987" i="6" s="1"/>
  <c r="I987" i="6" s="1"/>
  <c r="F987" i="6"/>
  <c r="Q987" i="6"/>
  <c r="C987" i="6"/>
  <c r="L987" i="6"/>
  <c r="B987" i="6"/>
  <c r="J987" i="6"/>
  <c r="G987" i="6"/>
  <c r="F161" i="6"/>
  <c r="Q161" i="6"/>
  <c r="D161" i="6"/>
  <c r="H161" i="6" s="1"/>
  <c r="I161" i="6" s="1"/>
  <c r="P161" i="6"/>
  <c r="C161" i="6"/>
  <c r="L161" i="6"/>
  <c r="B161" i="6"/>
  <c r="J161" i="6"/>
  <c r="G161" i="6"/>
  <c r="J1265" i="6"/>
  <c r="B1265" i="6"/>
  <c r="P1265" i="6"/>
  <c r="C1265" i="6"/>
  <c r="D1265" i="6"/>
  <c r="H1265" i="6" s="1"/>
  <c r="I1265" i="6" s="1"/>
  <c r="Q1265" i="6"/>
  <c r="L1265" i="6"/>
  <c r="G1265" i="6"/>
  <c r="F1265" i="6"/>
  <c r="Q206" i="6"/>
  <c r="G206" i="6"/>
  <c r="F206" i="6"/>
  <c r="P206" i="6"/>
  <c r="D206" i="6"/>
  <c r="H206" i="6" s="1"/>
  <c r="I206" i="6" s="1"/>
  <c r="L206" i="6"/>
  <c r="C206" i="6"/>
  <c r="B206" i="6"/>
  <c r="J206" i="6"/>
  <c r="J1508" i="6"/>
  <c r="B1508" i="6"/>
  <c r="D1508" i="6"/>
  <c r="H1508" i="6" s="1"/>
  <c r="I1508" i="6" s="1"/>
  <c r="Q1508" i="6"/>
  <c r="C1508" i="6"/>
  <c r="P1508" i="6"/>
  <c r="G1508" i="6"/>
  <c r="F1508" i="6"/>
  <c r="L1508" i="6"/>
  <c r="F953" i="6"/>
  <c r="Q953" i="6"/>
  <c r="D953" i="6"/>
  <c r="H953" i="6" s="1"/>
  <c r="I953" i="6" s="1"/>
  <c r="P953" i="6"/>
  <c r="C953" i="6"/>
  <c r="L953" i="6"/>
  <c r="B953" i="6"/>
  <c r="J953" i="6"/>
  <c r="G953" i="6"/>
  <c r="P403" i="6"/>
  <c r="D403" i="6"/>
  <c r="H403" i="6" s="1"/>
  <c r="I403" i="6" s="1"/>
  <c r="G403" i="6"/>
  <c r="F403" i="6"/>
  <c r="Q403" i="6"/>
  <c r="C403" i="6"/>
  <c r="B403" i="6"/>
  <c r="L403" i="6"/>
  <c r="J403" i="6"/>
  <c r="F1651" i="6"/>
  <c r="L1651" i="6"/>
  <c r="B1651" i="6"/>
  <c r="J1651" i="6"/>
  <c r="G1651" i="6"/>
  <c r="C1651" i="6"/>
  <c r="Q1651" i="6"/>
  <c r="P1651" i="6"/>
  <c r="D1651" i="6"/>
  <c r="H1651" i="6" s="1"/>
  <c r="I1651" i="6" s="1"/>
  <c r="G1619" i="6"/>
  <c r="Q1619" i="6"/>
  <c r="F1619" i="6"/>
  <c r="D1619" i="6"/>
  <c r="H1619" i="6" s="1"/>
  <c r="I1619" i="6" s="1"/>
  <c r="P1619" i="6"/>
  <c r="C1619" i="6"/>
  <c r="B1619" i="6"/>
  <c r="L1619" i="6"/>
  <c r="J1619" i="6"/>
  <c r="L1000" i="6"/>
  <c r="C1000" i="6"/>
  <c r="G1000" i="6"/>
  <c r="F1000" i="6"/>
  <c r="Q1000" i="6"/>
  <c r="D1000" i="6"/>
  <c r="H1000" i="6" s="1"/>
  <c r="I1000" i="6" s="1"/>
  <c r="P1000" i="6"/>
  <c r="J1000" i="6"/>
  <c r="B1000" i="6"/>
  <c r="L104" i="6"/>
  <c r="C104" i="6"/>
  <c r="Q104" i="6"/>
  <c r="D104" i="6"/>
  <c r="H104" i="6" s="1"/>
  <c r="I104" i="6" s="1"/>
  <c r="P104" i="6"/>
  <c r="B104" i="6"/>
  <c r="J104" i="6"/>
  <c r="G104" i="6"/>
  <c r="F104" i="6"/>
  <c r="J1696" i="6"/>
  <c r="B1696" i="6"/>
  <c r="Q1696" i="6"/>
  <c r="D1696" i="6"/>
  <c r="H1696" i="6" s="1"/>
  <c r="I1696" i="6" s="1"/>
  <c r="C1696" i="6"/>
  <c r="P1696" i="6"/>
  <c r="L1696" i="6"/>
  <c r="G1696" i="6"/>
  <c r="F1696" i="6"/>
  <c r="Q1568" i="6"/>
  <c r="P1568" i="6"/>
  <c r="D1568" i="6"/>
  <c r="H1568" i="6" s="1"/>
  <c r="I1568" i="6" s="1"/>
  <c r="L1568" i="6"/>
  <c r="C1568" i="6"/>
  <c r="J1568" i="6"/>
  <c r="B1568" i="6"/>
  <c r="G1568" i="6"/>
  <c r="F1568" i="6"/>
  <c r="Q1428" i="6"/>
  <c r="D1428" i="6"/>
  <c r="H1428" i="6" s="1"/>
  <c r="I1428" i="6" s="1"/>
  <c r="F1428" i="6"/>
  <c r="L1428" i="6"/>
  <c r="J1428" i="6"/>
  <c r="G1428" i="6"/>
  <c r="P1428" i="6"/>
  <c r="B1428" i="6"/>
  <c r="C1428" i="6"/>
  <c r="J1281" i="6"/>
  <c r="B1281" i="6"/>
  <c r="P1281" i="6"/>
  <c r="C1281" i="6"/>
  <c r="F1281" i="6"/>
  <c r="D1281" i="6"/>
  <c r="H1281" i="6" s="1"/>
  <c r="I1281" i="6" s="1"/>
  <c r="L1281" i="6"/>
  <c r="Q1281" i="6"/>
  <c r="G1281" i="6"/>
  <c r="L1154" i="6"/>
  <c r="C1154" i="6"/>
  <c r="J1154" i="6"/>
  <c r="B1154" i="6"/>
  <c r="P1154" i="6"/>
  <c r="G1154" i="6"/>
  <c r="F1154" i="6"/>
  <c r="Q1154" i="6"/>
  <c r="D1154" i="6"/>
  <c r="H1154" i="6" s="1"/>
  <c r="I1154" i="6" s="1"/>
  <c r="F1017" i="6"/>
  <c r="J1017" i="6"/>
  <c r="G1017" i="6"/>
  <c r="B1017" i="6"/>
  <c r="Q1017" i="6"/>
  <c r="P1017" i="6"/>
  <c r="L1017" i="6"/>
  <c r="D1017" i="6"/>
  <c r="H1017" i="6" s="1"/>
  <c r="I1017" i="6" s="1"/>
  <c r="C1017" i="6"/>
  <c r="L1162" i="6"/>
  <c r="C1162" i="6"/>
  <c r="J1162" i="6"/>
  <c r="B1162" i="6"/>
  <c r="D1162" i="6"/>
  <c r="H1162" i="6" s="1"/>
  <c r="I1162" i="6" s="1"/>
  <c r="Q1162" i="6"/>
  <c r="P1162" i="6"/>
  <c r="G1162" i="6"/>
  <c r="F1162" i="6"/>
  <c r="F961" i="6"/>
  <c r="G961" i="6"/>
  <c r="Q961" i="6"/>
  <c r="D961" i="6"/>
  <c r="H961" i="6" s="1"/>
  <c r="I961" i="6" s="1"/>
  <c r="L961" i="6"/>
  <c r="J961" i="6"/>
  <c r="C961" i="6"/>
  <c r="B961" i="6"/>
  <c r="P961" i="6"/>
  <c r="F825" i="6"/>
  <c r="J825" i="6"/>
  <c r="G825" i="6"/>
  <c r="D825" i="6"/>
  <c r="H825" i="6" s="1"/>
  <c r="I825" i="6" s="1"/>
  <c r="C825" i="6"/>
  <c r="B825" i="6"/>
  <c r="Q825" i="6"/>
  <c r="P825" i="6"/>
  <c r="L825" i="6"/>
  <c r="F623" i="6"/>
  <c r="D623" i="6"/>
  <c r="H623" i="6" s="1"/>
  <c r="I623" i="6" s="1"/>
  <c r="Q623" i="6"/>
  <c r="C623" i="6"/>
  <c r="P623" i="6"/>
  <c r="B623" i="6"/>
  <c r="L623" i="6"/>
  <c r="J623" i="6"/>
  <c r="G623" i="6"/>
  <c r="L492" i="6"/>
  <c r="C492" i="6"/>
  <c r="J492" i="6"/>
  <c r="D492" i="6"/>
  <c r="H492" i="6" s="1"/>
  <c r="I492" i="6" s="1"/>
  <c r="Q492" i="6"/>
  <c r="B492" i="6"/>
  <c r="P492" i="6"/>
  <c r="G492" i="6"/>
  <c r="F492" i="6"/>
  <c r="J1680" i="6"/>
  <c r="B1680" i="6"/>
  <c r="Q1680" i="6"/>
  <c r="D1680" i="6"/>
  <c r="H1680" i="6" s="1"/>
  <c r="I1680" i="6" s="1"/>
  <c r="P1680" i="6"/>
  <c r="G1680" i="6"/>
  <c r="F1680" i="6"/>
  <c r="C1680" i="6"/>
  <c r="L1680" i="6"/>
  <c r="L1130" i="6"/>
  <c r="C1130" i="6"/>
  <c r="J1130" i="6"/>
  <c r="B1130" i="6"/>
  <c r="D1130" i="6"/>
  <c r="H1130" i="6" s="1"/>
  <c r="I1130" i="6" s="1"/>
  <c r="Q1130" i="6"/>
  <c r="P1130" i="6"/>
  <c r="F1130" i="6"/>
  <c r="G1130" i="6"/>
  <c r="L1450" i="6"/>
  <c r="C1450" i="6"/>
  <c r="G1450" i="6"/>
  <c r="J1450" i="6"/>
  <c r="F1450" i="6"/>
  <c r="D1450" i="6"/>
  <c r="H1450" i="6" s="1"/>
  <c r="I1450" i="6" s="1"/>
  <c r="B1450" i="6"/>
  <c r="P1450" i="6"/>
  <c r="Q1450" i="6"/>
  <c r="G932" i="6"/>
  <c r="F932" i="6"/>
  <c r="Q932" i="6"/>
  <c r="D932" i="6"/>
  <c r="H932" i="6" s="1"/>
  <c r="I932" i="6" s="1"/>
  <c r="P932" i="6"/>
  <c r="C932" i="6"/>
  <c r="L932" i="6"/>
  <c r="B932" i="6"/>
  <c r="J932" i="6"/>
  <c r="P863" i="6"/>
  <c r="D863" i="6"/>
  <c r="H863" i="6" s="1"/>
  <c r="I863" i="6" s="1"/>
  <c r="L863" i="6"/>
  <c r="C863" i="6"/>
  <c r="J863" i="6"/>
  <c r="B863" i="6"/>
  <c r="G863" i="6"/>
  <c r="F863" i="6"/>
  <c r="Q863" i="6"/>
  <c r="P795" i="6"/>
  <c r="D795" i="6"/>
  <c r="H795" i="6" s="1"/>
  <c r="I795" i="6" s="1"/>
  <c r="L795" i="6"/>
  <c r="B795" i="6"/>
  <c r="J795" i="6"/>
  <c r="G795" i="6"/>
  <c r="Q795" i="6"/>
  <c r="F795" i="6"/>
  <c r="C795" i="6"/>
  <c r="F597" i="6"/>
  <c r="G597" i="6"/>
  <c r="Q597" i="6"/>
  <c r="D597" i="6"/>
  <c r="H597" i="6" s="1"/>
  <c r="I597" i="6" s="1"/>
  <c r="P597" i="6"/>
  <c r="C597" i="6"/>
  <c r="L597" i="6"/>
  <c r="B597" i="6"/>
  <c r="J597" i="6"/>
  <c r="J521" i="6"/>
  <c r="B521" i="6"/>
  <c r="Q521" i="6"/>
  <c r="D521" i="6"/>
  <c r="H521" i="6" s="1"/>
  <c r="I521" i="6" s="1"/>
  <c r="P521" i="6"/>
  <c r="C521" i="6"/>
  <c r="L521" i="6"/>
  <c r="G521" i="6"/>
  <c r="F521" i="6"/>
  <c r="F461" i="6"/>
  <c r="G461" i="6"/>
  <c r="P461" i="6"/>
  <c r="B461" i="6"/>
  <c r="L461" i="6"/>
  <c r="J461" i="6"/>
  <c r="Q461" i="6"/>
  <c r="D461" i="6"/>
  <c r="H461" i="6" s="1"/>
  <c r="I461" i="6" s="1"/>
  <c r="C461" i="6"/>
  <c r="G324" i="6"/>
  <c r="Q324" i="6"/>
  <c r="D324" i="6"/>
  <c r="H324" i="6" s="1"/>
  <c r="I324" i="6" s="1"/>
  <c r="P324" i="6"/>
  <c r="C324" i="6"/>
  <c r="L324" i="6"/>
  <c r="B324" i="6"/>
  <c r="J324" i="6"/>
  <c r="F324" i="6"/>
  <c r="L184" i="6"/>
  <c r="C184" i="6"/>
  <c r="Q184" i="6"/>
  <c r="D184" i="6"/>
  <c r="H184" i="6" s="1"/>
  <c r="I184" i="6" s="1"/>
  <c r="P184" i="6"/>
  <c r="B184" i="6"/>
  <c r="J184" i="6"/>
  <c r="G184" i="6"/>
  <c r="F184" i="6"/>
  <c r="L1114" i="6"/>
  <c r="C1114" i="6"/>
  <c r="J1114" i="6"/>
  <c r="B1114" i="6"/>
  <c r="D1114" i="6"/>
  <c r="H1114" i="6" s="1"/>
  <c r="I1114" i="6" s="1"/>
  <c r="Q1114" i="6"/>
  <c r="P1114" i="6"/>
  <c r="G1114" i="6"/>
  <c r="F1114" i="6"/>
  <c r="Q1062" i="6"/>
  <c r="L1062" i="6"/>
  <c r="C1062" i="6"/>
  <c r="J1062" i="6"/>
  <c r="B1062" i="6"/>
  <c r="P1062" i="6"/>
  <c r="G1062" i="6"/>
  <c r="F1062" i="6"/>
  <c r="D1062" i="6"/>
  <c r="H1062" i="6" s="1"/>
  <c r="I1062" i="6" s="1"/>
  <c r="F377" i="6"/>
  <c r="L377" i="6"/>
  <c r="B377" i="6"/>
  <c r="J377" i="6"/>
  <c r="G377" i="6"/>
  <c r="Q377" i="6"/>
  <c r="P377" i="6"/>
  <c r="D377" i="6"/>
  <c r="H377" i="6" s="1"/>
  <c r="I377" i="6" s="1"/>
  <c r="C377" i="6"/>
  <c r="Q73" i="6"/>
  <c r="P73" i="6"/>
  <c r="C73" i="6"/>
  <c r="B73" i="6"/>
  <c r="G73" i="6"/>
  <c r="F73" i="6"/>
  <c r="G276" i="6"/>
  <c r="Q276" i="6"/>
  <c r="D276" i="6"/>
  <c r="H276" i="6" s="1"/>
  <c r="I276" i="6" s="1"/>
  <c r="P276" i="6"/>
  <c r="C276" i="6"/>
  <c r="J276" i="6"/>
  <c r="F276" i="6"/>
  <c r="B276" i="6"/>
  <c r="L276" i="6"/>
  <c r="F12" i="6"/>
  <c r="Q12" i="6"/>
  <c r="P12" i="6"/>
  <c r="C12" i="6"/>
  <c r="B12" i="6"/>
  <c r="G12" i="6"/>
  <c r="C19" i="6"/>
  <c r="B19" i="6"/>
  <c r="G19" i="6"/>
  <c r="Q19" i="6"/>
  <c r="P19" i="6"/>
  <c r="F19" i="6"/>
  <c r="G748" i="6"/>
  <c r="F748" i="6"/>
  <c r="Q748" i="6"/>
  <c r="D748" i="6"/>
  <c r="H748" i="6" s="1"/>
  <c r="I748" i="6" s="1"/>
  <c r="P748" i="6"/>
  <c r="C748" i="6"/>
  <c r="L748" i="6"/>
  <c r="J748" i="6"/>
  <c r="B748" i="6"/>
  <c r="L1194" i="6"/>
  <c r="C1194" i="6"/>
  <c r="J1194" i="6"/>
  <c r="B1194" i="6"/>
  <c r="D1194" i="6"/>
  <c r="H1194" i="6" s="1"/>
  <c r="I1194" i="6" s="1"/>
  <c r="Q1194" i="6"/>
  <c r="P1194" i="6"/>
  <c r="G1194" i="6"/>
  <c r="F1194" i="6"/>
  <c r="J986" i="6"/>
  <c r="G986" i="6"/>
  <c r="F986" i="6"/>
  <c r="D986" i="6"/>
  <c r="H986" i="6" s="1"/>
  <c r="I986" i="6" s="1"/>
  <c r="C986" i="6"/>
  <c r="B986" i="6"/>
  <c r="Q986" i="6"/>
  <c r="P986" i="6"/>
  <c r="L986" i="6"/>
  <c r="Q170" i="6"/>
  <c r="D170" i="6"/>
  <c r="H170" i="6" s="1"/>
  <c r="I170" i="6" s="1"/>
  <c r="P170" i="6"/>
  <c r="C170" i="6"/>
  <c r="L170" i="6"/>
  <c r="B170" i="6"/>
  <c r="J170" i="6"/>
  <c r="G170" i="6"/>
  <c r="F170" i="6"/>
  <c r="J1313" i="6"/>
  <c r="B1313" i="6"/>
  <c r="Q1313" i="6"/>
  <c r="D1313" i="6"/>
  <c r="H1313" i="6" s="1"/>
  <c r="I1313" i="6" s="1"/>
  <c r="P1313" i="6"/>
  <c r="C1313" i="6"/>
  <c r="G1313" i="6"/>
  <c r="F1313" i="6"/>
  <c r="L1313" i="6"/>
  <c r="L436" i="6"/>
  <c r="C436" i="6"/>
  <c r="F436" i="6"/>
  <c r="Q436" i="6"/>
  <c r="B436" i="6"/>
  <c r="P436" i="6"/>
  <c r="J436" i="6"/>
  <c r="G436" i="6"/>
  <c r="D436" i="6"/>
  <c r="H436" i="6" s="1"/>
  <c r="I436" i="6" s="1"/>
  <c r="P235" i="6"/>
  <c r="D235" i="6"/>
  <c r="H235" i="6" s="1"/>
  <c r="I235" i="6" s="1"/>
  <c r="Q235" i="6"/>
  <c r="C235" i="6"/>
  <c r="B235" i="6"/>
  <c r="L235" i="6"/>
  <c r="J235" i="6"/>
  <c r="G235" i="6"/>
  <c r="F235" i="6"/>
  <c r="L208" i="6"/>
  <c r="C208" i="6"/>
  <c r="G208" i="6"/>
  <c r="F208" i="6"/>
  <c r="Q208" i="6"/>
  <c r="D208" i="6"/>
  <c r="H208" i="6" s="1"/>
  <c r="I208" i="6" s="1"/>
  <c r="B208" i="6"/>
  <c r="P208" i="6"/>
  <c r="J208" i="6"/>
  <c r="G780" i="6"/>
  <c r="F780" i="6"/>
  <c r="Q780" i="6"/>
  <c r="D780" i="6"/>
  <c r="H780" i="6" s="1"/>
  <c r="I780" i="6" s="1"/>
  <c r="P780" i="6"/>
  <c r="C780" i="6"/>
  <c r="L780" i="6"/>
  <c r="J780" i="6"/>
  <c r="B780" i="6"/>
  <c r="J957" i="6"/>
  <c r="B957" i="6"/>
  <c r="G957" i="6"/>
  <c r="F957" i="6"/>
  <c r="Q957" i="6"/>
  <c r="D957" i="6"/>
  <c r="H957" i="6" s="1"/>
  <c r="I957" i="6" s="1"/>
  <c r="P957" i="6"/>
  <c r="C957" i="6"/>
  <c r="L957" i="6"/>
  <c r="Q670" i="6"/>
  <c r="P670" i="6"/>
  <c r="D670" i="6"/>
  <c r="H670" i="6" s="1"/>
  <c r="I670" i="6" s="1"/>
  <c r="G670" i="6"/>
  <c r="F670" i="6"/>
  <c r="C670" i="6"/>
  <c r="L670" i="6"/>
  <c r="J670" i="6"/>
  <c r="B670" i="6"/>
  <c r="F1640" i="6"/>
  <c r="Q1640" i="6"/>
  <c r="D1640" i="6"/>
  <c r="H1640" i="6" s="1"/>
  <c r="I1640" i="6" s="1"/>
  <c r="P1640" i="6"/>
  <c r="C1640" i="6"/>
  <c r="L1640" i="6"/>
  <c r="B1640" i="6"/>
  <c r="J1640" i="6"/>
  <c r="G1640" i="6"/>
  <c r="L1034" i="6"/>
  <c r="B1034" i="6"/>
  <c r="D1034" i="6"/>
  <c r="H1034" i="6" s="1"/>
  <c r="I1034" i="6" s="1"/>
  <c r="Q1034" i="6"/>
  <c r="C1034" i="6"/>
  <c r="P1034" i="6"/>
  <c r="J1034" i="6"/>
  <c r="G1034" i="6"/>
  <c r="F1034" i="6"/>
  <c r="L1406" i="6"/>
  <c r="B1406" i="6"/>
  <c r="G1406" i="6"/>
  <c r="F1406" i="6"/>
  <c r="D1406" i="6"/>
  <c r="H1406" i="6" s="1"/>
  <c r="I1406" i="6" s="1"/>
  <c r="Q1406" i="6"/>
  <c r="P1406" i="6"/>
  <c r="J1406" i="6"/>
  <c r="C1406" i="6"/>
  <c r="G212" i="6"/>
  <c r="L212" i="6"/>
  <c r="B212" i="6"/>
  <c r="J212" i="6"/>
  <c r="F212" i="6"/>
  <c r="Q212" i="6"/>
  <c r="P212" i="6"/>
  <c r="D212" i="6"/>
  <c r="H212" i="6" s="1"/>
  <c r="I212" i="6" s="1"/>
  <c r="C212" i="6"/>
  <c r="P811" i="6"/>
  <c r="D811" i="6"/>
  <c r="H811" i="6" s="1"/>
  <c r="I811" i="6" s="1"/>
  <c r="L811" i="6"/>
  <c r="B811" i="6"/>
  <c r="J811" i="6"/>
  <c r="G811" i="6"/>
  <c r="Q811" i="6"/>
  <c r="F811" i="6"/>
  <c r="C811" i="6"/>
  <c r="G18" i="6"/>
  <c r="F18" i="6"/>
  <c r="Q18" i="6"/>
  <c r="P18" i="6"/>
  <c r="C18" i="6"/>
  <c r="B18" i="6"/>
  <c r="F20" i="6"/>
  <c r="Q20" i="6"/>
  <c r="P20" i="6"/>
  <c r="C20" i="6"/>
  <c r="B20" i="6"/>
  <c r="G20" i="6"/>
  <c r="P6" i="6"/>
  <c r="C6" i="6"/>
  <c r="B6" i="6"/>
  <c r="Q6" i="6"/>
  <c r="G6" i="6"/>
  <c r="F6" i="6"/>
  <c r="P739" i="6"/>
  <c r="D739" i="6"/>
  <c r="H739" i="6" s="1"/>
  <c r="I739" i="6" s="1"/>
  <c r="G739" i="6"/>
  <c r="F739" i="6"/>
  <c r="Q739" i="6"/>
  <c r="C739" i="6"/>
  <c r="L739" i="6"/>
  <c r="B739" i="6"/>
  <c r="J739" i="6"/>
  <c r="G740" i="6"/>
  <c r="P740" i="6"/>
  <c r="C740" i="6"/>
  <c r="L740" i="6"/>
  <c r="B740" i="6"/>
  <c r="J740" i="6"/>
  <c r="Q740" i="6"/>
  <c r="F740" i="6"/>
  <c r="D740" i="6"/>
  <c r="H740" i="6" s="1"/>
  <c r="I740" i="6" s="1"/>
  <c r="Q310" i="6"/>
  <c r="P310" i="6"/>
  <c r="D310" i="6"/>
  <c r="H310" i="6" s="1"/>
  <c r="I310" i="6" s="1"/>
  <c r="L310" i="6"/>
  <c r="C310" i="6"/>
  <c r="J310" i="6"/>
  <c r="B310" i="6"/>
  <c r="G310" i="6"/>
  <c r="F310" i="6"/>
  <c r="J311" i="6"/>
  <c r="G311" i="6"/>
  <c r="F311" i="6"/>
  <c r="Q311" i="6"/>
  <c r="P311" i="6"/>
  <c r="L311" i="6"/>
  <c r="D311" i="6"/>
  <c r="H311" i="6" s="1"/>
  <c r="I311" i="6" s="1"/>
  <c r="C311" i="6"/>
  <c r="B311" i="6"/>
  <c r="G1526" i="6"/>
  <c r="F1526" i="6"/>
  <c r="Q1526" i="6"/>
  <c r="D1526" i="6"/>
  <c r="H1526" i="6" s="1"/>
  <c r="I1526" i="6" s="1"/>
  <c r="P1526" i="6"/>
  <c r="L1526" i="6"/>
  <c r="J1526" i="6"/>
  <c r="C1526" i="6"/>
  <c r="B1526" i="6"/>
  <c r="J1527" i="6"/>
  <c r="B1527" i="6"/>
  <c r="Q1527" i="6"/>
  <c r="D1527" i="6"/>
  <c r="H1527" i="6" s="1"/>
  <c r="I1527" i="6" s="1"/>
  <c r="P1527" i="6"/>
  <c r="C1527" i="6"/>
  <c r="L1527" i="6"/>
  <c r="G1527" i="6"/>
  <c r="F1527" i="6"/>
  <c r="P1532" i="6"/>
  <c r="C1532" i="6"/>
  <c r="L1532" i="6"/>
  <c r="B1532" i="6"/>
  <c r="J1532" i="6"/>
  <c r="G1532" i="6"/>
  <c r="Q1532" i="6"/>
  <c r="F1532" i="6"/>
  <c r="D1532" i="6"/>
  <c r="H1532" i="6" s="1"/>
  <c r="I1532" i="6" s="1"/>
  <c r="F36" i="6"/>
  <c r="Q36" i="6"/>
  <c r="P36" i="6"/>
  <c r="C36" i="6"/>
  <c r="B36" i="6"/>
  <c r="G36" i="6"/>
  <c r="B24" i="6"/>
  <c r="G24" i="6"/>
  <c r="F24" i="6"/>
  <c r="C24" i="6"/>
  <c r="Q24" i="6"/>
  <c r="P24" i="6"/>
  <c r="G883" i="6"/>
  <c r="F883" i="6"/>
  <c r="Q883" i="6"/>
  <c r="P883" i="6"/>
  <c r="D883" i="6"/>
  <c r="H883" i="6" s="1"/>
  <c r="I883" i="6" s="1"/>
  <c r="L883" i="6"/>
  <c r="J883" i="6"/>
  <c r="C883" i="6"/>
  <c r="B883" i="6"/>
  <c r="P887" i="6"/>
  <c r="D887" i="6"/>
  <c r="H887" i="6" s="1"/>
  <c r="I887" i="6" s="1"/>
  <c r="L887" i="6"/>
  <c r="C887" i="6"/>
  <c r="J887" i="6"/>
  <c r="B887" i="6"/>
  <c r="Q887" i="6"/>
  <c r="G887" i="6"/>
  <c r="F887" i="6"/>
  <c r="F848" i="6"/>
  <c r="P848" i="6"/>
  <c r="D848" i="6"/>
  <c r="H848" i="6" s="1"/>
  <c r="I848" i="6" s="1"/>
  <c r="L848" i="6"/>
  <c r="C848" i="6"/>
  <c r="Q848" i="6"/>
  <c r="J848" i="6"/>
  <c r="G848" i="6"/>
  <c r="B848" i="6"/>
  <c r="J852" i="6"/>
  <c r="B852" i="6"/>
  <c r="G852" i="6"/>
  <c r="Q852" i="6"/>
  <c r="P852" i="6"/>
  <c r="L852" i="6"/>
  <c r="F852" i="6"/>
  <c r="D852" i="6"/>
  <c r="H852" i="6" s="1"/>
  <c r="I852" i="6" s="1"/>
  <c r="C852" i="6"/>
  <c r="G608" i="6"/>
  <c r="F608" i="6"/>
  <c r="Q608" i="6"/>
  <c r="D608" i="6"/>
  <c r="H608" i="6" s="1"/>
  <c r="I608" i="6" s="1"/>
  <c r="P608" i="6"/>
  <c r="L608" i="6"/>
  <c r="J608" i="6"/>
  <c r="C608" i="6"/>
  <c r="B608" i="6"/>
  <c r="P607" i="6"/>
  <c r="D607" i="6"/>
  <c r="H607" i="6" s="1"/>
  <c r="I607" i="6" s="1"/>
  <c r="Q607" i="6"/>
  <c r="C607" i="6"/>
  <c r="L607" i="6"/>
  <c r="B607" i="6"/>
  <c r="J607" i="6"/>
  <c r="F607" i="6"/>
  <c r="G607" i="6"/>
  <c r="L572" i="6"/>
  <c r="C572" i="6"/>
  <c r="F572" i="6"/>
  <c r="Q572" i="6"/>
  <c r="D572" i="6"/>
  <c r="H572" i="6" s="1"/>
  <c r="I572" i="6" s="1"/>
  <c r="P572" i="6"/>
  <c r="B572" i="6"/>
  <c r="J572" i="6"/>
  <c r="G572" i="6"/>
  <c r="L580" i="6"/>
  <c r="C580" i="6"/>
  <c r="J580" i="6"/>
  <c r="G580" i="6"/>
  <c r="F580" i="6"/>
  <c r="B580" i="6"/>
  <c r="Q580" i="6"/>
  <c r="P580" i="6"/>
  <c r="D580" i="6"/>
  <c r="H580" i="6" s="1"/>
  <c r="I580" i="6" s="1"/>
  <c r="L1383" i="6"/>
  <c r="C1383" i="6"/>
  <c r="G1383" i="6"/>
  <c r="F1383" i="6"/>
  <c r="Q1383" i="6"/>
  <c r="D1383" i="6"/>
  <c r="H1383" i="6" s="1"/>
  <c r="I1383" i="6" s="1"/>
  <c r="P1383" i="6"/>
  <c r="B1383" i="6"/>
  <c r="J1383" i="6"/>
  <c r="G1387" i="6"/>
  <c r="J1387" i="6"/>
  <c r="F1387" i="6"/>
  <c r="P1387" i="6"/>
  <c r="L1387" i="6"/>
  <c r="B1387" i="6"/>
  <c r="Q1387" i="6"/>
  <c r="C1387" i="6"/>
  <c r="D1387" i="6"/>
  <c r="H1387" i="6" s="1"/>
  <c r="I1387" i="6" s="1"/>
  <c r="J473" i="6"/>
  <c r="B473" i="6"/>
  <c r="G473" i="6"/>
  <c r="F473" i="6"/>
  <c r="Q473" i="6"/>
  <c r="P473" i="6"/>
  <c r="L473" i="6"/>
  <c r="D473" i="6"/>
  <c r="H473" i="6" s="1"/>
  <c r="I473" i="6" s="1"/>
  <c r="C473" i="6"/>
  <c r="P471" i="6"/>
  <c r="D471" i="6"/>
  <c r="H471" i="6" s="1"/>
  <c r="I471" i="6" s="1"/>
  <c r="Q471" i="6"/>
  <c r="C471" i="6"/>
  <c r="F471" i="6"/>
  <c r="B471" i="6"/>
  <c r="L471" i="6"/>
  <c r="J471" i="6"/>
  <c r="G471" i="6"/>
  <c r="L476" i="6"/>
  <c r="C476" i="6"/>
  <c r="J476" i="6"/>
  <c r="G476" i="6"/>
  <c r="F476" i="6"/>
  <c r="Q476" i="6"/>
  <c r="P476" i="6"/>
  <c r="D476" i="6"/>
  <c r="H476" i="6" s="1"/>
  <c r="I476" i="6" s="1"/>
  <c r="B476" i="6"/>
  <c r="G1542" i="6"/>
  <c r="F1542" i="6"/>
  <c r="C1542" i="6"/>
  <c r="Q1542" i="6"/>
  <c r="B1542" i="6"/>
  <c r="P1542" i="6"/>
  <c r="L1542" i="6"/>
  <c r="J1542" i="6"/>
  <c r="D1542" i="6"/>
  <c r="H1542" i="6" s="1"/>
  <c r="I1542" i="6" s="1"/>
  <c r="Q1545" i="6"/>
  <c r="D1545" i="6"/>
  <c r="H1545" i="6" s="1"/>
  <c r="I1545" i="6" s="1"/>
  <c r="P1545" i="6"/>
  <c r="C1545" i="6"/>
  <c r="J1545" i="6"/>
  <c r="L1545" i="6"/>
  <c r="G1545" i="6"/>
  <c r="F1545" i="6"/>
  <c r="B1545" i="6"/>
  <c r="G1193" i="6"/>
  <c r="F1193" i="6"/>
  <c r="D1193" i="6"/>
  <c r="H1193" i="6" s="1"/>
  <c r="I1193" i="6" s="1"/>
  <c r="C1193" i="6"/>
  <c r="Q1193" i="6"/>
  <c r="B1193" i="6"/>
  <c r="P1193" i="6"/>
  <c r="L1193" i="6"/>
  <c r="J1193" i="6"/>
  <c r="J1191" i="6"/>
  <c r="B1191" i="6"/>
  <c r="F1191" i="6"/>
  <c r="D1191" i="6"/>
  <c r="H1191" i="6" s="1"/>
  <c r="I1191" i="6" s="1"/>
  <c r="C1191" i="6"/>
  <c r="Q1191" i="6"/>
  <c r="P1191" i="6"/>
  <c r="L1191" i="6"/>
  <c r="G1191" i="6"/>
  <c r="G980" i="6"/>
  <c r="F980" i="6"/>
  <c r="Q980" i="6"/>
  <c r="D980" i="6"/>
  <c r="H980" i="6" s="1"/>
  <c r="I980" i="6" s="1"/>
  <c r="P980" i="6"/>
  <c r="C980" i="6"/>
  <c r="L980" i="6"/>
  <c r="B980" i="6"/>
  <c r="J980" i="6"/>
  <c r="P983" i="6"/>
  <c r="C983" i="6"/>
  <c r="L983" i="6"/>
  <c r="B983" i="6"/>
  <c r="J983" i="6"/>
  <c r="G983" i="6"/>
  <c r="D983" i="6"/>
  <c r="H983" i="6" s="1"/>
  <c r="I983" i="6" s="1"/>
  <c r="Q983" i="6"/>
  <c r="F983" i="6"/>
  <c r="Q514" i="6"/>
  <c r="P514" i="6"/>
  <c r="D514" i="6"/>
  <c r="H514" i="6" s="1"/>
  <c r="I514" i="6" s="1"/>
  <c r="L514" i="6"/>
  <c r="C514" i="6"/>
  <c r="J514" i="6"/>
  <c r="B514" i="6"/>
  <c r="G514" i="6"/>
  <c r="F514" i="6"/>
  <c r="J515" i="6"/>
  <c r="L515" i="6"/>
  <c r="G515" i="6"/>
  <c r="F515" i="6"/>
  <c r="Q515" i="6"/>
  <c r="P515" i="6"/>
  <c r="B515" i="6"/>
  <c r="D515" i="6"/>
  <c r="H515" i="6" s="1"/>
  <c r="I515" i="6" s="1"/>
  <c r="C515" i="6"/>
  <c r="G167" i="6"/>
  <c r="F167" i="6"/>
  <c r="Q167" i="6"/>
  <c r="D167" i="6"/>
  <c r="H167" i="6" s="1"/>
  <c r="I167" i="6" s="1"/>
  <c r="P167" i="6"/>
  <c r="C167" i="6"/>
  <c r="B167" i="6"/>
  <c r="L167" i="6"/>
  <c r="J167" i="6"/>
  <c r="L168" i="6"/>
  <c r="C168" i="6"/>
  <c r="Q168" i="6"/>
  <c r="D168" i="6"/>
  <c r="H168" i="6" s="1"/>
  <c r="I168" i="6" s="1"/>
  <c r="P168" i="6"/>
  <c r="B168" i="6"/>
  <c r="J168" i="6"/>
  <c r="G168" i="6"/>
  <c r="F168" i="6"/>
  <c r="Q1306" i="6"/>
  <c r="L1306" i="6"/>
  <c r="C1306" i="6"/>
  <c r="G1306" i="6"/>
  <c r="F1306" i="6"/>
  <c r="D1306" i="6"/>
  <c r="H1306" i="6" s="1"/>
  <c r="I1306" i="6" s="1"/>
  <c r="B1306" i="6"/>
  <c r="J1306" i="6"/>
  <c r="P1306" i="6"/>
  <c r="F1309" i="6"/>
  <c r="L1309" i="6"/>
  <c r="B1309" i="6"/>
  <c r="J1309" i="6"/>
  <c r="G1309" i="6"/>
  <c r="D1309" i="6"/>
  <c r="H1309" i="6" s="1"/>
  <c r="I1309" i="6" s="1"/>
  <c r="C1309" i="6"/>
  <c r="Q1309" i="6"/>
  <c r="P1309" i="6"/>
  <c r="F1269" i="6"/>
  <c r="G1269" i="6"/>
  <c r="Q1269" i="6"/>
  <c r="D1269" i="6"/>
  <c r="H1269" i="6" s="1"/>
  <c r="I1269" i="6" s="1"/>
  <c r="B1269" i="6"/>
  <c r="L1269" i="6"/>
  <c r="J1269" i="6"/>
  <c r="C1269" i="6"/>
  <c r="P1269" i="6"/>
  <c r="L1268" i="6"/>
  <c r="C1268" i="6"/>
  <c r="J1268" i="6"/>
  <c r="G1268" i="6"/>
  <c r="F1268" i="6"/>
  <c r="D1268" i="6"/>
  <c r="H1268" i="6" s="1"/>
  <c r="I1268" i="6" s="1"/>
  <c r="B1268" i="6"/>
  <c r="Q1268" i="6"/>
  <c r="P1268" i="6"/>
  <c r="F437" i="6"/>
  <c r="L437" i="6"/>
  <c r="B437" i="6"/>
  <c r="J437" i="6"/>
  <c r="G437" i="6"/>
  <c r="C437" i="6"/>
  <c r="Q437" i="6"/>
  <c r="P437" i="6"/>
  <c r="D437" i="6"/>
  <c r="H437" i="6" s="1"/>
  <c r="I437" i="6" s="1"/>
  <c r="J435" i="6"/>
  <c r="D435" i="6"/>
  <c r="H435" i="6" s="1"/>
  <c r="I435" i="6" s="1"/>
  <c r="Q435" i="6"/>
  <c r="C435" i="6"/>
  <c r="P435" i="6"/>
  <c r="B435" i="6"/>
  <c r="L435" i="6"/>
  <c r="G435" i="6"/>
  <c r="F435" i="6"/>
  <c r="G348" i="6"/>
  <c r="F348" i="6"/>
  <c r="Q348" i="6"/>
  <c r="D348" i="6"/>
  <c r="H348" i="6" s="1"/>
  <c r="I348" i="6" s="1"/>
  <c r="P348" i="6"/>
  <c r="L348" i="6"/>
  <c r="J348" i="6"/>
  <c r="C348" i="6"/>
  <c r="B348" i="6"/>
  <c r="Q351" i="6"/>
  <c r="D351" i="6"/>
  <c r="H351" i="6" s="1"/>
  <c r="I351" i="6" s="1"/>
  <c r="P351" i="6"/>
  <c r="C351" i="6"/>
  <c r="L351" i="6"/>
  <c r="B351" i="6"/>
  <c r="J351" i="6"/>
  <c r="G351" i="6"/>
  <c r="F351" i="6"/>
  <c r="L352" i="6"/>
  <c r="C352" i="6"/>
  <c r="J352" i="6"/>
  <c r="G352" i="6"/>
  <c r="F352" i="6"/>
  <c r="D352" i="6"/>
  <c r="H352" i="6" s="1"/>
  <c r="I352" i="6" s="1"/>
  <c r="B352" i="6"/>
  <c r="P352" i="6"/>
  <c r="Q352" i="6"/>
  <c r="L239" i="6"/>
  <c r="B239" i="6"/>
  <c r="J239" i="6"/>
  <c r="G239" i="6"/>
  <c r="F239" i="6"/>
  <c r="Q239" i="6"/>
  <c r="P239" i="6"/>
  <c r="D239" i="6"/>
  <c r="H239" i="6" s="1"/>
  <c r="I239" i="6" s="1"/>
  <c r="C239" i="6"/>
  <c r="P242" i="6"/>
  <c r="C242" i="6"/>
  <c r="D242" i="6"/>
  <c r="H242" i="6" s="1"/>
  <c r="I242" i="6" s="1"/>
  <c r="Q242" i="6"/>
  <c r="B242" i="6"/>
  <c r="L242" i="6"/>
  <c r="J242" i="6"/>
  <c r="G242" i="6"/>
  <c r="F242" i="6"/>
  <c r="Q1576" i="6"/>
  <c r="G1576" i="6"/>
  <c r="F1576" i="6"/>
  <c r="C1576" i="6"/>
  <c r="B1576" i="6"/>
  <c r="P1576" i="6"/>
  <c r="L1576" i="6"/>
  <c r="J1576" i="6"/>
  <c r="D1576" i="6"/>
  <c r="H1576" i="6" s="1"/>
  <c r="I1576" i="6" s="1"/>
  <c r="F1571" i="6"/>
  <c r="J1571" i="6"/>
  <c r="G1571" i="6"/>
  <c r="B1571" i="6"/>
  <c r="Q1571" i="6"/>
  <c r="P1571" i="6"/>
  <c r="L1571" i="6"/>
  <c r="C1571" i="6"/>
  <c r="D1571" i="6"/>
  <c r="H1571" i="6" s="1"/>
  <c r="I1571" i="6" s="1"/>
  <c r="F201" i="6"/>
  <c r="G201" i="6"/>
  <c r="Q201" i="6"/>
  <c r="D201" i="6"/>
  <c r="H201" i="6" s="1"/>
  <c r="I201" i="6" s="1"/>
  <c r="L201" i="6"/>
  <c r="J201" i="6"/>
  <c r="C201" i="6"/>
  <c r="B201" i="6"/>
  <c r="P201" i="6"/>
  <c r="F193" i="6"/>
  <c r="Q193" i="6"/>
  <c r="D193" i="6"/>
  <c r="H193" i="6" s="1"/>
  <c r="I193" i="6" s="1"/>
  <c r="P193" i="6"/>
  <c r="C193" i="6"/>
  <c r="L193" i="6"/>
  <c r="B193" i="6"/>
  <c r="J193" i="6"/>
  <c r="G193" i="6"/>
  <c r="J194" i="6"/>
  <c r="G194" i="6"/>
  <c r="F194" i="6"/>
  <c r="Q194" i="6"/>
  <c r="P194" i="6"/>
  <c r="L194" i="6"/>
  <c r="D194" i="6"/>
  <c r="H194" i="6" s="1"/>
  <c r="I194" i="6" s="1"/>
  <c r="B194" i="6"/>
  <c r="C194" i="6"/>
  <c r="Q1509" i="6"/>
  <c r="P1509" i="6"/>
  <c r="D1509" i="6"/>
  <c r="H1509" i="6" s="1"/>
  <c r="I1509" i="6" s="1"/>
  <c r="L1509" i="6"/>
  <c r="B1509" i="6"/>
  <c r="J1509" i="6"/>
  <c r="G1509" i="6"/>
  <c r="F1509" i="6"/>
  <c r="C1509" i="6"/>
  <c r="Q1512" i="6"/>
  <c r="G1512" i="6"/>
  <c r="F1512" i="6"/>
  <c r="D1512" i="6"/>
  <c r="H1512" i="6" s="1"/>
  <c r="I1512" i="6" s="1"/>
  <c r="C1512" i="6"/>
  <c r="B1512" i="6"/>
  <c r="J1512" i="6"/>
  <c r="P1512" i="6"/>
  <c r="L1512" i="6"/>
  <c r="L784" i="6"/>
  <c r="C784" i="6"/>
  <c r="G784" i="6"/>
  <c r="F784" i="6"/>
  <c r="P784" i="6"/>
  <c r="J784" i="6"/>
  <c r="D784" i="6"/>
  <c r="H784" i="6" s="1"/>
  <c r="I784" i="6" s="1"/>
  <c r="B784" i="6"/>
  <c r="Q784" i="6"/>
  <c r="Q774" i="6"/>
  <c r="P774" i="6"/>
  <c r="D774" i="6"/>
  <c r="H774" i="6" s="1"/>
  <c r="I774" i="6" s="1"/>
  <c r="L774" i="6"/>
  <c r="C774" i="6"/>
  <c r="J774" i="6"/>
  <c r="B774" i="6"/>
  <c r="G774" i="6"/>
  <c r="F774" i="6"/>
  <c r="L786" i="6"/>
  <c r="B786" i="6"/>
  <c r="J786" i="6"/>
  <c r="G786" i="6"/>
  <c r="F786" i="6"/>
  <c r="D786" i="6"/>
  <c r="H786" i="6" s="1"/>
  <c r="I786" i="6" s="1"/>
  <c r="C786" i="6"/>
  <c r="Q786" i="6"/>
  <c r="P786" i="6"/>
  <c r="F1459" i="6"/>
  <c r="D1459" i="6"/>
  <c r="H1459" i="6" s="1"/>
  <c r="I1459" i="6" s="1"/>
  <c r="Q1459" i="6"/>
  <c r="C1459" i="6"/>
  <c r="P1459" i="6"/>
  <c r="B1459" i="6"/>
  <c r="L1459" i="6"/>
  <c r="J1459" i="6"/>
  <c r="G1459" i="6"/>
  <c r="G1454" i="6"/>
  <c r="J1454" i="6"/>
  <c r="F1454" i="6"/>
  <c r="D1454" i="6"/>
  <c r="H1454" i="6" s="1"/>
  <c r="I1454" i="6" s="1"/>
  <c r="Q1454" i="6"/>
  <c r="P1454" i="6"/>
  <c r="L1454" i="6"/>
  <c r="C1454" i="6"/>
  <c r="B1454" i="6"/>
  <c r="F945" i="6"/>
  <c r="G945" i="6"/>
  <c r="Q945" i="6"/>
  <c r="D945" i="6"/>
  <c r="H945" i="6" s="1"/>
  <c r="I945" i="6" s="1"/>
  <c r="C945" i="6"/>
  <c r="B945" i="6"/>
  <c r="P945" i="6"/>
  <c r="L945" i="6"/>
  <c r="J945" i="6"/>
  <c r="P951" i="6"/>
  <c r="C951" i="6"/>
  <c r="L951" i="6"/>
  <c r="B951" i="6"/>
  <c r="J951" i="6"/>
  <c r="G951" i="6"/>
  <c r="Q951" i="6"/>
  <c r="F951" i="6"/>
  <c r="D951" i="6"/>
  <c r="H951" i="6" s="1"/>
  <c r="I951" i="6" s="1"/>
  <c r="G916" i="6"/>
  <c r="F916" i="6"/>
  <c r="Q916" i="6"/>
  <c r="D916" i="6"/>
  <c r="H916" i="6" s="1"/>
  <c r="I916" i="6" s="1"/>
  <c r="P916" i="6"/>
  <c r="C916" i="6"/>
  <c r="L916" i="6"/>
  <c r="B916" i="6"/>
  <c r="J916" i="6"/>
  <c r="F921" i="6"/>
  <c r="Q921" i="6"/>
  <c r="D921" i="6"/>
  <c r="H921" i="6" s="1"/>
  <c r="I921" i="6" s="1"/>
  <c r="P921" i="6"/>
  <c r="C921" i="6"/>
  <c r="L921" i="6"/>
  <c r="B921" i="6"/>
  <c r="J921" i="6"/>
  <c r="G921" i="6"/>
  <c r="J922" i="6"/>
  <c r="G922" i="6"/>
  <c r="F922" i="6"/>
  <c r="D922" i="6"/>
  <c r="H922" i="6" s="1"/>
  <c r="I922" i="6" s="1"/>
  <c r="C922" i="6"/>
  <c r="B922" i="6"/>
  <c r="Q922" i="6"/>
  <c r="P922" i="6"/>
  <c r="L922" i="6"/>
  <c r="D671" i="6"/>
  <c r="H671" i="6" s="1"/>
  <c r="I671" i="6" s="1"/>
  <c r="Q671" i="6"/>
  <c r="C671" i="6"/>
  <c r="P671" i="6"/>
  <c r="B671" i="6"/>
  <c r="L671" i="6"/>
  <c r="G671" i="6"/>
  <c r="F671" i="6"/>
  <c r="J671" i="6"/>
  <c r="F673" i="6"/>
  <c r="J673" i="6"/>
  <c r="G673" i="6"/>
  <c r="D673" i="6"/>
  <c r="H673" i="6" s="1"/>
  <c r="I673" i="6" s="1"/>
  <c r="C673" i="6"/>
  <c r="B673" i="6"/>
  <c r="Q673" i="6"/>
  <c r="P673" i="6"/>
  <c r="L673" i="6"/>
  <c r="J637" i="6"/>
  <c r="B637" i="6"/>
  <c r="G637" i="6"/>
  <c r="F637" i="6"/>
  <c r="D637" i="6"/>
  <c r="H637" i="6" s="1"/>
  <c r="I637" i="6" s="1"/>
  <c r="L637" i="6"/>
  <c r="C637" i="6"/>
  <c r="Q637" i="6"/>
  <c r="P637" i="6"/>
  <c r="G636" i="6"/>
  <c r="P636" i="6"/>
  <c r="C636" i="6"/>
  <c r="L636" i="6"/>
  <c r="J636" i="6"/>
  <c r="F636" i="6"/>
  <c r="Q636" i="6"/>
  <c r="B636" i="6"/>
  <c r="D636" i="6"/>
  <c r="H636" i="6" s="1"/>
  <c r="I636" i="6" s="1"/>
  <c r="Q399" i="6"/>
  <c r="D399" i="6"/>
  <c r="H399" i="6" s="1"/>
  <c r="I399" i="6" s="1"/>
  <c r="P399" i="6"/>
  <c r="C399" i="6"/>
  <c r="L399" i="6"/>
  <c r="B399" i="6"/>
  <c r="J399" i="6"/>
  <c r="G399" i="6"/>
  <c r="F399" i="6"/>
  <c r="P402" i="6"/>
  <c r="C402" i="6"/>
  <c r="L402" i="6"/>
  <c r="B402" i="6"/>
  <c r="J402" i="6"/>
  <c r="G402" i="6"/>
  <c r="Q402" i="6"/>
  <c r="F402" i="6"/>
  <c r="D402" i="6"/>
  <c r="H402" i="6" s="1"/>
  <c r="I402" i="6" s="1"/>
  <c r="G140" i="6"/>
  <c r="F140" i="6"/>
  <c r="Q140" i="6"/>
  <c r="D140" i="6"/>
  <c r="H140" i="6" s="1"/>
  <c r="I140" i="6" s="1"/>
  <c r="P140" i="6"/>
  <c r="C140" i="6"/>
  <c r="L140" i="6"/>
  <c r="B140" i="6"/>
  <c r="J140" i="6"/>
  <c r="P127" i="6"/>
  <c r="C127" i="6"/>
  <c r="L127" i="6"/>
  <c r="B127" i="6"/>
  <c r="J127" i="6"/>
  <c r="G127" i="6"/>
  <c r="Q127" i="6"/>
  <c r="F127" i="6"/>
  <c r="D127" i="6"/>
  <c r="H127" i="6" s="1"/>
  <c r="I127" i="6" s="1"/>
  <c r="Q138" i="6"/>
  <c r="D138" i="6"/>
  <c r="H138" i="6" s="1"/>
  <c r="I138" i="6" s="1"/>
  <c r="P138" i="6"/>
  <c r="C138" i="6"/>
  <c r="L138" i="6"/>
  <c r="B138" i="6"/>
  <c r="J138" i="6"/>
  <c r="G138" i="6"/>
  <c r="F138" i="6"/>
  <c r="F76" i="6"/>
  <c r="Q76" i="6"/>
  <c r="P76" i="6"/>
  <c r="D76" i="6"/>
  <c r="H76" i="6" s="1"/>
  <c r="I76" i="6" s="1"/>
  <c r="L76" i="6"/>
  <c r="C76" i="6"/>
  <c r="J76" i="6"/>
  <c r="B76" i="6"/>
  <c r="G76" i="6"/>
  <c r="P86" i="6"/>
  <c r="D86" i="6"/>
  <c r="H86" i="6" s="1"/>
  <c r="I86" i="6" s="1"/>
  <c r="L86" i="6"/>
  <c r="C86" i="6"/>
  <c r="J86" i="6"/>
  <c r="B86" i="6"/>
  <c r="Q86" i="6"/>
  <c r="G86" i="6"/>
  <c r="F86" i="6"/>
  <c r="G1653" i="6"/>
  <c r="P1653" i="6"/>
  <c r="D1653" i="6"/>
  <c r="H1653" i="6" s="1"/>
  <c r="I1653" i="6" s="1"/>
  <c r="F1653" i="6"/>
  <c r="C1653" i="6"/>
  <c r="Q1653" i="6"/>
  <c r="B1653" i="6"/>
  <c r="L1653" i="6"/>
  <c r="J1653" i="6"/>
  <c r="Q1645" i="6"/>
  <c r="L1645" i="6"/>
  <c r="C1645" i="6"/>
  <c r="J1645" i="6"/>
  <c r="B1645" i="6"/>
  <c r="P1645" i="6"/>
  <c r="G1645" i="6"/>
  <c r="F1645" i="6"/>
  <c r="D1645" i="6"/>
  <c r="H1645" i="6" s="1"/>
  <c r="I1645" i="6" s="1"/>
  <c r="G1612" i="6"/>
  <c r="F1612" i="6"/>
  <c r="Q1612" i="6"/>
  <c r="J1612" i="6"/>
  <c r="D1612" i="6"/>
  <c r="H1612" i="6" s="1"/>
  <c r="I1612" i="6" s="1"/>
  <c r="C1612" i="6"/>
  <c r="B1612" i="6"/>
  <c r="P1612" i="6"/>
  <c r="L1612" i="6"/>
  <c r="L1613" i="6"/>
  <c r="C1613" i="6"/>
  <c r="J1613" i="6"/>
  <c r="B1613" i="6"/>
  <c r="Q1613" i="6"/>
  <c r="P1613" i="6"/>
  <c r="G1613" i="6"/>
  <c r="F1613" i="6"/>
  <c r="D1613" i="6"/>
  <c r="H1613" i="6" s="1"/>
  <c r="I1613" i="6" s="1"/>
  <c r="G1348" i="6"/>
  <c r="F1348" i="6"/>
  <c r="Q1348" i="6"/>
  <c r="P1348" i="6"/>
  <c r="D1348" i="6"/>
  <c r="H1348" i="6" s="1"/>
  <c r="I1348" i="6" s="1"/>
  <c r="L1348" i="6"/>
  <c r="C1348" i="6"/>
  <c r="B1348" i="6"/>
  <c r="J1348" i="6"/>
  <c r="J1341" i="6"/>
  <c r="B1341" i="6"/>
  <c r="G1341" i="6"/>
  <c r="F1341" i="6"/>
  <c r="Q1341" i="6"/>
  <c r="L1341" i="6"/>
  <c r="D1341" i="6"/>
  <c r="H1341" i="6" s="1"/>
  <c r="I1341" i="6" s="1"/>
  <c r="C1341" i="6"/>
  <c r="P1341" i="6"/>
  <c r="F1033" i="6"/>
  <c r="G1033" i="6"/>
  <c r="Q1033" i="6"/>
  <c r="D1033" i="6"/>
  <c r="H1033" i="6" s="1"/>
  <c r="I1033" i="6" s="1"/>
  <c r="P1033" i="6"/>
  <c r="C1033" i="6"/>
  <c r="L1033" i="6"/>
  <c r="B1033" i="6"/>
  <c r="J1033" i="6"/>
  <c r="Q1031" i="6"/>
  <c r="D1031" i="6"/>
  <c r="H1031" i="6" s="1"/>
  <c r="I1031" i="6" s="1"/>
  <c r="P1031" i="6"/>
  <c r="B1031" i="6"/>
  <c r="L1031" i="6"/>
  <c r="J1031" i="6"/>
  <c r="G1031" i="6"/>
  <c r="C1031" i="6"/>
  <c r="F1031" i="6"/>
  <c r="G996" i="6"/>
  <c r="F996" i="6"/>
  <c r="Q996" i="6"/>
  <c r="D996" i="6"/>
  <c r="H996" i="6" s="1"/>
  <c r="I996" i="6" s="1"/>
  <c r="P996" i="6"/>
  <c r="C996" i="6"/>
  <c r="L996" i="6"/>
  <c r="B996" i="6"/>
  <c r="J996" i="6"/>
  <c r="J997" i="6"/>
  <c r="B997" i="6"/>
  <c r="P997" i="6"/>
  <c r="C997" i="6"/>
  <c r="L997" i="6"/>
  <c r="G997" i="6"/>
  <c r="Q997" i="6"/>
  <c r="F997" i="6"/>
  <c r="D997" i="6"/>
  <c r="H997" i="6" s="1"/>
  <c r="I997" i="6" s="1"/>
  <c r="J1404" i="6"/>
  <c r="B1404" i="6"/>
  <c r="F1404" i="6"/>
  <c r="Q1404" i="6"/>
  <c r="D1404" i="6"/>
  <c r="H1404" i="6" s="1"/>
  <c r="I1404" i="6" s="1"/>
  <c r="P1404" i="6"/>
  <c r="C1404" i="6"/>
  <c r="L1404" i="6"/>
  <c r="G1404" i="6"/>
  <c r="L1412" i="6"/>
  <c r="C1412" i="6"/>
  <c r="P1412" i="6"/>
  <c r="B1412" i="6"/>
  <c r="J1412" i="6"/>
  <c r="G1412" i="6"/>
  <c r="Q1412" i="6"/>
  <c r="F1412" i="6"/>
  <c r="D1412" i="6"/>
  <c r="H1412" i="6" s="1"/>
  <c r="I1412" i="6" s="1"/>
  <c r="J341" i="6"/>
  <c r="B341" i="6"/>
  <c r="G341" i="6"/>
  <c r="F341" i="6"/>
  <c r="D341" i="6"/>
  <c r="H341" i="6" s="1"/>
  <c r="I341" i="6" s="1"/>
  <c r="C341" i="6"/>
  <c r="Q341" i="6"/>
  <c r="P341" i="6"/>
  <c r="L341" i="6"/>
  <c r="F345" i="6"/>
  <c r="L345" i="6"/>
  <c r="B345" i="6"/>
  <c r="J345" i="6"/>
  <c r="G345" i="6"/>
  <c r="Q345" i="6"/>
  <c r="P345" i="6"/>
  <c r="D345" i="6"/>
  <c r="H345" i="6" s="1"/>
  <c r="I345" i="6" s="1"/>
  <c r="C345" i="6"/>
  <c r="J213" i="6"/>
  <c r="B213" i="6"/>
  <c r="G213" i="6"/>
  <c r="F213" i="6"/>
  <c r="Q213" i="6"/>
  <c r="D213" i="6"/>
  <c r="H213" i="6" s="1"/>
  <c r="I213" i="6" s="1"/>
  <c r="P213" i="6"/>
  <c r="C213" i="6"/>
  <c r="L213" i="6"/>
  <c r="J210" i="6"/>
  <c r="G210" i="6"/>
  <c r="F210" i="6"/>
  <c r="C210" i="6"/>
  <c r="B210" i="6"/>
  <c r="Q210" i="6"/>
  <c r="P210" i="6"/>
  <c r="L210" i="6"/>
  <c r="D210" i="6"/>
  <c r="H210" i="6" s="1"/>
  <c r="I210" i="6" s="1"/>
  <c r="F105" i="6"/>
  <c r="G105" i="6"/>
  <c r="Q105" i="6"/>
  <c r="D105" i="6"/>
  <c r="H105" i="6" s="1"/>
  <c r="I105" i="6" s="1"/>
  <c r="B105" i="6"/>
  <c r="P105" i="6"/>
  <c r="L105" i="6"/>
  <c r="J105" i="6"/>
  <c r="C105" i="6"/>
  <c r="P91" i="6"/>
  <c r="D91" i="6"/>
  <c r="H91" i="6" s="1"/>
  <c r="I91" i="6" s="1"/>
  <c r="J91" i="6"/>
  <c r="G91" i="6"/>
  <c r="F91" i="6"/>
  <c r="Q91" i="6"/>
  <c r="L91" i="6"/>
  <c r="C91" i="6"/>
  <c r="B91" i="6"/>
  <c r="J709" i="6"/>
  <c r="B709" i="6"/>
  <c r="G709" i="6"/>
  <c r="Q709" i="6"/>
  <c r="D709" i="6"/>
  <c r="H709" i="6" s="1"/>
  <c r="I709" i="6" s="1"/>
  <c r="L709" i="6"/>
  <c r="F709" i="6"/>
  <c r="C709" i="6"/>
  <c r="P709" i="6"/>
  <c r="F705" i="6"/>
  <c r="Q705" i="6"/>
  <c r="D705" i="6"/>
  <c r="H705" i="6" s="1"/>
  <c r="I705" i="6" s="1"/>
  <c r="L705" i="6"/>
  <c r="B705" i="6"/>
  <c r="J705" i="6"/>
  <c r="C705" i="6"/>
  <c r="P705" i="6"/>
  <c r="G705" i="6"/>
  <c r="F714" i="6"/>
  <c r="P714" i="6"/>
  <c r="C714" i="6"/>
  <c r="L714" i="6"/>
  <c r="B714" i="6"/>
  <c r="G714" i="6"/>
  <c r="D714" i="6"/>
  <c r="H714" i="6" s="1"/>
  <c r="I714" i="6" s="1"/>
  <c r="Q714" i="6"/>
  <c r="J714" i="6"/>
  <c r="Q1232" i="6"/>
  <c r="P1232" i="6"/>
  <c r="D1232" i="6"/>
  <c r="H1232" i="6" s="1"/>
  <c r="I1232" i="6" s="1"/>
  <c r="L1232" i="6"/>
  <c r="C1232" i="6"/>
  <c r="J1232" i="6"/>
  <c r="G1232" i="6"/>
  <c r="F1232" i="6"/>
  <c r="B1232" i="6"/>
  <c r="P1237" i="6"/>
  <c r="D1237" i="6"/>
  <c r="H1237" i="6" s="1"/>
  <c r="I1237" i="6" s="1"/>
  <c r="L1237" i="6"/>
  <c r="C1237" i="6"/>
  <c r="J1237" i="6"/>
  <c r="B1237" i="6"/>
  <c r="G1237" i="6"/>
  <c r="F1237" i="6"/>
  <c r="Q1237" i="6"/>
  <c r="P1246" i="6"/>
  <c r="C1246" i="6"/>
  <c r="L1246" i="6"/>
  <c r="B1246" i="6"/>
  <c r="J1246" i="6"/>
  <c r="G1246" i="6"/>
  <c r="D1246" i="6"/>
  <c r="H1246" i="6" s="1"/>
  <c r="I1246" i="6" s="1"/>
  <c r="Q1246" i="6"/>
  <c r="F1246" i="6"/>
  <c r="Q1671" i="6"/>
  <c r="J1671" i="6"/>
  <c r="B1671" i="6"/>
  <c r="G1671" i="6"/>
  <c r="F1671" i="6"/>
  <c r="D1671" i="6"/>
  <c r="H1671" i="6" s="1"/>
  <c r="I1671" i="6" s="1"/>
  <c r="C1671" i="6"/>
  <c r="P1671" i="6"/>
  <c r="L1671" i="6"/>
  <c r="P1668" i="6"/>
  <c r="D1668" i="6"/>
  <c r="H1668" i="6" s="1"/>
  <c r="I1668" i="6" s="1"/>
  <c r="G1668" i="6"/>
  <c r="Q1668" i="6"/>
  <c r="B1668" i="6"/>
  <c r="L1668" i="6"/>
  <c r="J1668" i="6"/>
  <c r="F1668" i="6"/>
  <c r="C1668" i="6"/>
  <c r="F817" i="6"/>
  <c r="Q817" i="6"/>
  <c r="D817" i="6"/>
  <c r="H817" i="6" s="1"/>
  <c r="I817" i="6" s="1"/>
  <c r="P817" i="6"/>
  <c r="C817" i="6"/>
  <c r="L817" i="6"/>
  <c r="B817" i="6"/>
  <c r="J817" i="6"/>
  <c r="G817" i="6"/>
  <c r="F810" i="6"/>
  <c r="Q810" i="6"/>
  <c r="D810" i="6"/>
  <c r="H810" i="6" s="1"/>
  <c r="I810" i="6" s="1"/>
  <c r="P810" i="6"/>
  <c r="C810" i="6"/>
  <c r="L810" i="6"/>
  <c r="B810" i="6"/>
  <c r="G810" i="6"/>
  <c r="J810" i="6"/>
  <c r="J537" i="6"/>
  <c r="B537" i="6"/>
  <c r="G537" i="6"/>
  <c r="F537" i="6"/>
  <c r="C537" i="6"/>
  <c r="Q537" i="6"/>
  <c r="P537" i="6"/>
  <c r="D537" i="6"/>
  <c r="H537" i="6" s="1"/>
  <c r="I537" i="6" s="1"/>
  <c r="L537" i="6"/>
  <c r="J539" i="6"/>
  <c r="G539" i="6"/>
  <c r="F539" i="6"/>
  <c r="Q539" i="6"/>
  <c r="P539" i="6"/>
  <c r="L539" i="6"/>
  <c r="D539" i="6"/>
  <c r="H539" i="6" s="1"/>
  <c r="I539" i="6" s="1"/>
  <c r="C539" i="6"/>
  <c r="B539" i="6"/>
  <c r="Q287" i="6"/>
  <c r="D287" i="6"/>
  <c r="H287" i="6" s="1"/>
  <c r="I287" i="6" s="1"/>
  <c r="P287" i="6"/>
  <c r="C287" i="6"/>
  <c r="L287" i="6"/>
  <c r="B287" i="6"/>
  <c r="J287" i="6"/>
  <c r="G287" i="6"/>
  <c r="F287" i="6"/>
  <c r="L288" i="6"/>
  <c r="C288" i="6"/>
  <c r="J288" i="6"/>
  <c r="G288" i="6"/>
  <c r="F288" i="6"/>
  <c r="D288" i="6"/>
  <c r="H288" i="6" s="1"/>
  <c r="I288" i="6" s="1"/>
  <c r="B288" i="6"/>
  <c r="P288" i="6"/>
  <c r="Q288" i="6"/>
  <c r="F1632" i="6"/>
  <c r="G1632" i="6"/>
  <c r="P1632" i="6"/>
  <c r="L1632" i="6"/>
  <c r="J1632" i="6"/>
  <c r="B1632" i="6"/>
  <c r="C1632" i="6"/>
  <c r="Q1632" i="6"/>
  <c r="D1632" i="6"/>
  <c r="H1632" i="6" s="1"/>
  <c r="I1632" i="6" s="1"/>
  <c r="L1554" i="6"/>
  <c r="C1554" i="6"/>
  <c r="Q1554" i="6"/>
  <c r="D1554" i="6"/>
  <c r="H1554" i="6" s="1"/>
  <c r="I1554" i="6" s="1"/>
  <c r="P1554" i="6"/>
  <c r="B1554" i="6"/>
  <c r="J1554" i="6"/>
  <c r="F1554" i="6"/>
  <c r="G1554" i="6"/>
  <c r="Q1492" i="6"/>
  <c r="D1492" i="6"/>
  <c r="H1492" i="6" s="1"/>
  <c r="I1492" i="6" s="1"/>
  <c r="P1492" i="6"/>
  <c r="C1492" i="6"/>
  <c r="L1492" i="6"/>
  <c r="B1492" i="6"/>
  <c r="J1492" i="6"/>
  <c r="G1492" i="6"/>
  <c r="F1492" i="6"/>
  <c r="G1364" i="6"/>
  <c r="F1364" i="6"/>
  <c r="Q1364" i="6"/>
  <c r="P1364" i="6"/>
  <c r="D1364" i="6"/>
  <c r="H1364" i="6" s="1"/>
  <c r="I1364" i="6" s="1"/>
  <c r="L1364" i="6"/>
  <c r="C1364" i="6"/>
  <c r="B1364" i="6"/>
  <c r="J1364" i="6"/>
  <c r="Q1282" i="6"/>
  <c r="G1282" i="6"/>
  <c r="D1282" i="6"/>
  <c r="H1282" i="6" s="1"/>
  <c r="I1282" i="6" s="1"/>
  <c r="C1282" i="6"/>
  <c r="P1282" i="6"/>
  <c r="B1282" i="6"/>
  <c r="J1282" i="6"/>
  <c r="F1282" i="6"/>
  <c r="L1282" i="6"/>
  <c r="G1158" i="6"/>
  <c r="F1158" i="6"/>
  <c r="Q1158" i="6"/>
  <c r="D1158" i="6"/>
  <c r="H1158" i="6" s="1"/>
  <c r="I1158" i="6" s="1"/>
  <c r="C1158" i="6"/>
  <c r="P1158" i="6"/>
  <c r="B1158" i="6"/>
  <c r="L1158" i="6"/>
  <c r="J1158" i="6"/>
  <c r="P1091" i="6"/>
  <c r="D1091" i="6"/>
  <c r="H1091" i="6" s="1"/>
  <c r="I1091" i="6" s="1"/>
  <c r="L1091" i="6"/>
  <c r="C1091" i="6"/>
  <c r="J1091" i="6"/>
  <c r="B1091" i="6"/>
  <c r="F1091" i="6"/>
  <c r="Q1091" i="6"/>
  <c r="G1091" i="6"/>
  <c r="Q498" i="6"/>
  <c r="G498" i="6"/>
  <c r="F498" i="6"/>
  <c r="P498" i="6"/>
  <c r="D498" i="6"/>
  <c r="H498" i="6" s="1"/>
  <c r="I498" i="6" s="1"/>
  <c r="J498" i="6"/>
  <c r="C498" i="6"/>
  <c r="B498" i="6"/>
  <c r="L498" i="6"/>
  <c r="F1599" i="6"/>
  <c r="Q1599" i="6"/>
  <c r="D1599" i="6"/>
  <c r="H1599" i="6" s="1"/>
  <c r="I1599" i="6" s="1"/>
  <c r="P1599" i="6"/>
  <c r="C1599" i="6"/>
  <c r="L1599" i="6"/>
  <c r="B1599" i="6"/>
  <c r="J1599" i="6"/>
  <c r="G1599" i="6"/>
  <c r="G1470" i="6"/>
  <c r="J1470" i="6"/>
  <c r="F1470" i="6"/>
  <c r="D1470" i="6"/>
  <c r="H1470" i="6" s="1"/>
  <c r="I1470" i="6" s="1"/>
  <c r="C1470" i="6"/>
  <c r="B1470" i="6"/>
  <c r="Q1470" i="6"/>
  <c r="P1470" i="6"/>
  <c r="L1470" i="6"/>
  <c r="G1166" i="6"/>
  <c r="F1166" i="6"/>
  <c r="Q1166" i="6"/>
  <c r="P1166" i="6"/>
  <c r="B1166" i="6"/>
  <c r="L1166" i="6"/>
  <c r="J1166" i="6"/>
  <c r="D1166" i="6"/>
  <c r="H1166" i="6" s="1"/>
  <c r="I1166" i="6" s="1"/>
  <c r="C1166" i="6"/>
  <c r="G1052" i="6"/>
  <c r="P1052" i="6"/>
  <c r="C1052" i="6"/>
  <c r="D1052" i="6"/>
  <c r="H1052" i="6" s="1"/>
  <c r="I1052" i="6" s="1"/>
  <c r="Q1052" i="6"/>
  <c r="B1052" i="6"/>
  <c r="L1052" i="6"/>
  <c r="J1052" i="6"/>
  <c r="F1052" i="6"/>
  <c r="P963" i="6"/>
  <c r="D963" i="6"/>
  <c r="H963" i="6" s="1"/>
  <c r="I963" i="6" s="1"/>
  <c r="J963" i="6"/>
  <c r="G963" i="6"/>
  <c r="F963" i="6"/>
  <c r="C963" i="6"/>
  <c r="B963" i="6"/>
  <c r="Q963" i="6"/>
  <c r="L963" i="6"/>
  <c r="L832" i="6"/>
  <c r="C832" i="6"/>
  <c r="G832" i="6"/>
  <c r="F832" i="6"/>
  <c r="Q832" i="6"/>
  <c r="P832" i="6"/>
  <c r="J832" i="6"/>
  <c r="D832" i="6"/>
  <c r="H832" i="6" s="1"/>
  <c r="I832" i="6" s="1"/>
  <c r="B832" i="6"/>
  <c r="J765" i="6"/>
  <c r="B765" i="6"/>
  <c r="Q765" i="6"/>
  <c r="D765" i="6"/>
  <c r="H765" i="6" s="1"/>
  <c r="I765" i="6" s="1"/>
  <c r="P765" i="6"/>
  <c r="C765" i="6"/>
  <c r="L765" i="6"/>
  <c r="F765" i="6"/>
  <c r="G765" i="6"/>
  <c r="P619" i="6"/>
  <c r="D619" i="6"/>
  <c r="H619" i="6" s="1"/>
  <c r="I619" i="6" s="1"/>
  <c r="G619" i="6"/>
  <c r="F619" i="6"/>
  <c r="C619" i="6"/>
  <c r="Q619" i="6"/>
  <c r="B619" i="6"/>
  <c r="L619" i="6"/>
  <c r="J619" i="6"/>
  <c r="J555" i="6"/>
  <c r="G555" i="6"/>
  <c r="F555" i="6"/>
  <c r="Q555" i="6"/>
  <c r="P555" i="6"/>
  <c r="L555" i="6"/>
  <c r="D555" i="6"/>
  <c r="H555" i="6" s="1"/>
  <c r="I555" i="6" s="1"/>
  <c r="C555" i="6"/>
  <c r="B555" i="6"/>
  <c r="J483" i="6"/>
  <c r="L483" i="6"/>
  <c r="G483" i="6"/>
  <c r="F483" i="6"/>
  <c r="B483" i="6"/>
  <c r="Q483" i="6"/>
  <c r="P483" i="6"/>
  <c r="D483" i="6"/>
  <c r="H483" i="6" s="1"/>
  <c r="I483" i="6" s="1"/>
  <c r="C483" i="6"/>
  <c r="J1688" i="6"/>
  <c r="B1688" i="6"/>
  <c r="Q1688" i="6"/>
  <c r="F1688" i="6"/>
  <c r="D1688" i="6"/>
  <c r="H1688" i="6" s="1"/>
  <c r="I1688" i="6" s="1"/>
  <c r="P1688" i="6"/>
  <c r="C1688" i="6"/>
  <c r="L1688" i="6"/>
  <c r="G1688" i="6"/>
  <c r="Q1373" i="6"/>
  <c r="J1373" i="6"/>
  <c r="B1373" i="6"/>
  <c r="G1373" i="6"/>
  <c r="F1373" i="6"/>
  <c r="D1373" i="6"/>
  <c r="H1373" i="6" s="1"/>
  <c r="I1373" i="6" s="1"/>
  <c r="C1373" i="6"/>
  <c r="P1373" i="6"/>
  <c r="L1373" i="6"/>
  <c r="P1263" i="6"/>
  <c r="D1263" i="6"/>
  <c r="H1263" i="6" s="1"/>
  <c r="I1263" i="6" s="1"/>
  <c r="Q1263" i="6"/>
  <c r="C1263" i="6"/>
  <c r="J1263" i="6"/>
  <c r="F1263" i="6"/>
  <c r="B1263" i="6"/>
  <c r="L1263" i="6"/>
  <c r="G1263" i="6"/>
  <c r="G864" i="6"/>
  <c r="F864" i="6"/>
  <c r="Q864" i="6"/>
  <c r="P864" i="6"/>
  <c r="D864" i="6"/>
  <c r="H864" i="6" s="1"/>
  <c r="I864" i="6" s="1"/>
  <c r="L864" i="6"/>
  <c r="C864" i="6"/>
  <c r="J864" i="6"/>
  <c r="B864" i="6"/>
  <c r="J1439" i="6"/>
  <c r="B1439" i="6"/>
  <c r="F1439" i="6"/>
  <c r="G1439" i="6"/>
  <c r="D1439" i="6"/>
  <c r="H1439" i="6" s="1"/>
  <c r="I1439" i="6" s="1"/>
  <c r="Q1439" i="6"/>
  <c r="C1439" i="6"/>
  <c r="P1439" i="6"/>
  <c r="L1439" i="6"/>
  <c r="F1317" i="6"/>
  <c r="G1317" i="6"/>
  <c r="Q1317" i="6"/>
  <c r="D1317" i="6"/>
  <c r="H1317" i="6" s="1"/>
  <c r="I1317" i="6" s="1"/>
  <c r="L1317" i="6"/>
  <c r="J1317" i="6"/>
  <c r="P1317" i="6"/>
  <c r="C1317" i="6"/>
  <c r="B1317" i="6"/>
  <c r="P1205" i="6"/>
  <c r="D1205" i="6"/>
  <c r="H1205" i="6" s="1"/>
  <c r="I1205" i="6" s="1"/>
  <c r="L1205" i="6"/>
  <c r="C1205" i="6"/>
  <c r="J1205" i="6"/>
  <c r="B1205" i="6"/>
  <c r="G1205" i="6"/>
  <c r="F1205" i="6"/>
  <c r="Q1205" i="6"/>
  <c r="Q858" i="6"/>
  <c r="P858" i="6"/>
  <c r="D858" i="6"/>
  <c r="H858" i="6" s="1"/>
  <c r="I858" i="6" s="1"/>
  <c r="L858" i="6"/>
  <c r="C858" i="6"/>
  <c r="J858" i="6"/>
  <c r="B858" i="6"/>
  <c r="G858" i="6"/>
  <c r="F858" i="6"/>
  <c r="J797" i="6"/>
  <c r="B797" i="6"/>
  <c r="Q797" i="6"/>
  <c r="D797" i="6"/>
  <c r="H797" i="6" s="1"/>
  <c r="I797" i="6" s="1"/>
  <c r="P797" i="6"/>
  <c r="C797" i="6"/>
  <c r="L797" i="6"/>
  <c r="G797" i="6"/>
  <c r="F797" i="6"/>
  <c r="F730" i="6"/>
  <c r="Q730" i="6"/>
  <c r="D730" i="6"/>
  <c r="H730" i="6" s="1"/>
  <c r="I730" i="6" s="1"/>
  <c r="P730" i="6"/>
  <c r="C730" i="6"/>
  <c r="L730" i="6"/>
  <c r="B730" i="6"/>
  <c r="J730" i="6"/>
  <c r="G730" i="6"/>
  <c r="Q531" i="6"/>
  <c r="D531" i="6"/>
  <c r="H531" i="6" s="1"/>
  <c r="I531" i="6" s="1"/>
  <c r="P531" i="6"/>
  <c r="C531" i="6"/>
  <c r="L531" i="6"/>
  <c r="B531" i="6"/>
  <c r="J531" i="6"/>
  <c r="G531" i="6"/>
  <c r="F531" i="6"/>
  <c r="P386" i="6"/>
  <c r="C386" i="6"/>
  <c r="L386" i="6"/>
  <c r="B386" i="6"/>
  <c r="J386" i="6"/>
  <c r="G386" i="6"/>
  <c r="Q386" i="6"/>
  <c r="F386" i="6"/>
  <c r="D386" i="6"/>
  <c r="H386" i="6" s="1"/>
  <c r="I386" i="6" s="1"/>
  <c r="G314" i="6"/>
  <c r="F314" i="6"/>
  <c r="Q314" i="6"/>
  <c r="D314" i="6"/>
  <c r="H314" i="6" s="1"/>
  <c r="I314" i="6" s="1"/>
  <c r="P314" i="6"/>
  <c r="C314" i="6"/>
  <c r="L314" i="6"/>
  <c r="J314" i="6"/>
  <c r="B314" i="6"/>
  <c r="F177" i="6"/>
  <c r="Q177" i="6"/>
  <c r="D177" i="6"/>
  <c r="H177" i="6" s="1"/>
  <c r="I177" i="6" s="1"/>
  <c r="P177" i="6"/>
  <c r="C177" i="6"/>
  <c r="L177" i="6"/>
  <c r="B177" i="6"/>
  <c r="J177" i="6"/>
  <c r="G177" i="6"/>
  <c r="C51" i="6"/>
  <c r="B51" i="6"/>
  <c r="G51" i="6"/>
  <c r="Q51" i="6"/>
  <c r="P51" i="6"/>
  <c r="F51" i="6"/>
  <c r="F1123" i="6"/>
  <c r="Q1123" i="6"/>
  <c r="P1123" i="6"/>
  <c r="D1123" i="6"/>
  <c r="H1123" i="6" s="1"/>
  <c r="I1123" i="6" s="1"/>
  <c r="G1123" i="6"/>
  <c r="C1123" i="6"/>
  <c r="L1123" i="6"/>
  <c r="J1123" i="6"/>
  <c r="B1123" i="6"/>
  <c r="G1124" i="6"/>
  <c r="J1124" i="6"/>
  <c r="F1124" i="6"/>
  <c r="D1124" i="6"/>
  <c r="H1124" i="6" s="1"/>
  <c r="I1124" i="6" s="1"/>
  <c r="C1124" i="6"/>
  <c r="B1124" i="6"/>
  <c r="Q1124" i="6"/>
  <c r="P1124" i="6"/>
  <c r="L1124" i="6"/>
  <c r="G1110" i="6"/>
  <c r="F1110" i="6"/>
  <c r="Q1110" i="6"/>
  <c r="D1110" i="6"/>
  <c r="H1110" i="6" s="1"/>
  <c r="I1110" i="6" s="1"/>
  <c r="C1110" i="6"/>
  <c r="P1110" i="6"/>
  <c r="B1110" i="6"/>
  <c r="L1110" i="6"/>
  <c r="J1110" i="6"/>
  <c r="G1063" i="6"/>
  <c r="F1063" i="6"/>
  <c r="Q1063" i="6"/>
  <c r="D1063" i="6"/>
  <c r="H1063" i="6" s="1"/>
  <c r="I1063" i="6" s="1"/>
  <c r="P1063" i="6"/>
  <c r="L1063" i="6"/>
  <c r="J1063" i="6"/>
  <c r="C1063" i="6"/>
  <c r="B1063" i="6"/>
  <c r="P363" i="6"/>
  <c r="D363" i="6"/>
  <c r="H363" i="6" s="1"/>
  <c r="I363" i="6" s="1"/>
  <c r="Q363" i="6"/>
  <c r="C363" i="6"/>
  <c r="L363" i="6"/>
  <c r="B363" i="6"/>
  <c r="J363" i="6"/>
  <c r="G363" i="6"/>
  <c r="F363" i="6"/>
  <c r="Q57" i="6"/>
  <c r="P57" i="6"/>
  <c r="C57" i="6"/>
  <c r="B57" i="6"/>
  <c r="G57" i="6"/>
  <c r="F57" i="6"/>
  <c r="F753" i="6"/>
  <c r="Q753" i="6"/>
  <c r="D753" i="6"/>
  <c r="H753" i="6" s="1"/>
  <c r="I753" i="6" s="1"/>
  <c r="P753" i="6"/>
  <c r="C753" i="6"/>
  <c r="L753" i="6"/>
  <c r="B753" i="6"/>
  <c r="J753" i="6"/>
  <c r="G753" i="6"/>
  <c r="P307" i="6"/>
  <c r="D307" i="6"/>
  <c r="H307" i="6" s="1"/>
  <c r="I307" i="6" s="1"/>
  <c r="G307" i="6"/>
  <c r="F307" i="6"/>
  <c r="Q307" i="6"/>
  <c r="C307" i="6"/>
  <c r="B307" i="6"/>
  <c r="L307" i="6"/>
  <c r="J307" i="6"/>
  <c r="Q230" i="6"/>
  <c r="G230" i="6"/>
  <c r="F230" i="6"/>
  <c r="P230" i="6"/>
  <c r="D230" i="6"/>
  <c r="H230" i="6" s="1"/>
  <c r="I230" i="6" s="1"/>
  <c r="L230" i="6"/>
  <c r="C230" i="6"/>
  <c r="J230" i="6"/>
  <c r="B230" i="6"/>
  <c r="Q614" i="6"/>
  <c r="L614" i="6"/>
  <c r="B614" i="6"/>
  <c r="J614" i="6"/>
  <c r="G614" i="6"/>
  <c r="F614" i="6"/>
  <c r="D614" i="6"/>
  <c r="H614" i="6" s="1"/>
  <c r="I614" i="6" s="1"/>
  <c r="C614" i="6"/>
  <c r="P614" i="6"/>
  <c r="F1384" i="6"/>
  <c r="P1384" i="6"/>
  <c r="C1384" i="6"/>
  <c r="L1384" i="6"/>
  <c r="B1384" i="6"/>
  <c r="J1384" i="6"/>
  <c r="Q1384" i="6"/>
  <c r="G1384" i="6"/>
  <c r="D1384" i="6"/>
  <c r="H1384" i="6" s="1"/>
  <c r="I1384" i="6" s="1"/>
  <c r="J1551" i="6"/>
  <c r="B1551" i="6"/>
  <c r="G1551" i="6"/>
  <c r="F1551" i="6"/>
  <c r="P1551" i="6"/>
  <c r="L1551" i="6"/>
  <c r="D1551" i="6"/>
  <c r="H1551" i="6" s="1"/>
  <c r="I1551" i="6" s="1"/>
  <c r="C1551" i="6"/>
  <c r="Q1551" i="6"/>
  <c r="P1181" i="6"/>
  <c r="D1181" i="6"/>
  <c r="H1181" i="6" s="1"/>
  <c r="I1181" i="6" s="1"/>
  <c r="L1181" i="6"/>
  <c r="C1181" i="6"/>
  <c r="J1181" i="6"/>
  <c r="B1181" i="6"/>
  <c r="Q1181" i="6"/>
  <c r="G1181" i="6"/>
  <c r="F1181" i="6"/>
  <c r="G975" i="6"/>
  <c r="F975" i="6"/>
  <c r="Q975" i="6"/>
  <c r="D975" i="6"/>
  <c r="H975" i="6" s="1"/>
  <c r="I975" i="6" s="1"/>
  <c r="P975" i="6"/>
  <c r="C975" i="6"/>
  <c r="L975" i="6"/>
  <c r="J975" i="6"/>
  <c r="B975" i="6"/>
  <c r="P511" i="6"/>
  <c r="D511" i="6"/>
  <c r="H511" i="6" s="1"/>
  <c r="I511" i="6" s="1"/>
  <c r="Q511" i="6"/>
  <c r="B511" i="6"/>
  <c r="L511" i="6"/>
  <c r="J511" i="6"/>
  <c r="G511" i="6"/>
  <c r="C511" i="6"/>
  <c r="F511" i="6"/>
  <c r="Q1274" i="6"/>
  <c r="L1274" i="6"/>
  <c r="C1274" i="6"/>
  <c r="D1274" i="6"/>
  <c r="H1274" i="6" s="1"/>
  <c r="I1274" i="6" s="1"/>
  <c r="P1274" i="6"/>
  <c r="B1274" i="6"/>
  <c r="J1274" i="6"/>
  <c r="F1274" i="6"/>
  <c r="G1274" i="6"/>
  <c r="P446" i="6"/>
  <c r="C446" i="6"/>
  <c r="D446" i="6"/>
  <c r="H446" i="6" s="1"/>
  <c r="I446" i="6" s="1"/>
  <c r="Q446" i="6"/>
  <c r="B446" i="6"/>
  <c r="L446" i="6"/>
  <c r="J446" i="6"/>
  <c r="G446" i="6"/>
  <c r="F446" i="6"/>
  <c r="F1507" i="6"/>
  <c r="G1507" i="6"/>
  <c r="Q1507" i="6"/>
  <c r="D1507" i="6"/>
  <c r="H1507" i="6" s="1"/>
  <c r="I1507" i="6" s="1"/>
  <c r="C1507" i="6"/>
  <c r="B1507" i="6"/>
  <c r="P1507" i="6"/>
  <c r="L1507" i="6"/>
  <c r="J1507" i="6"/>
  <c r="Q678" i="6"/>
  <c r="F678" i="6"/>
  <c r="D678" i="6"/>
  <c r="H678" i="6" s="1"/>
  <c r="I678" i="6" s="1"/>
  <c r="P678" i="6"/>
  <c r="C678" i="6"/>
  <c r="L678" i="6"/>
  <c r="B678" i="6"/>
  <c r="G678" i="6"/>
  <c r="J678" i="6"/>
  <c r="F649" i="6"/>
  <c r="Q649" i="6"/>
  <c r="D649" i="6"/>
  <c r="H649" i="6" s="1"/>
  <c r="I649" i="6" s="1"/>
  <c r="P649" i="6"/>
  <c r="C649" i="6"/>
  <c r="L649" i="6"/>
  <c r="B649" i="6"/>
  <c r="J649" i="6"/>
  <c r="G649" i="6"/>
  <c r="G132" i="6"/>
  <c r="L132" i="6"/>
  <c r="B132" i="6"/>
  <c r="J132" i="6"/>
  <c r="F132" i="6"/>
  <c r="Q132" i="6"/>
  <c r="P132" i="6"/>
  <c r="D132" i="6"/>
  <c r="H132" i="6" s="1"/>
  <c r="I132" i="6" s="1"/>
  <c r="C132" i="6"/>
  <c r="F84" i="6"/>
  <c r="Q84" i="6"/>
  <c r="P84" i="6"/>
  <c r="D84" i="6"/>
  <c r="H84" i="6" s="1"/>
  <c r="I84" i="6" s="1"/>
  <c r="L84" i="6"/>
  <c r="C84" i="6"/>
  <c r="J84" i="6"/>
  <c r="B84" i="6"/>
  <c r="G84" i="6"/>
  <c r="L1650" i="6"/>
  <c r="C1650" i="6"/>
  <c r="F1650" i="6"/>
  <c r="Q1650" i="6"/>
  <c r="B1650" i="6"/>
  <c r="P1650" i="6"/>
  <c r="J1650" i="6"/>
  <c r="G1650" i="6"/>
  <c r="D1650" i="6"/>
  <c r="H1650" i="6" s="1"/>
  <c r="I1650" i="6" s="1"/>
  <c r="F1337" i="6"/>
  <c r="Q1337" i="6"/>
  <c r="P1337" i="6"/>
  <c r="D1337" i="6"/>
  <c r="H1337" i="6" s="1"/>
  <c r="I1337" i="6" s="1"/>
  <c r="L1337" i="6"/>
  <c r="C1337" i="6"/>
  <c r="J1337" i="6"/>
  <c r="B1337" i="6"/>
  <c r="G1337" i="6"/>
  <c r="G330" i="6"/>
  <c r="F330" i="6"/>
  <c r="Q330" i="6"/>
  <c r="D330" i="6"/>
  <c r="H330" i="6" s="1"/>
  <c r="I330" i="6" s="1"/>
  <c r="P330" i="6"/>
  <c r="C330" i="6"/>
  <c r="L330" i="6"/>
  <c r="J330" i="6"/>
  <c r="B330" i="6"/>
  <c r="L1631" i="6"/>
  <c r="Q1631" i="6"/>
  <c r="D1631" i="6"/>
  <c r="H1631" i="6" s="1"/>
  <c r="I1631" i="6" s="1"/>
  <c r="P1631" i="6"/>
  <c r="C1631" i="6"/>
  <c r="J1631" i="6"/>
  <c r="B1631" i="6"/>
  <c r="G1631" i="6"/>
  <c r="F1631" i="6"/>
  <c r="G1500" i="6"/>
  <c r="F1500" i="6"/>
  <c r="P1500" i="6"/>
  <c r="L1500" i="6"/>
  <c r="J1500" i="6"/>
  <c r="D1500" i="6"/>
  <c r="H1500" i="6" s="1"/>
  <c r="I1500" i="6" s="1"/>
  <c r="B1500" i="6"/>
  <c r="Q1500" i="6"/>
  <c r="C1500" i="6"/>
  <c r="J1365" i="6"/>
  <c r="B1365" i="6"/>
  <c r="G1365" i="6"/>
  <c r="F1365" i="6"/>
  <c r="L1365" i="6"/>
  <c r="D1365" i="6"/>
  <c r="H1365" i="6" s="1"/>
  <c r="I1365" i="6" s="1"/>
  <c r="Q1365" i="6"/>
  <c r="P1365" i="6"/>
  <c r="C1365" i="6"/>
  <c r="L1226" i="6"/>
  <c r="C1226" i="6"/>
  <c r="J1226" i="6"/>
  <c r="B1226" i="6"/>
  <c r="D1226" i="6"/>
  <c r="H1226" i="6" s="1"/>
  <c r="I1226" i="6" s="1"/>
  <c r="Q1226" i="6"/>
  <c r="P1226" i="6"/>
  <c r="G1226" i="6"/>
  <c r="F1226" i="6"/>
  <c r="F1089" i="6"/>
  <c r="Q1089" i="6"/>
  <c r="P1089" i="6"/>
  <c r="D1089" i="6"/>
  <c r="H1089" i="6" s="1"/>
  <c r="I1089" i="6" s="1"/>
  <c r="L1089" i="6"/>
  <c r="C1089" i="6"/>
  <c r="J1089" i="6"/>
  <c r="B1089" i="6"/>
  <c r="G1089" i="6"/>
  <c r="G244" i="6"/>
  <c r="Q244" i="6"/>
  <c r="D244" i="6"/>
  <c r="H244" i="6" s="1"/>
  <c r="I244" i="6" s="1"/>
  <c r="F244" i="6"/>
  <c r="C244" i="6"/>
  <c r="P244" i="6"/>
  <c r="L244" i="6"/>
  <c r="J244" i="6"/>
  <c r="B244" i="6"/>
  <c r="J1479" i="6"/>
  <c r="B1479" i="6"/>
  <c r="L1479" i="6"/>
  <c r="G1479" i="6"/>
  <c r="D1479" i="6"/>
  <c r="H1479" i="6" s="1"/>
  <c r="I1479" i="6" s="1"/>
  <c r="C1479" i="6"/>
  <c r="Q1479" i="6"/>
  <c r="P1479" i="6"/>
  <c r="F1479" i="6"/>
  <c r="G1044" i="6"/>
  <c r="F1044" i="6"/>
  <c r="D1044" i="6"/>
  <c r="H1044" i="6" s="1"/>
  <c r="I1044" i="6" s="1"/>
  <c r="Q1044" i="6"/>
  <c r="C1044" i="6"/>
  <c r="P1044" i="6"/>
  <c r="B1044" i="6"/>
  <c r="L1044" i="6"/>
  <c r="J1044" i="6"/>
  <c r="Q890" i="6"/>
  <c r="P890" i="6"/>
  <c r="D890" i="6"/>
  <c r="H890" i="6" s="1"/>
  <c r="I890" i="6" s="1"/>
  <c r="L890" i="6"/>
  <c r="C890" i="6"/>
  <c r="J890" i="6"/>
  <c r="B890" i="6"/>
  <c r="G890" i="6"/>
  <c r="F890" i="6"/>
  <c r="J757" i="6"/>
  <c r="B757" i="6"/>
  <c r="G757" i="6"/>
  <c r="F757" i="6"/>
  <c r="Q757" i="6"/>
  <c r="D757" i="6"/>
  <c r="H757" i="6" s="1"/>
  <c r="I757" i="6" s="1"/>
  <c r="C757" i="6"/>
  <c r="P757" i="6"/>
  <c r="L757" i="6"/>
  <c r="J701" i="6"/>
  <c r="B701" i="6"/>
  <c r="P701" i="6"/>
  <c r="C701" i="6"/>
  <c r="Q701" i="6"/>
  <c r="L701" i="6"/>
  <c r="G701" i="6"/>
  <c r="F701" i="6"/>
  <c r="D701" i="6"/>
  <c r="H701" i="6" s="1"/>
  <c r="I701" i="6" s="1"/>
  <c r="P495" i="6"/>
  <c r="D495" i="6"/>
  <c r="H495" i="6" s="1"/>
  <c r="I495" i="6" s="1"/>
  <c r="G495" i="6"/>
  <c r="F495" i="6"/>
  <c r="C495" i="6"/>
  <c r="Q495" i="6"/>
  <c r="B495" i="6"/>
  <c r="L495" i="6"/>
  <c r="J495" i="6"/>
  <c r="L1673" i="6"/>
  <c r="C1673" i="6"/>
  <c r="D1673" i="6"/>
  <c r="H1673" i="6" s="1"/>
  <c r="I1673" i="6" s="1"/>
  <c r="P1673" i="6"/>
  <c r="Q1673" i="6"/>
  <c r="J1673" i="6"/>
  <c r="G1673" i="6"/>
  <c r="F1673" i="6"/>
  <c r="B1673" i="6"/>
  <c r="G459" i="6"/>
  <c r="F459" i="6"/>
  <c r="Q459" i="6"/>
  <c r="D459" i="6"/>
  <c r="H459" i="6" s="1"/>
  <c r="I459" i="6" s="1"/>
  <c r="P459" i="6"/>
  <c r="C459" i="6"/>
  <c r="L459" i="6"/>
  <c r="J459" i="6"/>
  <c r="B459" i="6"/>
  <c r="Q1440" i="6"/>
  <c r="J1440" i="6"/>
  <c r="B1440" i="6"/>
  <c r="P1440" i="6"/>
  <c r="C1440" i="6"/>
  <c r="D1440" i="6"/>
  <c r="H1440" i="6" s="1"/>
  <c r="I1440" i="6" s="1"/>
  <c r="L1440" i="6"/>
  <c r="G1440" i="6"/>
  <c r="F1440" i="6"/>
  <c r="J1207" i="6"/>
  <c r="B1207" i="6"/>
  <c r="F1207" i="6"/>
  <c r="D1207" i="6"/>
  <c r="H1207" i="6" s="1"/>
  <c r="I1207" i="6" s="1"/>
  <c r="C1207" i="6"/>
  <c r="Q1207" i="6"/>
  <c r="G1207" i="6"/>
  <c r="P1207" i="6"/>
  <c r="L1207" i="6"/>
  <c r="G804" i="6"/>
  <c r="P804" i="6"/>
  <c r="C804" i="6"/>
  <c r="L804" i="6"/>
  <c r="B804" i="6"/>
  <c r="J804" i="6"/>
  <c r="D804" i="6"/>
  <c r="H804" i="6" s="1"/>
  <c r="I804" i="6" s="1"/>
  <c r="Q804" i="6"/>
  <c r="F804" i="6"/>
  <c r="L656" i="6"/>
  <c r="C656" i="6"/>
  <c r="F656" i="6"/>
  <c r="Q656" i="6"/>
  <c r="D656" i="6"/>
  <c r="H656" i="6" s="1"/>
  <c r="I656" i="6" s="1"/>
  <c r="P656" i="6"/>
  <c r="B656" i="6"/>
  <c r="J656" i="6"/>
  <c r="G656" i="6"/>
  <c r="P527" i="6"/>
  <c r="D527" i="6"/>
  <c r="H527" i="6" s="1"/>
  <c r="I527" i="6" s="1"/>
  <c r="L527" i="6"/>
  <c r="B527" i="6"/>
  <c r="J527" i="6"/>
  <c r="Q527" i="6"/>
  <c r="G527" i="6"/>
  <c r="F527" i="6"/>
  <c r="C527" i="6"/>
  <c r="J381" i="6"/>
  <c r="B381" i="6"/>
  <c r="Q381" i="6"/>
  <c r="D381" i="6"/>
  <c r="H381" i="6" s="1"/>
  <c r="I381" i="6" s="1"/>
  <c r="P381" i="6"/>
  <c r="C381" i="6"/>
  <c r="L381" i="6"/>
  <c r="F381" i="6"/>
  <c r="G381" i="6"/>
  <c r="F257" i="6"/>
  <c r="G257" i="6"/>
  <c r="L257" i="6"/>
  <c r="J257" i="6"/>
  <c r="Q257" i="6"/>
  <c r="P257" i="6"/>
  <c r="D257" i="6"/>
  <c r="H257" i="6" s="1"/>
  <c r="I257" i="6" s="1"/>
  <c r="C257" i="6"/>
  <c r="B257" i="6"/>
  <c r="P1117" i="6"/>
  <c r="D1117" i="6"/>
  <c r="H1117" i="6" s="1"/>
  <c r="I1117" i="6" s="1"/>
  <c r="L1117" i="6"/>
  <c r="C1117" i="6"/>
  <c r="J1117" i="6"/>
  <c r="B1117" i="6"/>
  <c r="Q1117" i="6"/>
  <c r="G1117" i="6"/>
  <c r="F1117" i="6"/>
  <c r="P371" i="6"/>
  <c r="D371" i="6"/>
  <c r="H371" i="6" s="1"/>
  <c r="I371" i="6" s="1"/>
  <c r="G371" i="6"/>
  <c r="F371" i="6"/>
  <c r="Q371" i="6"/>
  <c r="C371" i="6"/>
  <c r="B371" i="6"/>
  <c r="L371" i="6"/>
  <c r="J371" i="6"/>
  <c r="L144" i="6"/>
  <c r="C144" i="6"/>
  <c r="G144" i="6"/>
  <c r="F144" i="6"/>
  <c r="Q144" i="6"/>
  <c r="D144" i="6"/>
  <c r="H144" i="6" s="1"/>
  <c r="I144" i="6" s="1"/>
  <c r="B144" i="6"/>
  <c r="P144" i="6"/>
  <c r="J144" i="6"/>
  <c r="G148" i="6"/>
  <c r="L148" i="6"/>
  <c r="B148" i="6"/>
  <c r="J148" i="6"/>
  <c r="F148" i="6"/>
  <c r="Q148" i="6"/>
  <c r="P148" i="6"/>
  <c r="D148" i="6"/>
  <c r="H148" i="6" s="1"/>
  <c r="I148" i="6" s="1"/>
  <c r="C148" i="6"/>
  <c r="Q17" i="6"/>
  <c r="P17" i="6"/>
  <c r="C17" i="6"/>
  <c r="B17" i="6"/>
  <c r="F17" i="6"/>
  <c r="G17" i="6"/>
  <c r="F746" i="6"/>
  <c r="Q746" i="6"/>
  <c r="D746" i="6"/>
  <c r="H746" i="6" s="1"/>
  <c r="I746" i="6" s="1"/>
  <c r="P746" i="6"/>
  <c r="C746" i="6"/>
  <c r="L746" i="6"/>
  <c r="B746" i="6"/>
  <c r="J746" i="6"/>
  <c r="G746" i="6"/>
  <c r="Q1520" i="6"/>
  <c r="P1520" i="6"/>
  <c r="D1520" i="6"/>
  <c r="H1520" i="6" s="1"/>
  <c r="I1520" i="6" s="1"/>
  <c r="L1520" i="6"/>
  <c r="C1520" i="6"/>
  <c r="J1520" i="6"/>
  <c r="B1520" i="6"/>
  <c r="F1520" i="6"/>
  <c r="G1520" i="6"/>
  <c r="G34" i="6"/>
  <c r="F34" i="6"/>
  <c r="Q34" i="6"/>
  <c r="P34" i="6"/>
  <c r="C34" i="6"/>
  <c r="B34" i="6"/>
  <c r="J889" i="6"/>
  <c r="B889" i="6"/>
  <c r="G889" i="6"/>
  <c r="F889" i="6"/>
  <c r="P889" i="6"/>
  <c r="L889" i="6"/>
  <c r="D889" i="6"/>
  <c r="H889" i="6" s="1"/>
  <c r="I889" i="6" s="1"/>
  <c r="C889" i="6"/>
  <c r="Q889" i="6"/>
  <c r="Q615" i="6"/>
  <c r="D615" i="6"/>
  <c r="H615" i="6" s="1"/>
  <c r="I615" i="6" s="1"/>
  <c r="G615" i="6"/>
  <c r="F615" i="6"/>
  <c r="C615" i="6"/>
  <c r="P615" i="6"/>
  <c r="L615" i="6"/>
  <c r="J615" i="6"/>
  <c r="B615" i="6"/>
  <c r="J603" i="6"/>
  <c r="G603" i="6"/>
  <c r="F603" i="6"/>
  <c r="Q603" i="6"/>
  <c r="P603" i="6"/>
  <c r="L603" i="6"/>
  <c r="D603" i="6"/>
  <c r="H603" i="6" s="1"/>
  <c r="I603" i="6" s="1"/>
  <c r="C603" i="6"/>
  <c r="B603" i="6"/>
  <c r="P479" i="6"/>
  <c r="D479" i="6"/>
  <c r="H479" i="6" s="1"/>
  <c r="I479" i="6" s="1"/>
  <c r="Q479" i="6"/>
  <c r="B479" i="6"/>
  <c r="L479" i="6"/>
  <c r="J479" i="6"/>
  <c r="G479" i="6"/>
  <c r="C479" i="6"/>
  <c r="F479" i="6"/>
  <c r="F1547" i="6"/>
  <c r="Q1547" i="6"/>
  <c r="D1547" i="6"/>
  <c r="H1547" i="6" s="1"/>
  <c r="I1547" i="6" s="1"/>
  <c r="L1547" i="6"/>
  <c r="B1547" i="6"/>
  <c r="C1547" i="6"/>
  <c r="P1547" i="6"/>
  <c r="J1547" i="6"/>
  <c r="G1547" i="6"/>
  <c r="J162" i="6"/>
  <c r="G162" i="6"/>
  <c r="F162" i="6"/>
  <c r="D162" i="6"/>
  <c r="H162" i="6" s="1"/>
  <c r="I162" i="6" s="1"/>
  <c r="C162" i="6"/>
  <c r="B162" i="6"/>
  <c r="Q162" i="6"/>
  <c r="P162" i="6"/>
  <c r="L162" i="6"/>
  <c r="J1273" i="6"/>
  <c r="B1273" i="6"/>
  <c r="G1273" i="6"/>
  <c r="D1273" i="6"/>
  <c r="H1273" i="6" s="1"/>
  <c r="I1273" i="6" s="1"/>
  <c r="C1273" i="6"/>
  <c r="P1273" i="6"/>
  <c r="Q1273" i="6"/>
  <c r="L1273" i="6"/>
  <c r="F1273" i="6"/>
  <c r="F353" i="6"/>
  <c r="G353" i="6"/>
  <c r="Q353" i="6"/>
  <c r="D353" i="6"/>
  <c r="H353" i="6" s="1"/>
  <c r="I353" i="6" s="1"/>
  <c r="P353" i="6"/>
  <c r="C353" i="6"/>
  <c r="L353" i="6"/>
  <c r="B353" i="6"/>
  <c r="J353" i="6"/>
  <c r="J1582" i="6"/>
  <c r="B1582" i="6"/>
  <c r="G1582" i="6"/>
  <c r="Q1582" i="6"/>
  <c r="P1582" i="6"/>
  <c r="L1582" i="6"/>
  <c r="F1582" i="6"/>
  <c r="D1582" i="6"/>
  <c r="H1582" i="6" s="1"/>
  <c r="I1582" i="6" s="1"/>
  <c r="C1582" i="6"/>
  <c r="G684" i="6"/>
  <c r="P684" i="6"/>
  <c r="C684" i="6"/>
  <c r="J684" i="6"/>
  <c r="F684" i="6"/>
  <c r="D684" i="6"/>
  <c r="H684" i="6" s="1"/>
  <c r="I684" i="6" s="1"/>
  <c r="B684" i="6"/>
  <c r="Q684" i="6"/>
  <c r="L684" i="6"/>
  <c r="G1635" i="6"/>
  <c r="F1635" i="6"/>
  <c r="Q1635" i="6"/>
  <c r="D1635" i="6"/>
  <c r="H1635" i="6" s="1"/>
  <c r="I1635" i="6" s="1"/>
  <c r="P1635" i="6"/>
  <c r="C1635" i="6"/>
  <c r="B1635" i="6"/>
  <c r="L1635" i="6"/>
  <c r="J1635" i="6"/>
  <c r="F1499" i="6"/>
  <c r="P1499" i="6"/>
  <c r="C1499" i="6"/>
  <c r="L1499" i="6"/>
  <c r="B1499" i="6"/>
  <c r="J1499" i="6"/>
  <c r="G1499" i="6"/>
  <c r="D1499" i="6"/>
  <c r="H1499" i="6" s="1"/>
  <c r="I1499" i="6" s="1"/>
  <c r="Q1499" i="6"/>
  <c r="Q1358" i="6"/>
  <c r="P1358" i="6"/>
  <c r="D1358" i="6"/>
  <c r="H1358" i="6" s="1"/>
  <c r="I1358" i="6" s="1"/>
  <c r="L1358" i="6"/>
  <c r="C1358" i="6"/>
  <c r="J1358" i="6"/>
  <c r="B1358" i="6"/>
  <c r="F1358" i="6"/>
  <c r="G1358" i="6"/>
  <c r="Q1224" i="6"/>
  <c r="P1224" i="6"/>
  <c r="D1224" i="6"/>
  <c r="H1224" i="6" s="1"/>
  <c r="I1224" i="6" s="1"/>
  <c r="L1224" i="6"/>
  <c r="C1224" i="6"/>
  <c r="F1224" i="6"/>
  <c r="B1224" i="6"/>
  <c r="J1224" i="6"/>
  <c r="G1224" i="6"/>
  <c r="F1081" i="6"/>
  <c r="Q1081" i="6"/>
  <c r="P1081" i="6"/>
  <c r="D1081" i="6"/>
  <c r="H1081" i="6" s="1"/>
  <c r="I1081" i="6" s="1"/>
  <c r="L1081" i="6"/>
  <c r="C1081" i="6"/>
  <c r="J1081" i="6"/>
  <c r="B1081" i="6"/>
  <c r="G1081" i="6"/>
  <c r="L192" i="6"/>
  <c r="C192" i="6"/>
  <c r="G192" i="6"/>
  <c r="F192" i="6"/>
  <c r="Q192" i="6"/>
  <c r="D192" i="6"/>
  <c r="H192" i="6" s="1"/>
  <c r="I192" i="6" s="1"/>
  <c r="P192" i="6"/>
  <c r="J192" i="6"/>
  <c r="B192" i="6"/>
  <c r="Q1480" i="6"/>
  <c r="F1480" i="6"/>
  <c r="P1480" i="6"/>
  <c r="D1480" i="6"/>
  <c r="H1480" i="6" s="1"/>
  <c r="I1480" i="6" s="1"/>
  <c r="L1480" i="6"/>
  <c r="C1480" i="6"/>
  <c r="G1480" i="6"/>
  <c r="B1480" i="6"/>
  <c r="J1480" i="6"/>
  <c r="P1051" i="6"/>
  <c r="D1051" i="6"/>
  <c r="H1051" i="6" s="1"/>
  <c r="I1051" i="6" s="1"/>
  <c r="G1051" i="6"/>
  <c r="F1051" i="6"/>
  <c r="C1051" i="6"/>
  <c r="Q1051" i="6"/>
  <c r="B1051" i="6"/>
  <c r="L1051" i="6"/>
  <c r="J1051" i="6"/>
  <c r="Q958" i="6"/>
  <c r="L958" i="6"/>
  <c r="C958" i="6"/>
  <c r="J958" i="6"/>
  <c r="B958" i="6"/>
  <c r="G958" i="6"/>
  <c r="F958" i="6"/>
  <c r="D958" i="6"/>
  <c r="H958" i="6" s="1"/>
  <c r="I958" i="6" s="1"/>
  <c r="P958" i="6"/>
  <c r="Q837" i="6"/>
  <c r="L837" i="6"/>
  <c r="J837" i="6"/>
  <c r="B837" i="6"/>
  <c r="G837" i="6"/>
  <c r="F837" i="6"/>
  <c r="P837" i="6"/>
  <c r="C837" i="6"/>
  <c r="D837" i="6"/>
  <c r="H837" i="6" s="1"/>
  <c r="I837" i="6" s="1"/>
  <c r="F689" i="6"/>
  <c r="J689" i="6"/>
  <c r="D689" i="6"/>
  <c r="H689" i="6" s="1"/>
  <c r="I689" i="6" s="1"/>
  <c r="Q689" i="6"/>
  <c r="C689" i="6"/>
  <c r="P689" i="6"/>
  <c r="B689" i="6"/>
  <c r="L689" i="6"/>
  <c r="G689" i="6"/>
  <c r="Q482" i="6"/>
  <c r="P482" i="6"/>
  <c r="D482" i="6"/>
  <c r="H482" i="6" s="1"/>
  <c r="I482" i="6" s="1"/>
  <c r="L482" i="6"/>
  <c r="C482" i="6"/>
  <c r="J482" i="6"/>
  <c r="B482" i="6"/>
  <c r="G482" i="6"/>
  <c r="F482" i="6"/>
  <c r="L1382" i="6"/>
  <c r="B1382" i="6"/>
  <c r="J1382" i="6"/>
  <c r="G1382" i="6"/>
  <c r="F1382" i="6"/>
  <c r="Q1382" i="6"/>
  <c r="P1382" i="6"/>
  <c r="D1382" i="6"/>
  <c r="H1382" i="6" s="1"/>
  <c r="I1382" i="6" s="1"/>
  <c r="C1382" i="6"/>
  <c r="P1254" i="6"/>
  <c r="C1254" i="6"/>
  <c r="J1254" i="6"/>
  <c r="D1254" i="6"/>
  <c r="H1254" i="6" s="1"/>
  <c r="I1254" i="6" s="1"/>
  <c r="B1254" i="6"/>
  <c r="L1254" i="6"/>
  <c r="G1254" i="6"/>
  <c r="F1254" i="6"/>
  <c r="Q1254" i="6"/>
  <c r="G124" i="6"/>
  <c r="F124" i="6"/>
  <c r="Q124" i="6"/>
  <c r="D124" i="6"/>
  <c r="H124" i="6" s="1"/>
  <c r="I124" i="6" s="1"/>
  <c r="P124" i="6"/>
  <c r="C124" i="6"/>
  <c r="L124" i="6"/>
  <c r="B124" i="6"/>
  <c r="J124" i="6"/>
  <c r="J1323" i="6"/>
  <c r="G1323" i="6"/>
  <c r="D1323" i="6"/>
  <c r="H1323" i="6" s="1"/>
  <c r="I1323" i="6" s="1"/>
  <c r="C1323" i="6"/>
  <c r="B1323" i="6"/>
  <c r="Q1323" i="6"/>
  <c r="P1323" i="6"/>
  <c r="L1323" i="6"/>
  <c r="F1323" i="6"/>
  <c r="G1196" i="6"/>
  <c r="C1196" i="6"/>
  <c r="Q1196" i="6"/>
  <c r="B1196" i="6"/>
  <c r="P1196" i="6"/>
  <c r="L1196" i="6"/>
  <c r="J1196" i="6"/>
  <c r="F1196" i="6"/>
  <c r="D1196" i="6"/>
  <c r="H1196" i="6" s="1"/>
  <c r="I1196" i="6" s="1"/>
  <c r="F861" i="6"/>
  <c r="Q861" i="6"/>
  <c r="P861" i="6"/>
  <c r="D861" i="6"/>
  <c r="H861" i="6" s="1"/>
  <c r="I861" i="6" s="1"/>
  <c r="L861" i="6"/>
  <c r="C861" i="6"/>
  <c r="J861" i="6"/>
  <c r="B861" i="6"/>
  <c r="G861" i="6"/>
  <c r="G727" i="6"/>
  <c r="F727" i="6"/>
  <c r="Q727" i="6"/>
  <c r="D727" i="6"/>
  <c r="H727" i="6" s="1"/>
  <c r="I727" i="6" s="1"/>
  <c r="P727" i="6"/>
  <c r="L727" i="6"/>
  <c r="J727" i="6"/>
  <c r="C727" i="6"/>
  <c r="B727" i="6"/>
  <c r="Q662" i="6"/>
  <c r="J662" i="6"/>
  <c r="G662" i="6"/>
  <c r="F662" i="6"/>
  <c r="L662" i="6"/>
  <c r="D662" i="6"/>
  <c r="H662" i="6" s="1"/>
  <c r="I662" i="6" s="1"/>
  <c r="C662" i="6"/>
  <c r="B662" i="6"/>
  <c r="P662" i="6"/>
  <c r="Q530" i="6"/>
  <c r="G530" i="6"/>
  <c r="F530" i="6"/>
  <c r="D530" i="6"/>
  <c r="H530" i="6" s="1"/>
  <c r="I530" i="6" s="1"/>
  <c r="C530" i="6"/>
  <c r="B530" i="6"/>
  <c r="J530" i="6"/>
  <c r="P530" i="6"/>
  <c r="L530" i="6"/>
  <c r="F321" i="6"/>
  <c r="G321" i="6"/>
  <c r="Q321" i="6"/>
  <c r="D321" i="6"/>
  <c r="H321" i="6" s="1"/>
  <c r="I321" i="6" s="1"/>
  <c r="P321" i="6"/>
  <c r="C321" i="6"/>
  <c r="L321" i="6"/>
  <c r="B321" i="6"/>
  <c r="J321" i="6"/>
  <c r="J245" i="6"/>
  <c r="B245" i="6"/>
  <c r="F245" i="6"/>
  <c r="D245" i="6"/>
  <c r="H245" i="6" s="1"/>
  <c r="I245" i="6" s="1"/>
  <c r="Q245" i="6"/>
  <c r="C245" i="6"/>
  <c r="P245" i="6"/>
  <c r="G245" i="6"/>
  <c r="L245" i="6"/>
  <c r="Q122" i="6"/>
  <c r="D122" i="6"/>
  <c r="H122" i="6" s="1"/>
  <c r="I122" i="6" s="1"/>
  <c r="P122" i="6"/>
  <c r="C122" i="6"/>
  <c r="L122" i="6"/>
  <c r="B122" i="6"/>
  <c r="J122" i="6"/>
  <c r="G122" i="6"/>
  <c r="F122" i="6"/>
  <c r="J1101" i="6"/>
  <c r="B1101" i="6"/>
  <c r="G1101" i="6"/>
  <c r="F1101" i="6"/>
  <c r="L1101" i="6"/>
  <c r="D1101" i="6"/>
  <c r="H1101" i="6" s="1"/>
  <c r="I1101" i="6" s="1"/>
  <c r="C1101" i="6"/>
  <c r="Q1101" i="6"/>
  <c r="P1101" i="6"/>
  <c r="F60" i="6"/>
  <c r="Q60" i="6"/>
  <c r="P60" i="6"/>
  <c r="C60" i="6"/>
  <c r="B60" i="6"/>
  <c r="G60" i="6"/>
  <c r="J149" i="6"/>
  <c r="B149" i="6"/>
  <c r="G149" i="6"/>
  <c r="F149" i="6"/>
  <c r="Q149" i="6"/>
  <c r="D149" i="6"/>
  <c r="H149" i="6" s="1"/>
  <c r="I149" i="6" s="1"/>
  <c r="P149" i="6"/>
  <c r="C149" i="6"/>
  <c r="L149" i="6"/>
  <c r="Q750" i="6"/>
  <c r="G750" i="6"/>
  <c r="F750" i="6"/>
  <c r="P750" i="6"/>
  <c r="D750" i="6"/>
  <c r="H750" i="6" s="1"/>
  <c r="I750" i="6" s="1"/>
  <c r="J750" i="6"/>
  <c r="C750" i="6"/>
  <c r="B750" i="6"/>
  <c r="L750" i="6"/>
  <c r="L296" i="6"/>
  <c r="C296" i="6"/>
  <c r="F296" i="6"/>
  <c r="Q296" i="6"/>
  <c r="D296" i="6"/>
  <c r="H296" i="6" s="1"/>
  <c r="I296" i="6" s="1"/>
  <c r="P296" i="6"/>
  <c r="B296" i="6"/>
  <c r="J296" i="6"/>
  <c r="G296" i="6"/>
  <c r="G23" i="6"/>
  <c r="F23" i="6"/>
  <c r="Q23" i="6"/>
  <c r="P23" i="6"/>
  <c r="C23" i="6"/>
  <c r="B23" i="6"/>
  <c r="F846" i="6"/>
  <c r="Q846" i="6"/>
  <c r="C846" i="6"/>
  <c r="P846" i="6"/>
  <c r="B846" i="6"/>
  <c r="L846" i="6"/>
  <c r="J846" i="6"/>
  <c r="D846" i="6"/>
  <c r="H846" i="6" s="1"/>
  <c r="I846" i="6" s="1"/>
  <c r="G846" i="6"/>
  <c r="L616" i="6"/>
  <c r="C616" i="6"/>
  <c r="F616" i="6"/>
  <c r="D616" i="6"/>
  <c r="H616" i="6" s="1"/>
  <c r="I616" i="6" s="1"/>
  <c r="Q616" i="6"/>
  <c r="B616" i="6"/>
  <c r="P616" i="6"/>
  <c r="J616" i="6"/>
  <c r="G616" i="6"/>
  <c r="Q1397" i="6"/>
  <c r="F1397" i="6"/>
  <c r="P1397" i="6"/>
  <c r="D1397" i="6"/>
  <c r="H1397" i="6" s="1"/>
  <c r="I1397" i="6" s="1"/>
  <c r="L1397" i="6"/>
  <c r="C1397" i="6"/>
  <c r="J1397" i="6"/>
  <c r="B1397" i="6"/>
  <c r="G1397" i="6"/>
  <c r="L160" i="6"/>
  <c r="C160" i="6"/>
  <c r="G160" i="6"/>
  <c r="F160" i="6"/>
  <c r="Q160" i="6"/>
  <c r="D160" i="6"/>
  <c r="H160" i="6" s="1"/>
  <c r="I160" i="6" s="1"/>
  <c r="J160" i="6"/>
  <c r="B160" i="6"/>
  <c r="P160" i="6"/>
  <c r="G1310" i="6"/>
  <c r="F1310" i="6"/>
  <c r="D1310" i="6"/>
  <c r="H1310" i="6" s="1"/>
  <c r="I1310" i="6" s="1"/>
  <c r="C1310" i="6"/>
  <c r="Q1310" i="6"/>
  <c r="B1310" i="6"/>
  <c r="J1310" i="6"/>
  <c r="L1310" i="6"/>
  <c r="P1310" i="6"/>
  <c r="P355" i="6"/>
  <c r="D355" i="6"/>
  <c r="H355" i="6" s="1"/>
  <c r="I355" i="6" s="1"/>
  <c r="G355" i="6"/>
  <c r="F355" i="6"/>
  <c r="Q355" i="6"/>
  <c r="C355" i="6"/>
  <c r="B355" i="6"/>
  <c r="L355" i="6"/>
  <c r="J355" i="6"/>
  <c r="F1579" i="6"/>
  <c r="J1579" i="6"/>
  <c r="G1579" i="6"/>
  <c r="D1579" i="6"/>
  <c r="H1579" i="6" s="1"/>
  <c r="I1579" i="6" s="1"/>
  <c r="Q1579" i="6"/>
  <c r="P1579" i="6"/>
  <c r="L1579" i="6"/>
  <c r="C1579" i="6"/>
  <c r="B1579" i="6"/>
  <c r="J133" i="6"/>
  <c r="B133" i="6"/>
  <c r="G133" i="6"/>
  <c r="F133" i="6"/>
  <c r="Q133" i="6"/>
  <c r="D133" i="6"/>
  <c r="H133" i="6" s="1"/>
  <c r="I133" i="6" s="1"/>
  <c r="P133" i="6"/>
  <c r="C133" i="6"/>
  <c r="L133" i="6"/>
  <c r="P635" i="6"/>
  <c r="D635" i="6"/>
  <c r="H635" i="6" s="1"/>
  <c r="I635" i="6" s="1"/>
  <c r="G635" i="6"/>
  <c r="C635" i="6"/>
  <c r="Q635" i="6"/>
  <c r="B635" i="6"/>
  <c r="L635" i="6"/>
  <c r="J635" i="6"/>
  <c r="F635" i="6"/>
  <c r="L1344" i="6"/>
  <c r="C1344" i="6"/>
  <c r="J1344" i="6"/>
  <c r="B1344" i="6"/>
  <c r="G1344" i="6"/>
  <c r="Q1344" i="6"/>
  <c r="P1344" i="6"/>
  <c r="F1344" i="6"/>
  <c r="D1344" i="6"/>
  <c r="H1344" i="6" s="1"/>
  <c r="I1344" i="6" s="1"/>
  <c r="G1625" i="6"/>
  <c r="Q1625" i="6"/>
  <c r="B1625" i="6"/>
  <c r="P1625" i="6"/>
  <c r="L1625" i="6"/>
  <c r="J1625" i="6"/>
  <c r="F1625" i="6"/>
  <c r="D1625" i="6"/>
  <c r="H1625" i="6" s="1"/>
  <c r="I1625" i="6" s="1"/>
  <c r="C1625" i="6"/>
  <c r="J1417" i="6"/>
  <c r="B1417" i="6"/>
  <c r="Q1417" i="6"/>
  <c r="D1417" i="6"/>
  <c r="H1417" i="6" s="1"/>
  <c r="I1417" i="6" s="1"/>
  <c r="G1417" i="6"/>
  <c r="F1417" i="6"/>
  <c r="P1417" i="6"/>
  <c r="C1417" i="6"/>
  <c r="L1417" i="6"/>
  <c r="G1362" i="6"/>
  <c r="F1362" i="6"/>
  <c r="Q1362" i="6"/>
  <c r="J1362" i="6"/>
  <c r="D1362" i="6"/>
  <c r="H1362" i="6" s="1"/>
  <c r="I1362" i="6" s="1"/>
  <c r="B1362" i="6"/>
  <c r="P1362" i="6"/>
  <c r="L1362" i="6"/>
  <c r="C1362" i="6"/>
  <c r="J1223" i="6"/>
  <c r="B1223" i="6"/>
  <c r="F1223" i="6"/>
  <c r="D1223" i="6"/>
  <c r="H1223" i="6" s="1"/>
  <c r="I1223" i="6" s="1"/>
  <c r="C1223" i="6"/>
  <c r="Q1223" i="6"/>
  <c r="P1223" i="6"/>
  <c r="L1223" i="6"/>
  <c r="G1223" i="6"/>
  <c r="Q1015" i="6"/>
  <c r="D1015" i="6"/>
  <c r="H1015" i="6" s="1"/>
  <c r="I1015" i="6" s="1"/>
  <c r="F1015" i="6"/>
  <c r="C1015" i="6"/>
  <c r="P1015" i="6"/>
  <c r="B1015" i="6"/>
  <c r="L1015" i="6"/>
  <c r="J1015" i="6"/>
  <c r="G1015" i="6"/>
  <c r="L1598" i="6"/>
  <c r="C1598" i="6"/>
  <c r="G1598" i="6"/>
  <c r="F1598" i="6"/>
  <c r="P1598" i="6"/>
  <c r="J1598" i="6"/>
  <c r="Q1598" i="6"/>
  <c r="D1598" i="6"/>
  <c r="H1598" i="6" s="1"/>
  <c r="I1598" i="6" s="1"/>
  <c r="B1598" i="6"/>
  <c r="P1043" i="6"/>
  <c r="D1043" i="6"/>
  <c r="H1043" i="6" s="1"/>
  <c r="I1043" i="6" s="1"/>
  <c r="L1043" i="6"/>
  <c r="B1043" i="6"/>
  <c r="G1043" i="6"/>
  <c r="F1043" i="6"/>
  <c r="Q1043" i="6"/>
  <c r="J1043" i="6"/>
  <c r="C1043" i="6"/>
  <c r="G896" i="6"/>
  <c r="F896" i="6"/>
  <c r="Q896" i="6"/>
  <c r="P896" i="6"/>
  <c r="D896" i="6"/>
  <c r="H896" i="6" s="1"/>
  <c r="I896" i="6" s="1"/>
  <c r="L896" i="6"/>
  <c r="C896" i="6"/>
  <c r="J896" i="6"/>
  <c r="B896" i="6"/>
  <c r="F826" i="6"/>
  <c r="Q826" i="6"/>
  <c r="D826" i="6"/>
  <c r="H826" i="6" s="1"/>
  <c r="I826" i="6" s="1"/>
  <c r="P826" i="6"/>
  <c r="C826" i="6"/>
  <c r="L826" i="6"/>
  <c r="B826" i="6"/>
  <c r="J826" i="6"/>
  <c r="G826" i="6"/>
  <c r="P699" i="6"/>
  <c r="D699" i="6"/>
  <c r="H699" i="6" s="1"/>
  <c r="I699" i="6" s="1"/>
  <c r="J699" i="6"/>
  <c r="G699" i="6"/>
  <c r="Q699" i="6"/>
  <c r="L699" i="6"/>
  <c r="F699" i="6"/>
  <c r="C699" i="6"/>
  <c r="B699" i="6"/>
  <c r="P550" i="6"/>
  <c r="C550" i="6"/>
  <c r="L550" i="6"/>
  <c r="B550" i="6"/>
  <c r="J550" i="6"/>
  <c r="G550" i="6"/>
  <c r="Q550" i="6"/>
  <c r="F550" i="6"/>
  <c r="D550" i="6"/>
  <c r="H550" i="6" s="1"/>
  <c r="I550" i="6" s="1"/>
  <c r="G422" i="6"/>
  <c r="Q422" i="6"/>
  <c r="C422" i="6"/>
  <c r="P422" i="6"/>
  <c r="B422" i="6"/>
  <c r="L422" i="6"/>
  <c r="J422" i="6"/>
  <c r="F422" i="6"/>
  <c r="D422" i="6"/>
  <c r="H422" i="6" s="1"/>
  <c r="I422" i="6" s="1"/>
  <c r="Q1366" i="6"/>
  <c r="P1366" i="6"/>
  <c r="D1366" i="6"/>
  <c r="H1366" i="6" s="1"/>
  <c r="I1366" i="6" s="1"/>
  <c r="L1366" i="6"/>
  <c r="C1366" i="6"/>
  <c r="J1366" i="6"/>
  <c r="B1366" i="6"/>
  <c r="G1366" i="6"/>
  <c r="F1366" i="6"/>
  <c r="Q1250" i="6"/>
  <c r="G1250" i="6"/>
  <c r="L1250" i="6"/>
  <c r="B1250" i="6"/>
  <c r="J1250" i="6"/>
  <c r="F1250" i="6"/>
  <c r="D1250" i="6"/>
  <c r="H1250" i="6" s="1"/>
  <c r="I1250" i="6" s="1"/>
  <c r="C1250" i="6"/>
  <c r="P1250" i="6"/>
  <c r="G592" i="6"/>
  <c r="F592" i="6"/>
  <c r="Q592" i="6"/>
  <c r="D592" i="6"/>
  <c r="H592" i="6" s="1"/>
  <c r="I592" i="6" s="1"/>
  <c r="P592" i="6"/>
  <c r="L592" i="6"/>
  <c r="J592" i="6"/>
  <c r="C592" i="6"/>
  <c r="B592" i="6"/>
  <c r="G50" i="6"/>
  <c r="F50" i="6"/>
  <c r="Q50" i="6"/>
  <c r="P50" i="6"/>
  <c r="C50" i="6"/>
  <c r="B50" i="6"/>
  <c r="Q1322" i="6"/>
  <c r="P1322" i="6"/>
  <c r="D1322" i="6"/>
  <c r="H1322" i="6" s="1"/>
  <c r="I1322" i="6" s="1"/>
  <c r="L1322" i="6"/>
  <c r="C1322" i="6"/>
  <c r="B1322" i="6"/>
  <c r="J1322" i="6"/>
  <c r="G1322" i="6"/>
  <c r="F1322" i="6"/>
  <c r="G867" i="6"/>
  <c r="F867" i="6"/>
  <c r="Q867" i="6"/>
  <c r="P867" i="6"/>
  <c r="D867" i="6"/>
  <c r="H867" i="6" s="1"/>
  <c r="I867" i="6" s="1"/>
  <c r="L867" i="6"/>
  <c r="J867" i="6"/>
  <c r="C867" i="6"/>
  <c r="B867" i="6"/>
  <c r="F793" i="6"/>
  <c r="J793" i="6"/>
  <c r="G793" i="6"/>
  <c r="B793" i="6"/>
  <c r="Q793" i="6"/>
  <c r="P793" i="6"/>
  <c r="L793" i="6"/>
  <c r="D793" i="6"/>
  <c r="H793" i="6" s="1"/>
  <c r="I793" i="6" s="1"/>
  <c r="C793" i="6"/>
  <c r="P599" i="6"/>
  <c r="D599" i="6"/>
  <c r="H599" i="6" s="1"/>
  <c r="I599" i="6" s="1"/>
  <c r="G599" i="6"/>
  <c r="F599" i="6"/>
  <c r="Q599" i="6"/>
  <c r="C599" i="6"/>
  <c r="B599" i="6"/>
  <c r="L599" i="6"/>
  <c r="J599" i="6"/>
  <c r="J451" i="6"/>
  <c r="L451" i="6"/>
  <c r="G451" i="6"/>
  <c r="F451" i="6"/>
  <c r="C451" i="6"/>
  <c r="B451" i="6"/>
  <c r="Q451" i="6"/>
  <c r="P451" i="6"/>
  <c r="D451" i="6"/>
  <c r="H451" i="6" s="1"/>
  <c r="I451" i="6" s="1"/>
  <c r="P315" i="6"/>
  <c r="D315" i="6"/>
  <c r="H315" i="6" s="1"/>
  <c r="I315" i="6" s="1"/>
  <c r="Q315" i="6"/>
  <c r="C315" i="6"/>
  <c r="L315" i="6"/>
  <c r="B315" i="6"/>
  <c r="J315" i="6"/>
  <c r="G315" i="6"/>
  <c r="F315" i="6"/>
  <c r="Q41" i="6"/>
  <c r="P41" i="6"/>
  <c r="C41" i="6"/>
  <c r="B41" i="6"/>
  <c r="G41" i="6"/>
  <c r="F41" i="6"/>
  <c r="G1126" i="6"/>
  <c r="F1126" i="6"/>
  <c r="Q1126" i="6"/>
  <c r="D1126" i="6"/>
  <c r="H1126" i="6" s="1"/>
  <c r="I1126" i="6" s="1"/>
  <c r="C1126" i="6"/>
  <c r="P1126" i="6"/>
  <c r="B1126" i="6"/>
  <c r="J1126" i="6"/>
  <c r="L1126" i="6"/>
  <c r="P62" i="6"/>
  <c r="C62" i="6"/>
  <c r="B62" i="6"/>
  <c r="F62" i="6"/>
  <c r="Q62" i="6"/>
  <c r="G62" i="6"/>
  <c r="G1622" i="6"/>
  <c r="F1622" i="6"/>
  <c r="C1622" i="6"/>
  <c r="Q1622" i="6"/>
  <c r="B1622" i="6"/>
  <c r="P1622" i="6"/>
  <c r="L1622" i="6"/>
  <c r="D1622" i="6"/>
  <c r="H1622" i="6" s="1"/>
  <c r="I1622" i="6" s="1"/>
  <c r="J1622" i="6"/>
  <c r="G1494" i="6"/>
  <c r="Q1494" i="6"/>
  <c r="D1494" i="6"/>
  <c r="H1494" i="6" s="1"/>
  <c r="I1494" i="6" s="1"/>
  <c r="P1494" i="6"/>
  <c r="C1494" i="6"/>
  <c r="L1494" i="6"/>
  <c r="B1494" i="6"/>
  <c r="F1494" i="6"/>
  <c r="J1494" i="6"/>
  <c r="P1427" i="6"/>
  <c r="B1427" i="6"/>
  <c r="L1427" i="6"/>
  <c r="J1427" i="6"/>
  <c r="G1427" i="6"/>
  <c r="F1427" i="6"/>
  <c r="D1427" i="6"/>
  <c r="H1427" i="6" s="1"/>
  <c r="I1427" i="6" s="1"/>
  <c r="C1427" i="6"/>
  <c r="Q1427" i="6"/>
  <c r="P1283" i="6"/>
  <c r="C1283" i="6"/>
  <c r="Q1283" i="6"/>
  <c r="B1283" i="6"/>
  <c r="L1283" i="6"/>
  <c r="J1283" i="6"/>
  <c r="G1283" i="6"/>
  <c r="F1283" i="6"/>
  <c r="D1283" i="6"/>
  <c r="H1283" i="6" s="1"/>
  <c r="I1283" i="6" s="1"/>
  <c r="Q1160" i="6"/>
  <c r="P1160" i="6"/>
  <c r="D1160" i="6"/>
  <c r="H1160" i="6" s="1"/>
  <c r="I1160" i="6" s="1"/>
  <c r="L1160" i="6"/>
  <c r="C1160" i="6"/>
  <c r="F1160" i="6"/>
  <c r="B1160" i="6"/>
  <c r="J1160" i="6"/>
  <c r="G1160" i="6"/>
  <c r="G1012" i="6"/>
  <c r="D1012" i="6"/>
  <c r="H1012" i="6" s="1"/>
  <c r="I1012" i="6" s="1"/>
  <c r="Q1012" i="6"/>
  <c r="C1012" i="6"/>
  <c r="P1012" i="6"/>
  <c r="B1012" i="6"/>
  <c r="L1012" i="6"/>
  <c r="J1012" i="6"/>
  <c r="F1012" i="6"/>
  <c r="F1591" i="6"/>
  <c r="G1591" i="6"/>
  <c r="D1591" i="6"/>
  <c r="H1591" i="6" s="1"/>
  <c r="I1591" i="6" s="1"/>
  <c r="C1591" i="6"/>
  <c r="B1591" i="6"/>
  <c r="Q1591" i="6"/>
  <c r="J1591" i="6"/>
  <c r="L1591" i="6"/>
  <c r="P1591" i="6"/>
  <c r="F1473" i="6"/>
  <c r="Q1473" i="6"/>
  <c r="D1473" i="6"/>
  <c r="H1473" i="6" s="1"/>
  <c r="I1473" i="6" s="1"/>
  <c r="P1473" i="6"/>
  <c r="C1473" i="6"/>
  <c r="L1473" i="6"/>
  <c r="J1473" i="6"/>
  <c r="G1473" i="6"/>
  <c r="B1473" i="6"/>
  <c r="L1178" i="6"/>
  <c r="C1178" i="6"/>
  <c r="J1178" i="6"/>
  <c r="B1178" i="6"/>
  <c r="D1178" i="6"/>
  <c r="H1178" i="6" s="1"/>
  <c r="I1178" i="6" s="1"/>
  <c r="Q1178" i="6"/>
  <c r="P1178" i="6"/>
  <c r="G1178" i="6"/>
  <c r="F1178" i="6"/>
  <c r="G959" i="6"/>
  <c r="F959" i="6"/>
  <c r="Q959" i="6"/>
  <c r="D959" i="6"/>
  <c r="H959" i="6" s="1"/>
  <c r="I959" i="6" s="1"/>
  <c r="P959" i="6"/>
  <c r="C959" i="6"/>
  <c r="L959" i="6"/>
  <c r="J959" i="6"/>
  <c r="B959" i="6"/>
  <c r="G823" i="6"/>
  <c r="F823" i="6"/>
  <c r="Q823" i="6"/>
  <c r="D823" i="6"/>
  <c r="H823" i="6" s="1"/>
  <c r="I823" i="6" s="1"/>
  <c r="L823" i="6"/>
  <c r="J823" i="6"/>
  <c r="C823" i="6"/>
  <c r="B823" i="6"/>
  <c r="P823" i="6"/>
  <c r="F690" i="6"/>
  <c r="Q690" i="6"/>
  <c r="C690" i="6"/>
  <c r="P690" i="6"/>
  <c r="B690" i="6"/>
  <c r="L690" i="6"/>
  <c r="J690" i="6"/>
  <c r="G690" i="6"/>
  <c r="D690" i="6"/>
  <c r="H690" i="6" s="1"/>
  <c r="I690" i="6" s="1"/>
  <c r="G558" i="6"/>
  <c r="F558" i="6"/>
  <c r="Q558" i="6"/>
  <c r="D558" i="6"/>
  <c r="H558" i="6" s="1"/>
  <c r="I558" i="6" s="1"/>
  <c r="P558" i="6"/>
  <c r="C558" i="6"/>
  <c r="L558" i="6"/>
  <c r="J558" i="6"/>
  <c r="B558" i="6"/>
  <c r="P430" i="6"/>
  <c r="C430" i="6"/>
  <c r="J430" i="6"/>
  <c r="G430" i="6"/>
  <c r="F430" i="6"/>
  <c r="B430" i="6"/>
  <c r="Q430" i="6"/>
  <c r="L430" i="6"/>
  <c r="D430" i="6"/>
  <c r="H430" i="6" s="1"/>
  <c r="I430" i="6" s="1"/>
  <c r="P1251" i="6"/>
  <c r="C1251" i="6"/>
  <c r="G1251" i="6"/>
  <c r="F1251" i="6"/>
  <c r="D1251" i="6"/>
  <c r="H1251" i="6" s="1"/>
  <c r="I1251" i="6" s="1"/>
  <c r="L1251" i="6"/>
  <c r="J1251" i="6"/>
  <c r="B1251" i="6"/>
  <c r="Q1251" i="6"/>
  <c r="J1135" i="6"/>
  <c r="B1135" i="6"/>
  <c r="Q1135" i="6"/>
  <c r="P1135" i="6"/>
  <c r="L1135" i="6"/>
  <c r="G1135" i="6"/>
  <c r="F1135" i="6"/>
  <c r="D1135" i="6"/>
  <c r="H1135" i="6" s="1"/>
  <c r="I1135" i="6" s="1"/>
  <c r="C1135" i="6"/>
  <c r="F1435" i="6"/>
  <c r="P1435" i="6"/>
  <c r="C1435" i="6"/>
  <c r="G1435" i="6"/>
  <c r="Q1435" i="6"/>
  <c r="L1435" i="6"/>
  <c r="J1435" i="6"/>
  <c r="D1435" i="6"/>
  <c r="H1435" i="6" s="1"/>
  <c r="I1435" i="6" s="1"/>
  <c r="B1435" i="6"/>
  <c r="Q1200" i="6"/>
  <c r="P1200" i="6"/>
  <c r="D1200" i="6"/>
  <c r="H1200" i="6" s="1"/>
  <c r="I1200" i="6" s="1"/>
  <c r="L1200" i="6"/>
  <c r="C1200" i="6"/>
  <c r="J1200" i="6"/>
  <c r="G1200" i="6"/>
  <c r="F1200" i="6"/>
  <c r="B1200" i="6"/>
  <c r="F856" i="6"/>
  <c r="Q856" i="6"/>
  <c r="P856" i="6"/>
  <c r="D856" i="6"/>
  <c r="H856" i="6" s="1"/>
  <c r="I856" i="6" s="1"/>
  <c r="L856" i="6"/>
  <c r="C856" i="6"/>
  <c r="G856" i="6"/>
  <c r="B856" i="6"/>
  <c r="J856" i="6"/>
  <c r="F794" i="6"/>
  <c r="Q794" i="6"/>
  <c r="D794" i="6"/>
  <c r="H794" i="6" s="1"/>
  <c r="I794" i="6" s="1"/>
  <c r="P794" i="6"/>
  <c r="C794" i="6"/>
  <c r="L794" i="6"/>
  <c r="B794" i="6"/>
  <c r="G794" i="6"/>
  <c r="J794" i="6"/>
  <c r="J653" i="6"/>
  <c r="B653" i="6"/>
  <c r="D653" i="6"/>
  <c r="H653" i="6" s="1"/>
  <c r="I653" i="6" s="1"/>
  <c r="Q653" i="6"/>
  <c r="C653" i="6"/>
  <c r="P653" i="6"/>
  <c r="L653" i="6"/>
  <c r="G653" i="6"/>
  <c r="F653" i="6"/>
  <c r="P463" i="6"/>
  <c r="D463" i="6"/>
  <c r="H463" i="6" s="1"/>
  <c r="I463" i="6" s="1"/>
  <c r="G463" i="6"/>
  <c r="F463" i="6"/>
  <c r="C463" i="6"/>
  <c r="Q463" i="6"/>
  <c r="B463" i="6"/>
  <c r="J463" i="6"/>
  <c r="L463" i="6"/>
  <c r="J325" i="6"/>
  <c r="B325" i="6"/>
  <c r="G325" i="6"/>
  <c r="F325" i="6"/>
  <c r="D325" i="6"/>
  <c r="H325" i="6" s="1"/>
  <c r="I325" i="6" s="1"/>
  <c r="C325" i="6"/>
  <c r="Q325" i="6"/>
  <c r="P325" i="6"/>
  <c r="L325" i="6"/>
  <c r="G180" i="6"/>
  <c r="L180" i="6"/>
  <c r="B180" i="6"/>
  <c r="J180" i="6"/>
  <c r="F180" i="6"/>
  <c r="D180" i="6"/>
  <c r="H180" i="6" s="1"/>
  <c r="I180" i="6" s="1"/>
  <c r="C180" i="6"/>
  <c r="Q180" i="6"/>
  <c r="P180" i="6"/>
  <c r="F1065" i="6"/>
  <c r="G1065" i="6"/>
  <c r="D1065" i="6"/>
  <c r="H1065" i="6" s="1"/>
  <c r="I1065" i="6" s="1"/>
  <c r="C1065" i="6"/>
  <c r="B1065" i="6"/>
  <c r="Q1065" i="6"/>
  <c r="P1065" i="6"/>
  <c r="L1065" i="6"/>
  <c r="J1065" i="6"/>
  <c r="G364" i="6"/>
  <c r="F364" i="6"/>
  <c r="Q364" i="6"/>
  <c r="D364" i="6"/>
  <c r="H364" i="6" s="1"/>
  <c r="I364" i="6" s="1"/>
  <c r="P364" i="6"/>
  <c r="L364" i="6"/>
  <c r="J364" i="6"/>
  <c r="C364" i="6"/>
  <c r="B364" i="6"/>
  <c r="G66" i="6"/>
  <c r="F66" i="6"/>
  <c r="Q66" i="6"/>
  <c r="P66" i="6"/>
  <c r="C66" i="6"/>
  <c r="B66" i="6"/>
  <c r="J263" i="6"/>
  <c r="D263" i="6"/>
  <c r="H263" i="6" s="1"/>
  <c r="I263" i="6" s="1"/>
  <c r="Q263" i="6"/>
  <c r="C263" i="6"/>
  <c r="P263" i="6"/>
  <c r="B263" i="6"/>
  <c r="L263" i="6"/>
  <c r="G263" i="6"/>
  <c r="F263" i="6"/>
  <c r="P147" i="6"/>
  <c r="D147" i="6"/>
  <c r="H147" i="6" s="1"/>
  <c r="I147" i="6" s="1"/>
  <c r="F147" i="6"/>
  <c r="Q147" i="6"/>
  <c r="C147" i="6"/>
  <c r="L147" i="6"/>
  <c r="B147" i="6"/>
  <c r="J147" i="6"/>
  <c r="G147" i="6"/>
  <c r="F1629" i="6"/>
  <c r="Q1629" i="6"/>
  <c r="P1629" i="6"/>
  <c r="D1629" i="6"/>
  <c r="H1629" i="6" s="1"/>
  <c r="I1629" i="6" s="1"/>
  <c r="L1629" i="6"/>
  <c r="C1629" i="6"/>
  <c r="B1629" i="6"/>
  <c r="J1629" i="6"/>
  <c r="G1629" i="6"/>
  <c r="L1497" i="6"/>
  <c r="B1497" i="6"/>
  <c r="J1497" i="6"/>
  <c r="G1497" i="6"/>
  <c r="C1497" i="6"/>
  <c r="Q1497" i="6"/>
  <c r="P1497" i="6"/>
  <c r="D1497" i="6"/>
  <c r="H1497" i="6" s="1"/>
  <c r="I1497" i="6" s="1"/>
  <c r="F1497" i="6"/>
  <c r="G1356" i="6"/>
  <c r="F1356" i="6"/>
  <c r="Q1356" i="6"/>
  <c r="P1356" i="6"/>
  <c r="D1356" i="6"/>
  <c r="H1356" i="6" s="1"/>
  <c r="I1356" i="6" s="1"/>
  <c r="L1356" i="6"/>
  <c r="C1356" i="6"/>
  <c r="J1356" i="6"/>
  <c r="B1356" i="6"/>
  <c r="F1219" i="6"/>
  <c r="Q1219" i="6"/>
  <c r="P1219" i="6"/>
  <c r="D1219" i="6"/>
  <c r="H1219" i="6" s="1"/>
  <c r="I1219" i="6" s="1"/>
  <c r="G1219" i="6"/>
  <c r="C1219" i="6"/>
  <c r="L1219" i="6"/>
  <c r="J1219" i="6"/>
  <c r="B1219" i="6"/>
  <c r="J1093" i="6"/>
  <c r="B1093" i="6"/>
  <c r="G1093" i="6"/>
  <c r="F1093" i="6"/>
  <c r="Q1093" i="6"/>
  <c r="P1093" i="6"/>
  <c r="D1093" i="6"/>
  <c r="H1093" i="6" s="1"/>
  <c r="I1093" i="6" s="1"/>
  <c r="C1093" i="6"/>
  <c r="L1093" i="6"/>
  <c r="L1482" i="6"/>
  <c r="C1482" i="6"/>
  <c r="G1482" i="6"/>
  <c r="F1482" i="6"/>
  <c r="Q1482" i="6"/>
  <c r="D1482" i="6"/>
  <c r="H1482" i="6" s="1"/>
  <c r="I1482" i="6" s="1"/>
  <c r="P1482" i="6"/>
  <c r="J1482" i="6"/>
  <c r="B1482" i="6"/>
  <c r="Q1176" i="6"/>
  <c r="P1176" i="6"/>
  <c r="D1176" i="6"/>
  <c r="H1176" i="6" s="1"/>
  <c r="I1176" i="6" s="1"/>
  <c r="L1176" i="6"/>
  <c r="C1176" i="6"/>
  <c r="F1176" i="6"/>
  <c r="B1176" i="6"/>
  <c r="J1176" i="6"/>
  <c r="G1176" i="6"/>
  <c r="P1059" i="6"/>
  <c r="D1059" i="6"/>
  <c r="H1059" i="6" s="1"/>
  <c r="I1059" i="6" s="1"/>
  <c r="F1059" i="6"/>
  <c r="Q1059" i="6"/>
  <c r="C1059" i="6"/>
  <c r="L1059" i="6"/>
  <c r="B1059" i="6"/>
  <c r="J1059" i="6"/>
  <c r="G1059" i="6"/>
  <c r="F893" i="6"/>
  <c r="Q893" i="6"/>
  <c r="P893" i="6"/>
  <c r="D893" i="6"/>
  <c r="H893" i="6" s="1"/>
  <c r="I893" i="6" s="1"/>
  <c r="L893" i="6"/>
  <c r="C893" i="6"/>
  <c r="J893" i="6"/>
  <c r="B893" i="6"/>
  <c r="G893" i="6"/>
  <c r="G828" i="6"/>
  <c r="F828" i="6"/>
  <c r="Q828" i="6"/>
  <c r="D828" i="6"/>
  <c r="H828" i="6" s="1"/>
  <c r="I828" i="6" s="1"/>
  <c r="P828" i="6"/>
  <c r="C828" i="6"/>
  <c r="B828" i="6"/>
  <c r="L828" i="6"/>
  <c r="J828" i="6"/>
  <c r="L760" i="6"/>
  <c r="C760" i="6"/>
  <c r="Q760" i="6"/>
  <c r="D760" i="6"/>
  <c r="H760" i="6" s="1"/>
  <c r="I760" i="6" s="1"/>
  <c r="P760" i="6"/>
  <c r="B760" i="6"/>
  <c r="J760" i="6"/>
  <c r="G760" i="6"/>
  <c r="F760" i="6"/>
  <c r="L770" i="6"/>
  <c r="B770" i="6"/>
  <c r="J770" i="6"/>
  <c r="G770" i="6"/>
  <c r="F770" i="6"/>
  <c r="D770" i="6"/>
  <c r="H770" i="6" s="1"/>
  <c r="I770" i="6" s="1"/>
  <c r="C770" i="6"/>
  <c r="Q770" i="6"/>
  <c r="P770" i="6"/>
  <c r="Q694" i="6"/>
  <c r="L694" i="6"/>
  <c r="C694" i="6"/>
  <c r="P694" i="6"/>
  <c r="B694" i="6"/>
  <c r="J694" i="6"/>
  <c r="G694" i="6"/>
  <c r="F694" i="6"/>
  <c r="D694" i="6"/>
  <c r="H694" i="6" s="1"/>
  <c r="I694" i="6" s="1"/>
  <c r="P698" i="6"/>
  <c r="C698" i="6"/>
  <c r="L698" i="6"/>
  <c r="B698" i="6"/>
  <c r="J698" i="6"/>
  <c r="G698" i="6"/>
  <c r="F698" i="6"/>
  <c r="Q698" i="6"/>
  <c r="D698" i="6"/>
  <c r="H698" i="6" s="1"/>
  <c r="I698" i="6" s="1"/>
  <c r="Q631" i="6"/>
  <c r="D631" i="6"/>
  <c r="H631" i="6" s="1"/>
  <c r="I631" i="6" s="1"/>
  <c r="C631" i="6"/>
  <c r="P631" i="6"/>
  <c r="B631" i="6"/>
  <c r="L631" i="6"/>
  <c r="J631" i="6"/>
  <c r="G631" i="6"/>
  <c r="F631" i="6"/>
  <c r="L634" i="6"/>
  <c r="B634" i="6"/>
  <c r="F634" i="6"/>
  <c r="D634" i="6"/>
  <c r="H634" i="6" s="1"/>
  <c r="I634" i="6" s="1"/>
  <c r="Q634" i="6"/>
  <c r="C634" i="6"/>
  <c r="P634" i="6"/>
  <c r="J634" i="6"/>
  <c r="G634" i="6"/>
  <c r="J561" i="6"/>
  <c r="B561" i="6"/>
  <c r="Q561" i="6"/>
  <c r="D561" i="6"/>
  <c r="H561" i="6" s="1"/>
  <c r="I561" i="6" s="1"/>
  <c r="P561" i="6"/>
  <c r="C561" i="6"/>
  <c r="L561" i="6"/>
  <c r="G561" i="6"/>
  <c r="F561" i="6"/>
  <c r="P566" i="6"/>
  <c r="C566" i="6"/>
  <c r="L566" i="6"/>
  <c r="B566" i="6"/>
  <c r="J566" i="6"/>
  <c r="G566" i="6"/>
  <c r="Q566" i="6"/>
  <c r="F566" i="6"/>
  <c r="D566" i="6"/>
  <c r="H566" i="6" s="1"/>
  <c r="I566" i="6" s="1"/>
  <c r="G496" i="6"/>
  <c r="Q496" i="6"/>
  <c r="D496" i="6"/>
  <c r="H496" i="6" s="1"/>
  <c r="I496" i="6" s="1"/>
  <c r="C496" i="6"/>
  <c r="P496" i="6"/>
  <c r="B496" i="6"/>
  <c r="L496" i="6"/>
  <c r="J496" i="6"/>
  <c r="F496" i="6"/>
  <c r="L420" i="6"/>
  <c r="C420" i="6"/>
  <c r="F420" i="6"/>
  <c r="G420" i="6"/>
  <c r="D420" i="6"/>
  <c r="H420" i="6" s="1"/>
  <c r="I420" i="6" s="1"/>
  <c r="Q420" i="6"/>
  <c r="B420" i="6"/>
  <c r="P420" i="6"/>
  <c r="J420" i="6"/>
  <c r="P415" i="6"/>
  <c r="D415" i="6"/>
  <c r="H415" i="6" s="1"/>
  <c r="I415" i="6" s="1"/>
  <c r="Q415" i="6"/>
  <c r="B415" i="6"/>
  <c r="L415" i="6"/>
  <c r="J415" i="6"/>
  <c r="G415" i="6"/>
  <c r="F415" i="6"/>
  <c r="C415" i="6"/>
  <c r="P251" i="6"/>
  <c r="D251" i="6"/>
  <c r="H251" i="6" s="1"/>
  <c r="I251" i="6" s="1"/>
  <c r="Q251" i="6"/>
  <c r="C251" i="6"/>
  <c r="G251" i="6"/>
  <c r="F251" i="6"/>
  <c r="B251" i="6"/>
  <c r="L251" i="6"/>
  <c r="J251" i="6"/>
  <c r="Q1672" i="6"/>
  <c r="F1672" i="6"/>
  <c r="D1672" i="6"/>
  <c r="H1672" i="6" s="1"/>
  <c r="I1672" i="6" s="1"/>
  <c r="L1672" i="6"/>
  <c r="B1672" i="6"/>
  <c r="G1672" i="6"/>
  <c r="C1672" i="6"/>
  <c r="P1672" i="6"/>
  <c r="J1672" i="6"/>
  <c r="P1676" i="6"/>
  <c r="D1676" i="6"/>
  <c r="H1676" i="6" s="1"/>
  <c r="I1676" i="6" s="1"/>
  <c r="G1676" i="6"/>
  <c r="Q1676" i="6"/>
  <c r="B1676" i="6"/>
  <c r="F1676" i="6"/>
  <c r="C1676" i="6"/>
  <c r="L1676" i="6"/>
  <c r="J1676" i="6"/>
  <c r="G1379" i="6"/>
  <c r="Q1379" i="6"/>
  <c r="D1379" i="6"/>
  <c r="H1379" i="6" s="1"/>
  <c r="I1379" i="6" s="1"/>
  <c r="P1379" i="6"/>
  <c r="C1379" i="6"/>
  <c r="L1379" i="6"/>
  <c r="B1379" i="6"/>
  <c r="J1379" i="6"/>
  <c r="F1379" i="6"/>
  <c r="G1369" i="6"/>
  <c r="F1369" i="6"/>
  <c r="Q1369" i="6"/>
  <c r="D1369" i="6"/>
  <c r="H1369" i="6" s="1"/>
  <c r="I1369" i="6" s="1"/>
  <c r="P1369" i="6"/>
  <c r="L1369" i="6"/>
  <c r="J1369" i="6"/>
  <c r="C1369" i="6"/>
  <c r="B1369" i="6"/>
  <c r="F1261" i="6"/>
  <c r="L1261" i="6"/>
  <c r="B1261" i="6"/>
  <c r="G1261" i="6"/>
  <c r="C1261" i="6"/>
  <c r="P1261" i="6"/>
  <c r="J1261" i="6"/>
  <c r="D1261" i="6"/>
  <c r="H1261" i="6" s="1"/>
  <c r="I1261" i="6" s="1"/>
  <c r="Q1261" i="6"/>
  <c r="J1257" i="6"/>
  <c r="B1257" i="6"/>
  <c r="G1257" i="6"/>
  <c r="C1257" i="6"/>
  <c r="Q1257" i="6"/>
  <c r="P1257" i="6"/>
  <c r="L1257" i="6"/>
  <c r="F1257" i="6"/>
  <c r="D1257" i="6"/>
  <c r="H1257" i="6" s="1"/>
  <c r="I1257" i="6" s="1"/>
  <c r="G1129" i="6"/>
  <c r="F1129" i="6"/>
  <c r="D1129" i="6"/>
  <c r="H1129" i="6" s="1"/>
  <c r="I1129" i="6" s="1"/>
  <c r="C1129" i="6"/>
  <c r="Q1129" i="6"/>
  <c r="B1129" i="6"/>
  <c r="P1129" i="6"/>
  <c r="L1129" i="6"/>
  <c r="J1129" i="6"/>
  <c r="J1143" i="6"/>
  <c r="B1143" i="6"/>
  <c r="F1143" i="6"/>
  <c r="D1143" i="6"/>
  <c r="H1143" i="6" s="1"/>
  <c r="I1143" i="6" s="1"/>
  <c r="C1143" i="6"/>
  <c r="Q1143" i="6"/>
  <c r="G1143" i="6"/>
  <c r="P1143" i="6"/>
  <c r="L1143" i="6"/>
  <c r="F44" i="6"/>
  <c r="Q44" i="6"/>
  <c r="P44" i="6"/>
  <c r="C44" i="6"/>
  <c r="B44" i="6"/>
  <c r="G44" i="6"/>
  <c r="P1437" i="6"/>
  <c r="D1437" i="6"/>
  <c r="H1437" i="6" s="1"/>
  <c r="I1437" i="6" s="1"/>
  <c r="J1437" i="6"/>
  <c r="G1437" i="6"/>
  <c r="F1437" i="6"/>
  <c r="C1437" i="6"/>
  <c r="B1437" i="6"/>
  <c r="L1437" i="6"/>
  <c r="Q1437" i="6"/>
  <c r="J1447" i="6"/>
  <c r="B1447" i="6"/>
  <c r="L1447" i="6"/>
  <c r="G1447" i="6"/>
  <c r="F1447" i="6"/>
  <c r="D1447" i="6"/>
  <c r="H1447" i="6" s="1"/>
  <c r="I1447" i="6" s="1"/>
  <c r="Q1447" i="6"/>
  <c r="P1447" i="6"/>
  <c r="C1447" i="6"/>
  <c r="P1319" i="6"/>
  <c r="D1319" i="6"/>
  <c r="H1319" i="6" s="1"/>
  <c r="I1319" i="6" s="1"/>
  <c r="G1319" i="6"/>
  <c r="F1319" i="6"/>
  <c r="Q1319" i="6"/>
  <c r="L1319" i="6"/>
  <c r="J1319" i="6"/>
  <c r="C1319" i="6"/>
  <c r="B1319" i="6"/>
  <c r="G1326" i="6"/>
  <c r="F1326" i="6"/>
  <c r="D1326" i="6"/>
  <c r="H1326" i="6" s="1"/>
  <c r="I1326" i="6" s="1"/>
  <c r="C1326" i="6"/>
  <c r="Q1326" i="6"/>
  <c r="B1326" i="6"/>
  <c r="P1326" i="6"/>
  <c r="L1326" i="6"/>
  <c r="J1326" i="6"/>
  <c r="G1206" i="6"/>
  <c r="F1206" i="6"/>
  <c r="Q1206" i="6"/>
  <c r="D1206" i="6"/>
  <c r="H1206" i="6" s="1"/>
  <c r="I1206" i="6" s="1"/>
  <c r="C1206" i="6"/>
  <c r="P1206" i="6"/>
  <c r="B1206" i="6"/>
  <c r="L1206" i="6"/>
  <c r="J1206" i="6"/>
  <c r="P1197" i="6"/>
  <c r="D1197" i="6"/>
  <c r="H1197" i="6" s="1"/>
  <c r="I1197" i="6" s="1"/>
  <c r="L1197" i="6"/>
  <c r="C1197" i="6"/>
  <c r="J1197" i="6"/>
  <c r="B1197" i="6"/>
  <c r="Q1197" i="6"/>
  <c r="G1197" i="6"/>
  <c r="F1197" i="6"/>
  <c r="F937" i="6"/>
  <c r="Q937" i="6"/>
  <c r="D937" i="6"/>
  <c r="H937" i="6" s="1"/>
  <c r="I937" i="6" s="1"/>
  <c r="P937" i="6"/>
  <c r="C937" i="6"/>
  <c r="L937" i="6"/>
  <c r="B937" i="6"/>
  <c r="J937" i="6"/>
  <c r="G937" i="6"/>
  <c r="Q930" i="6"/>
  <c r="D930" i="6"/>
  <c r="H930" i="6" s="1"/>
  <c r="I930" i="6" s="1"/>
  <c r="P930" i="6"/>
  <c r="C930" i="6"/>
  <c r="L930" i="6"/>
  <c r="B930" i="6"/>
  <c r="J930" i="6"/>
  <c r="G930" i="6"/>
  <c r="F930" i="6"/>
  <c r="G859" i="6"/>
  <c r="F859" i="6"/>
  <c r="Q859" i="6"/>
  <c r="P859" i="6"/>
  <c r="D859" i="6"/>
  <c r="H859" i="6" s="1"/>
  <c r="I859" i="6" s="1"/>
  <c r="C859" i="6"/>
  <c r="B859" i="6"/>
  <c r="L859" i="6"/>
  <c r="J859" i="6"/>
  <c r="L868" i="6"/>
  <c r="C868" i="6"/>
  <c r="J868" i="6"/>
  <c r="B868" i="6"/>
  <c r="G868" i="6"/>
  <c r="Q868" i="6"/>
  <c r="P868" i="6"/>
  <c r="F868" i="6"/>
  <c r="D868" i="6"/>
  <c r="H868" i="6" s="1"/>
  <c r="I868" i="6" s="1"/>
  <c r="L800" i="6"/>
  <c r="C800" i="6"/>
  <c r="G800" i="6"/>
  <c r="F800" i="6"/>
  <c r="Q800" i="6"/>
  <c r="P800" i="6"/>
  <c r="J800" i="6"/>
  <c r="D800" i="6"/>
  <c r="H800" i="6" s="1"/>
  <c r="I800" i="6" s="1"/>
  <c r="B800" i="6"/>
  <c r="L792" i="6"/>
  <c r="C792" i="6"/>
  <c r="Q792" i="6"/>
  <c r="D792" i="6"/>
  <c r="H792" i="6" s="1"/>
  <c r="I792" i="6" s="1"/>
  <c r="P792" i="6"/>
  <c r="B792" i="6"/>
  <c r="J792" i="6"/>
  <c r="G792" i="6"/>
  <c r="F792" i="6"/>
  <c r="L802" i="6"/>
  <c r="B802" i="6"/>
  <c r="J802" i="6"/>
  <c r="G802" i="6"/>
  <c r="F802" i="6"/>
  <c r="P802" i="6"/>
  <c r="D802" i="6"/>
  <c r="H802" i="6" s="1"/>
  <c r="I802" i="6" s="1"/>
  <c r="C802" i="6"/>
  <c r="Q802" i="6"/>
  <c r="L736" i="6"/>
  <c r="C736" i="6"/>
  <c r="G736" i="6"/>
  <c r="F736" i="6"/>
  <c r="D736" i="6"/>
  <c r="H736" i="6" s="1"/>
  <c r="I736" i="6" s="1"/>
  <c r="B736" i="6"/>
  <c r="Q736" i="6"/>
  <c r="P736" i="6"/>
  <c r="J736" i="6"/>
  <c r="P731" i="6"/>
  <c r="D731" i="6"/>
  <c r="H731" i="6" s="1"/>
  <c r="I731" i="6" s="1"/>
  <c r="L731" i="6"/>
  <c r="B731" i="6"/>
  <c r="J731" i="6"/>
  <c r="G731" i="6"/>
  <c r="C731" i="6"/>
  <c r="Q731" i="6"/>
  <c r="F731" i="6"/>
  <c r="Q663" i="6"/>
  <c r="D663" i="6"/>
  <c r="H663" i="6" s="1"/>
  <c r="I663" i="6" s="1"/>
  <c r="G663" i="6"/>
  <c r="F663" i="6"/>
  <c r="C663" i="6"/>
  <c r="P663" i="6"/>
  <c r="B663" i="6"/>
  <c r="L663" i="6"/>
  <c r="J663" i="6"/>
  <c r="L664" i="6"/>
  <c r="C664" i="6"/>
  <c r="D664" i="6"/>
  <c r="H664" i="6" s="1"/>
  <c r="I664" i="6" s="1"/>
  <c r="Q664" i="6"/>
  <c r="B664" i="6"/>
  <c r="P664" i="6"/>
  <c r="J664" i="6"/>
  <c r="F664" i="6"/>
  <c r="G664" i="6"/>
  <c r="L666" i="6"/>
  <c r="B666" i="6"/>
  <c r="G666" i="6"/>
  <c r="F666" i="6"/>
  <c r="D666" i="6"/>
  <c r="H666" i="6" s="1"/>
  <c r="I666" i="6" s="1"/>
  <c r="C666" i="6"/>
  <c r="Q666" i="6"/>
  <c r="P666" i="6"/>
  <c r="J666" i="6"/>
  <c r="Q586" i="6"/>
  <c r="P586" i="6"/>
  <c r="D586" i="6"/>
  <c r="H586" i="6" s="1"/>
  <c r="I586" i="6" s="1"/>
  <c r="L586" i="6"/>
  <c r="C586" i="6"/>
  <c r="J586" i="6"/>
  <c r="B586" i="6"/>
  <c r="G586" i="6"/>
  <c r="F586" i="6"/>
  <c r="J587" i="6"/>
  <c r="G587" i="6"/>
  <c r="F587" i="6"/>
  <c r="Q587" i="6"/>
  <c r="P587" i="6"/>
  <c r="L587" i="6"/>
  <c r="D587" i="6"/>
  <c r="H587" i="6" s="1"/>
  <c r="I587" i="6" s="1"/>
  <c r="C587" i="6"/>
  <c r="B587" i="6"/>
  <c r="J529" i="6"/>
  <c r="B529" i="6"/>
  <c r="Q529" i="6"/>
  <c r="D529" i="6"/>
  <c r="H529" i="6" s="1"/>
  <c r="I529" i="6" s="1"/>
  <c r="P529" i="6"/>
  <c r="C529" i="6"/>
  <c r="L529" i="6"/>
  <c r="G529" i="6"/>
  <c r="F529" i="6"/>
  <c r="F526" i="6"/>
  <c r="P526" i="6"/>
  <c r="C526" i="6"/>
  <c r="L526" i="6"/>
  <c r="J526" i="6"/>
  <c r="G526" i="6"/>
  <c r="Q526" i="6"/>
  <c r="D526" i="6"/>
  <c r="H526" i="6" s="1"/>
  <c r="I526" i="6" s="1"/>
  <c r="B526" i="6"/>
  <c r="J449" i="6"/>
  <c r="B449" i="6"/>
  <c r="G449" i="6"/>
  <c r="F449" i="6"/>
  <c r="D449" i="6"/>
  <c r="H449" i="6" s="1"/>
  <c r="I449" i="6" s="1"/>
  <c r="Q449" i="6"/>
  <c r="C449" i="6"/>
  <c r="P449" i="6"/>
  <c r="L449" i="6"/>
  <c r="L460" i="6"/>
  <c r="C460" i="6"/>
  <c r="J460" i="6"/>
  <c r="D460" i="6"/>
  <c r="H460" i="6" s="1"/>
  <c r="I460" i="6" s="1"/>
  <c r="Q460" i="6"/>
  <c r="B460" i="6"/>
  <c r="P460" i="6"/>
  <c r="F460" i="6"/>
  <c r="G460" i="6"/>
  <c r="J389" i="6"/>
  <c r="B389" i="6"/>
  <c r="G389" i="6"/>
  <c r="F389" i="6"/>
  <c r="D389" i="6"/>
  <c r="H389" i="6" s="1"/>
  <c r="I389" i="6" s="1"/>
  <c r="C389" i="6"/>
  <c r="Q389" i="6"/>
  <c r="P389" i="6"/>
  <c r="L389" i="6"/>
  <c r="Q382" i="6"/>
  <c r="G382" i="6"/>
  <c r="F382" i="6"/>
  <c r="J382" i="6"/>
  <c r="D382" i="6"/>
  <c r="H382" i="6" s="1"/>
  <c r="I382" i="6" s="1"/>
  <c r="C382" i="6"/>
  <c r="B382" i="6"/>
  <c r="P382" i="6"/>
  <c r="L382" i="6"/>
  <c r="L312" i="6"/>
  <c r="C312" i="6"/>
  <c r="F312" i="6"/>
  <c r="Q312" i="6"/>
  <c r="D312" i="6"/>
  <c r="H312" i="6" s="1"/>
  <c r="I312" i="6" s="1"/>
  <c r="P312" i="6"/>
  <c r="B312" i="6"/>
  <c r="J312" i="6"/>
  <c r="G312" i="6"/>
  <c r="Q318" i="6"/>
  <c r="G318" i="6"/>
  <c r="F318" i="6"/>
  <c r="J318" i="6"/>
  <c r="D318" i="6"/>
  <c r="H318" i="6" s="1"/>
  <c r="I318" i="6" s="1"/>
  <c r="C318" i="6"/>
  <c r="B318" i="6"/>
  <c r="P318" i="6"/>
  <c r="L318" i="6"/>
  <c r="Q246" i="6"/>
  <c r="L246" i="6"/>
  <c r="C246" i="6"/>
  <c r="J246" i="6"/>
  <c r="B246" i="6"/>
  <c r="G246" i="6"/>
  <c r="P246" i="6"/>
  <c r="F246" i="6"/>
  <c r="D246" i="6"/>
  <c r="H246" i="6" s="1"/>
  <c r="I246" i="6" s="1"/>
  <c r="G250" i="6"/>
  <c r="P250" i="6"/>
  <c r="B250" i="6"/>
  <c r="L250" i="6"/>
  <c r="J250" i="6"/>
  <c r="F250" i="6"/>
  <c r="Q250" i="6"/>
  <c r="D250" i="6"/>
  <c r="H250" i="6" s="1"/>
  <c r="I250" i="6" s="1"/>
  <c r="C250" i="6"/>
  <c r="J189" i="6"/>
  <c r="B189" i="6"/>
  <c r="P189" i="6"/>
  <c r="C189" i="6"/>
  <c r="L189" i="6"/>
  <c r="G189" i="6"/>
  <c r="Q189" i="6"/>
  <c r="F189" i="6"/>
  <c r="D189" i="6"/>
  <c r="H189" i="6" s="1"/>
  <c r="I189" i="6" s="1"/>
  <c r="L120" i="6"/>
  <c r="C120" i="6"/>
  <c r="Q120" i="6"/>
  <c r="D120" i="6"/>
  <c r="H120" i="6" s="1"/>
  <c r="I120" i="6" s="1"/>
  <c r="P120" i="6"/>
  <c r="B120" i="6"/>
  <c r="J120" i="6"/>
  <c r="G120" i="6"/>
  <c r="F120" i="6"/>
  <c r="P46" i="6"/>
  <c r="C46" i="6"/>
  <c r="B46" i="6"/>
  <c r="Q46" i="6"/>
  <c r="G46" i="6"/>
  <c r="F46" i="6"/>
  <c r="G53" i="6"/>
  <c r="F53" i="6"/>
  <c r="Q53" i="6"/>
  <c r="C53" i="6"/>
  <c r="B53" i="6"/>
  <c r="P53" i="6"/>
  <c r="G512" i="6"/>
  <c r="Q512" i="6"/>
  <c r="D512" i="6"/>
  <c r="H512" i="6" s="1"/>
  <c r="I512" i="6" s="1"/>
  <c r="J512" i="6"/>
  <c r="F512" i="6"/>
  <c r="P512" i="6"/>
  <c r="L512" i="6"/>
  <c r="C512" i="6"/>
  <c r="B512" i="6"/>
  <c r="Q1112" i="6"/>
  <c r="P1112" i="6"/>
  <c r="D1112" i="6"/>
  <c r="H1112" i="6" s="1"/>
  <c r="I1112" i="6" s="1"/>
  <c r="L1112" i="6"/>
  <c r="C1112" i="6"/>
  <c r="F1112" i="6"/>
  <c r="B1112" i="6"/>
  <c r="J1112" i="6"/>
  <c r="G1112" i="6"/>
  <c r="J1119" i="6"/>
  <c r="B1119" i="6"/>
  <c r="Q1119" i="6"/>
  <c r="P1119" i="6"/>
  <c r="L1119" i="6"/>
  <c r="G1119" i="6"/>
  <c r="F1119" i="6"/>
  <c r="D1119" i="6"/>
  <c r="H1119" i="6" s="1"/>
  <c r="I1119" i="6" s="1"/>
  <c r="C1119" i="6"/>
  <c r="Q1094" i="6"/>
  <c r="P1094" i="6"/>
  <c r="D1094" i="6"/>
  <c r="H1094" i="6" s="1"/>
  <c r="I1094" i="6" s="1"/>
  <c r="L1094" i="6"/>
  <c r="C1094" i="6"/>
  <c r="J1094" i="6"/>
  <c r="B1094" i="6"/>
  <c r="F1094" i="6"/>
  <c r="G1094" i="6"/>
  <c r="J1103" i="6"/>
  <c r="B1103" i="6"/>
  <c r="Q1103" i="6"/>
  <c r="P1103" i="6"/>
  <c r="L1103" i="6"/>
  <c r="G1103" i="6"/>
  <c r="F1103" i="6"/>
  <c r="D1103" i="6"/>
  <c r="H1103" i="6" s="1"/>
  <c r="I1103" i="6" s="1"/>
  <c r="C1103" i="6"/>
  <c r="Q1070" i="6"/>
  <c r="G1070" i="6"/>
  <c r="F1070" i="6"/>
  <c r="P1070" i="6"/>
  <c r="D1070" i="6"/>
  <c r="H1070" i="6" s="1"/>
  <c r="I1070" i="6" s="1"/>
  <c r="C1070" i="6"/>
  <c r="B1070" i="6"/>
  <c r="L1070" i="6"/>
  <c r="J1070" i="6"/>
  <c r="G1060" i="6"/>
  <c r="L1060" i="6"/>
  <c r="B1060" i="6"/>
  <c r="J1060" i="6"/>
  <c r="D1060" i="6"/>
  <c r="H1060" i="6" s="1"/>
  <c r="I1060" i="6" s="1"/>
  <c r="C1060" i="6"/>
  <c r="Q1060" i="6"/>
  <c r="P1060" i="6"/>
  <c r="F1060" i="6"/>
  <c r="L376" i="6"/>
  <c r="C376" i="6"/>
  <c r="F376" i="6"/>
  <c r="Q376" i="6"/>
  <c r="D376" i="6"/>
  <c r="H376" i="6" s="1"/>
  <c r="I376" i="6" s="1"/>
  <c r="P376" i="6"/>
  <c r="B376" i="6"/>
  <c r="J376" i="6"/>
  <c r="G376" i="6"/>
  <c r="J375" i="6"/>
  <c r="G375" i="6"/>
  <c r="F375" i="6"/>
  <c r="Q375" i="6"/>
  <c r="P375" i="6"/>
  <c r="L375" i="6"/>
  <c r="D375" i="6"/>
  <c r="H375" i="6" s="1"/>
  <c r="I375" i="6" s="1"/>
  <c r="C375" i="6"/>
  <c r="B375" i="6"/>
  <c r="G58" i="6"/>
  <c r="F58" i="6"/>
  <c r="Q58" i="6"/>
  <c r="P58" i="6"/>
  <c r="C58" i="6"/>
  <c r="B58" i="6"/>
  <c r="C59" i="6"/>
  <c r="B59" i="6"/>
  <c r="G59" i="6"/>
  <c r="F59" i="6"/>
  <c r="Q59" i="6"/>
  <c r="P59" i="6"/>
  <c r="F273" i="6"/>
  <c r="G273" i="6"/>
  <c r="D273" i="6"/>
  <c r="H273" i="6" s="1"/>
  <c r="I273" i="6" s="1"/>
  <c r="Q273" i="6"/>
  <c r="C273" i="6"/>
  <c r="P273" i="6"/>
  <c r="B273" i="6"/>
  <c r="L273" i="6"/>
  <c r="J273" i="6"/>
  <c r="Q270" i="6"/>
  <c r="D270" i="6"/>
  <c r="H270" i="6" s="1"/>
  <c r="I270" i="6" s="1"/>
  <c r="P270" i="6"/>
  <c r="C270" i="6"/>
  <c r="L270" i="6"/>
  <c r="B270" i="6"/>
  <c r="J270" i="6"/>
  <c r="G270" i="6"/>
  <c r="F270" i="6"/>
  <c r="F145" i="6"/>
  <c r="Q145" i="6"/>
  <c r="D145" i="6"/>
  <c r="H145" i="6" s="1"/>
  <c r="I145" i="6" s="1"/>
  <c r="P145" i="6"/>
  <c r="C145" i="6"/>
  <c r="L145" i="6"/>
  <c r="B145" i="6"/>
  <c r="J145" i="6"/>
  <c r="G145" i="6"/>
  <c r="Q154" i="6"/>
  <c r="D154" i="6"/>
  <c r="H154" i="6" s="1"/>
  <c r="I154" i="6" s="1"/>
  <c r="P154" i="6"/>
  <c r="C154" i="6"/>
  <c r="L154" i="6"/>
  <c r="B154" i="6"/>
  <c r="J154" i="6"/>
  <c r="F154" i="6"/>
  <c r="G154" i="6"/>
  <c r="P14" i="6"/>
  <c r="C14" i="6"/>
  <c r="B14" i="6"/>
  <c r="F14" i="6"/>
  <c r="G14" i="6"/>
  <c r="Q14" i="6"/>
  <c r="B8" i="6"/>
  <c r="G8" i="6"/>
  <c r="F8" i="6"/>
  <c r="C8" i="6"/>
  <c r="P8" i="6"/>
  <c r="Q8" i="6"/>
  <c r="J741" i="6"/>
  <c r="B741" i="6"/>
  <c r="G741" i="6"/>
  <c r="F741" i="6"/>
  <c r="Q741" i="6"/>
  <c r="D741" i="6"/>
  <c r="H741" i="6" s="1"/>
  <c r="I741" i="6" s="1"/>
  <c r="C741" i="6"/>
  <c r="P741" i="6"/>
  <c r="L741" i="6"/>
  <c r="J749" i="6"/>
  <c r="B749" i="6"/>
  <c r="Q749" i="6"/>
  <c r="D749" i="6"/>
  <c r="H749" i="6" s="1"/>
  <c r="I749" i="6" s="1"/>
  <c r="P749" i="6"/>
  <c r="C749" i="6"/>
  <c r="L749" i="6"/>
  <c r="G749" i="6"/>
  <c r="F749" i="6"/>
  <c r="J301" i="6"/>
  <c r="B301" i="6"/>
  <c r="Q301" i="6"/>
  <c r="D301" i="6"/>
  <c r="H301" i="6" s="1"/>
  <c r="I301" i="6" s="1"/>
  <c r="P301" i="6"/>
  <c r="C301" i="6"/>
  <c r="L301" i="6"/>
  <c r="F301" i="6"/>
  <c r="G301" i="6"/>
  <c r="G298" i="6"/>
  <c r="F298" i="6"/>
  <c r="Q298" i="6"/>
  <c r="D298" i="6"/>
  <c r="H298" i="6" s="1"/>
  <c r="I298" i="6" s="1"/>
  <c r="P298" i="6"/>
  <c r="C298" i="6"/>
  <c r="L298" i="6"/>
  <c r="J298" i="6"/>
  <c r="B298" i="6"/>
  <c r="F1531" i="6"/>
  <c r="G1531" i="6"/>
  <c r="Q1531" i="6"/>
  <c r="D1531" i="6"/>
  <c r="H1531" i="6" s="1"/>
  <c r="I1531" i="6" s="1"/>
  <c r="P1531" i="6"/>
  <c r="C1531" i="6"/>
  <c r="L1531" i="6"/>
  <c r="B1531" i="6"/>
  <c r="J1531" i="6"/>
  <c r="G1534" i="6"/>
  <c r="Q1534" i="6"/>
  <c r="D1534" i="6"/>
  <c r="H1534" i="6" s="1"/>
  <c r="I1534" i="6" s="1"/>
  <c r="P1534" i="6"/>
  <c r="C1534" i="6"/>
  <c r="L1534" i="6"/>
  <c r="B1534" i="6"/>
  <c r="J1534" i="6"/>
  <c r="F1534" i="6"/>
  <c r="G39" i="6"/>
  <c r="F39" i="6"/>
  <c r="Q39" i="6"/>
  <c r="P39" i="6"/>
  <c r="C39" i="6"/>
  <c r="B39" i="6"/>
  <c r="B32" i="6"/>
  <c r="G32" i="6"/>
  <c r="F32" i="6"/>
  <c r="Q32" i="6"/>
  <c r="P32" i="6"/>
  <c r="C32" i="6"/>
  <c r="F877" i="6"/>
  <c r="Q877" i="6"/>
  <c r="P877" i="6"/>
  <c r="D877" i="6"/>
  <c r="H877" i="6" s="1"/>
  <c r="I877" i="6" s="1"/>
  <c r="L877" i="6"/>
  <c r="C877" i="6"/>
  <c r="J877" i="6"/>
  <c r="B877" i="6"/>
  <c r="G877" i="6"/>
  <c r="L876" i="6"/>
  <c r="C876" i="6"/>
  <c r="J876" i="6"/>
  <c r="B876" i="6"/>
  <c r="G876" i="6"/>
  <c r="P876" i="6"/>
  <c r="F876" i="6"/>
  <c r="D876" i="6"/>
  <c r="H876" i="6" s="1"/>
  <c r="I876" i="6" s="1"/>
  <c r="Q876" i="6"/>
  <c r="G851" i="6"/>
  <c r="Q851" i="6"/>
  <c r="P851" i="6"/>
  <c r="D851" i="6"/>
  <c r="H851" i="6" s="1"/>
  <c r="I851" i="6" s="1"/>
  <c r="L851" i="6"/>
  <c r="J851" i="6"/>
  <c r="F851" i="6"/>
  <c r="C851" i="6"/>
  <c r="B851" i="6"/>
  <c r="G841" i="6"/>
  <c r="F841" i="6"/>
  <c r="D841" i="6"/>
  <c r="H841" i="6" s="1"/>
  <c r="I841" i="6" s="1"/>
  <c r="C841" i="6"/>
  <c r="Q841" i="6"/>
  <c r="B841" i="6"/>
  <c r="P841" i="6"/>
  <c r="L841" i="6"/>
  <c r="J841" i="6"/>
  <c r="P611" i="6"/>
  <c r="D611" i="6"/>
  <c r="H611" i="6" s="1"/>
  <c r="I611" i="6" s="1"/>
  <c r="L611" i="6"/>
  <c r="B611" i="6"/>
  <c r="G611" i="6"/>
  <c r="F611" i="6"/>
  <c r="Q611" i="6"/>
  <c r="J611" i="6"/>
  <c r="C611" i="6"/>
  <c r="J613" i="6"/>
  <c r="B613" i="6"/>
  <c r="Q613" i="6"/>
  <c r="D613" i="6"/>
  <c r="H613" i="6" s="1"/>
  <c r="I613" i="6" s="1"/>
  <c r="C613" i="6"/>
  <c r="P613" i="6"/>
  <c r="L613" i="6"/>
  <c r="G613" i="6"/>
  <c r="F613" i="6"/>
  <c r="Q579" i="6"/>
  <c r="D579" i="6"/>
  <c r="H579" i="6" s="1"/>
  <c r="I579" i="6" s="1"/>
  <c r="P579" i="6"/>
  <c r="C579" i="6"/>
  <c r="L579" i="6"/>
  <c r="B579" i="6"/>
  <c r="J579" i="6"/>
  <c r="G579" i="6"/>
  <c r="F579" i="6"/>
  <c r="G574" i="6"/>
  <c r="F574" i="6"/>
  <c r="Q574" i="6"/>
  <c r="D574" i="6"/>
  <c r="H574" i="6" s="1"/>
  <c r="I574" i="6" s="1"/>
  <c r="P574" i="6"/>
  <c r="C574" i="6"/>
  <c r="L574" i="6"/>
  <c r="J574" i="6"/>
  <c r="B574" i="6"/>
  <c r="J1388" i="6"/>
  <c r="B1388" i="6"/>
  <c r="F1388" i="6"/>
  <c r="Q1388" i="6"/>
  <c r="D1388" i="6"/>
  <c r="H1388" i="6" s="1"/>
  <c r="I1388" i="6" s="1"/>
  <c r="P1388" i="6"/>
  <c r="C1388" i="6"/>
  <c r="L1388" i="6"/>
  <c r="G1388" i="6"/>
  <c r="J1396" i="6"/>
  <c r="B1396" i="6"/>
  <c r="L1396" i="6"/>
  <c r="G1396" i="6"/>
  <c r="F1396" i="6"/>
  <c r="C1396" i="6"/>
  <c r="D1396" i="6"/>
  <c r="H1396" i="6" s="1"/>
  <c r="I1396" i="6" s="1"/>
  <c r="Q1396" i="6"/>
  <c r="P1396" i="6"/>
  <c r="G480" i="6"/>
  <c r="Q480" i="6"/>
  <c r="D480" i="6"/>
  <c r="H480" i="6" s="1"/>
  <c r="I480" i="6" s="1"/>
  <c r="J480" i="6"/>
  <c r="F480" i="6"/>
  <c r="P480" i="6"/>
  <c r="L480" i="6"/>
  <c r="C480" i="6"/>
  <c r="B480" i="6"/>
  <c r="G472" i="6"/>
  <c r="Q472" i="6"/>
  <c r="C472" i="6"/>
  <c r="P472" i="6"/>
  <c r="B472" i="6"/>
  <c r="L472" i="6"/>
  <c r="J472" i="6"/>
  <c r="D472" i="6"/>
  <c r="H472" i="6" s="1"/>
  <c r="I472" i="6" s="1"/>
  <c r="F472" i="6"/>
  <c r="G470" i="6"/>
  <c r="F470" i="6"/>
  <c r="D470" i="6"/>
  <c r="H470" i="6" s="1"/>
  <c r="I470" i="6" s="1"/>
  <c r="Q470" i="6"/>
  <c r="C470" i="6"/>
  <c r="J470" i="6"/>
  <c r="B470" i="6"/>
  <c r="L470" i="6"/>
  <c r="P470" i="6"/>
  <c r="P1549" i="6"/>
  <c r="D1549" i="6"/>
  <c r="H1549" i="6" s="1"/>
  <c r="I1549" i="6" s="1"/>
  <c r="G1549" i="6"/>
  <c r="F1549" i="6"/>
  <c r="Q1549" i="6"/>
  <c r="C1549" i="6"/>
  <c r="B1549" i="6"/>
  <c r="L1549" i="6"/>
  <c r="J1549" i="6"/>
  <c r="Q1552" i="6"/>
  <c r="P1552" i="6"/>
  <c r="D1552" i="6"/>
  <c r="H1552" i="6" s="1"/>
  <c r="I1552" i="6" s="1"/>
  <c r="L1552" i="6"/>
  <c r="C1552" i="6"/>
  <c r="J1552" i="6"/>
  <c r="B1552" i="6"/>
  <c r="G1552" i="6"/>
  <c r="F1552" i="6"/>
  <c r="F1179" i="6"/>
  <c r="Q1179" i="6"/>
  <c r="P1179" i="6"/>
  <c r="D1179" i="6"/>
  <c r="H1179" i="6" s="1"/>
  <c r="I1179" i="6" s="1"/>
  <c r="C1179" i="6"/>
  <c r="B1179" i="6"/>
  <c r="L1179" i="6"/>
  <c r="J1179" i="6"/>
  <c r="G1179" i="6"/>
  <c r="G1180" i="6"/>
  <c r="C1180" i="6"/>
  <c r="Q1180" i="6"/>
  <c r="B1180" i="6"/>
  <c r="P1180" i="6"/>
  <c r="L1180" i="6"/>
  <c r="J1180" i="6"/>
  <c r="F1180" i="6"/>
  <c r="D1180" i="6"/>
  <c r="H1180" i="6" s="1"/>
  <c r="I1180" i="6" s="1"/>
  <c r="L984" i="6"/>
  <c r="C984" i="6"/>
  <c r="G984" i="6"/>
  <c r="F984" i="6"/>
  <c r="Q984" i="6"/>
  <c r="D984" i="6"/>
  <c r="H984" i="6" s="1"/>
  <c r="I984" i="6" s="1"/>
  <c r="J984" i="6"/>
  <c r="B984" i="6"/>
  <c r="P984" i="6"/>
  <c r="Q990" i="6"/>
  <c r="L990" i="6"/>
  <c r="C990" i="6"/>
  <c r="J990" i="6"/>
  <c r="B990" i="6"/>
  <c r="G990" i="6"/>
  <c r="P990" i="6"/>
  <c r="F990" i="6"/>
  <c r="D990" i="6"/>
  <c r="H990" i="6" s="1"/>
  <c r="I990" i="6" s="1"/>
  <c r="G504" i="6"/>
  <c r="Q504" i="6"/>
  <c r="C504" i="6"/>
  <c r="P504" i="6"/>
  <c r="B504" i="6"/>
  <c r="L504" i="6"/>
  <c r="J504" i="6"/>
  <c r="D504" i="6"/>
  <c r="H504" i="6" s="1"/>
  <c r="I504" i="6" s="1"/>
  <c r="F504" i="6"/>
  <c r="G502" i="6"/>
  <c r="F502" i="6"/>
  <c r="D502" i="6"/>
  <c r="H502" i="6" s="1"/>
  <c r="I502" i="6" s="1"/>
  <c r="Q502" i="6"/>
  <c r="C502" i="6"/>
  <c r="B502" i="6"/>
  <c r="P502" i="6"/>
  <c r="L502" i="6"/>
  <c r="J502" i="6"/>
  <c r="F169" i="6"/>
  <c r="G169" i="6"/>
  <c r="Q169" i="6"/>
  <c r="D169" i="6"/>
  <c r="H169" i="6" s="1"/>
  <c r="I169" i="6" s="1"/>
  <c r="B169" i="6"/>
  <c r="P169" i="6"/>
  <c r="L169" i="6"/>
  <c r="J169" i="6"/>
  <c r="C169" i="6"/>
  <c r="P175" i="6"/>
  <c r="C175" i="6"/>
  <c r="L175" i="6"/>
  <c r="B175" i="6"/>
  <c r="J175" i="6"/>
  <c r="G175" i="6"/>
  <c r="F175" i="6"/>
  <c r="D175" i="6"/>
  <c r="H175" i="6" s="1"/>
  <c r="I175" i="6" s="1"/>
  <c r="Q175" i="6"/>
  <c r="G92" i="6"/>
  <c r="F92" i="6"/>
  <c r="Q92" i="6"/>
  <c r="D92" i="6"/>
  <c r="H92" i="6" s="1"/>
  <c r="I92" i="6" s="1"/>
  <c r="P92" i="6"/>
  <c r="C92" i="6"/>
  <c r="L92" i="6"/>
  <c r="B92" i="6"/>
  <c r="J92" i="6"/>
  <c r="G1312" i="6"/>
  <c r="F1312" i="6"/>
  <c r="L1312" i="6"/>
  <c r="J1312" i="6"/>
  <c r="D1312" i="6"/>
  <c r="H1312" i="6" s="1"/>
  <c r="I1312" i="6" s="1"/>
  <c r="C1312" i="6"/>
  <c r="P1312" i="6"/>
  <c r="B1312" i="6"/>
  <c r="Q1312" i="6"/>
  <c r="Q1298" i="6"/>
  <c r="G1298" i="6"/>
  <c r="F1298" i="6"/>
  <c r="D1298" i="6"/>
  <c r="H1298" i="6" s="1"/>
  <c r="I1298" i="6" s="1"/>
  <c r="C1298" i="6"/>
  <c r="P1298" i="6"/>
  <c r="B1298" i="6"/>
  <c r="L1298" i="6"/>
  <c r="J1298" i="6"/>
  <c r="G1272" i="6"/>
  <c r="Q1272" i="6"/>
  <c r="D1272" i="6"/>
  <c r="H1272" i="6" s="1"/>
  <c r="I1272" i="6" s="1"/>
  <c r="L1272" i="6"/>
  <c r="B1272" i="6"/>
  <c r="F1272" i="6"/>
  <c r="C1272" i="6"/>
  <c r="P1272" i="6"/>
  <c r="J1272" i="6"/>
  <c r="J1275" i="6"/>
  <c r="G1275" i="6"/>
  <c r="Q1275" i="6"/>
  <c r="B1275" i="6"/>
  <c r="P1275" i="6"/>
  <c r="L1275" i="6"/>
  <c r="F1275" i="6"/>
  <c r="D1275" i="6"/>
  <c r="H1275" i="6" s="1"/>
  <c r="I1275" i="6" s="1"/>
  <c r="C1275" i="6"/>
  <c r="G432" i="6"/>
  <c r="Q432" i="6"/>
  <c r="D432" i="6"/>
  <c r="H432" i="6" s="1"/>
  <c r="I432" i="6" s="1"/>
  <c r="C432" i="6"/>
  <c r="P432" i="6"/>
  <c r="B432" i="6"/>
  <c r="L432" i="6"/>
  <c r="J432" i="6"/>
  <c r="F432" i="6"/>
  <c r="Q442" i="6"/>
  <c r="F442" i="6"/>
  <c r="D442" i="6"/>
  <c r="H442" i="6" s="1"/>
  <c r="I442" i="6" s="1"/>
  <c r="P442" i="6"/>
  <c r="C442" i="6"/>
  <c r="L442" i="6"/>
  <c r="B442" i="6"/>
  <c r="G442" i="6"/>
  <c r="J442" i="6"/>
  <c r="Q358" i="6"/>
  <c r="P358" i="6"/>
  <c r="D358" i="6"/>
  <c r="H358" i="6" s="1"/>
  <c r="I358" i="6" s="1"/>
  <c r="L358" i="6"/>
  <c r="C358" i="6"/>
  <c r="J358" i="6"/>
  <c r="B358" i="6"/>
  <c r="G358" i="6"/>
  <c r="F358" i="6"/>
  <c r="J359" i="6"/>
  <c r="G359" i="6"/>
  <c r="F359" i="6"/>
  <c r="Q359" i="6"/>
  <c r="P359" i="6"/>
  <c r="L359" i="6"/>
  <c r="D359" i="6"/>
  <c r="H359" i="6" s="1"/>
  <c r="I359" i="6" s="1"/>
  <c r="C359" i="6"/>
  <c r="B359" i="6"/>
  <c r="J229" i="6"/>
  <c r="B229" i="6"/>
  <c r="P229" i="6"/>
  <c r="L229" i="6"/>
  <c r="G229" i="6"/>
  <c r="F229" i="6"/>
  <c r="D229" i="6"/>
  <c r="H229" i="6" s="1"/>
  <c r="I229" i="6" s="1"/>
  <c r="C229" i="6"/>
  <c r="Q229" i="6"/>
  <c r="G1581" i="6"/>
  <c r="F1581" i="6"/>
  <c r="Q1581" i="6"/>
  <c r="P1581" i="6"/>
  <c r="D1581" i="6"/>
  <c r="H1581" i="6" s="1"/>
  <c r="I1581" i="6" s="1"/>
  <c r="L1581" i="6"/>
  <c r="J1581" i="6"/>
  <c r="C1581" i="6"/>
  <c r="B1581" i="6"/>
  <c r="Q1583" i="6"/>
  <c r="P1583" i="6"/>
  <c r="D1583" i="6"/>
  <c r="H1583" i="6" s="1"/>
  <c r="I1583" i="6" s="1"/>
  <c r="L1583" i="6"/>
  <c r="C1583" i="6"/>
  <c r="J1583" i="6"/>
  <c r="B1583" i="6"/>
  <c r="F1583" i="6"/>
  <c r="G1583" i="6"/>
  <c r="G204" i="6"/>
  <c r="F204" i="6"/>
  <c r="Q204" i="6"/>
  <c r="D204" i="6"/>
  <c r="H204" i="6" s="1"/>
  <c r="I204" i="6" s="1"/>
  <c r="P204" i="6"/>
  <c r="C204" i="6"/>
  <c r="L204" i="6"/>
  <c r="B204" i="6"/>
  <c r="J204" i="6"/>
  <c r="F209" i="6"/>
  <c r="Q209" i="6"/>
  <c r="D209" i="6"/>
  <c r="H209" i="6" s="1"/>
  <c r="I209" i="6" s="1"/>
  <c r="P209" i="6"/>
  <c r="C209" i="6"/>
  <c r="L209" i="6"/>
  <c r="B209" i="6"/>
  <c r="J209" i="6"/>
  <c r="G209" i="6"/>
  <c r="Q202" i="6"/>
  <c r="D202" i="6"/>
  <c r="H202" i="6" s="1"/>
  <c r="I202" i="6" s="1"/>
  <c r="P202" i="6"/>
  <c r="C202" i="6"/>
  <c r="L202" i="6"/>
  <c r="B202" i="6"/>
  <c r="J202" i="6"/>
  <c r="G202" i="6"/>
  <c r="F202" i="6"/>
  <c r="P1517" i="6"/>
  <c r="D1517" i="6"/>
  <c r="H1517" i="6" s="1"/>
  <c r="I1517" i="6" s="1"/>
  <c r="G1517" i="6"/>
  <c r="F1517" i="6"/>
  <c r="Q1517" i="6"/>
  <c r="C1517" i="6"/>
  <c r="B1517" i="6"/>
  <c r="L1517" i="6"/>
  <c r="J1517" i="6"/>
  <c r="L1514" i="6"/>
  <c r="C1514" i="6"/>
  <c r="J1514" i="6"/>
  <c r="G1514" i="6"/>
  <c r="F1514" i="6"/>
  <c r="Q1514" i="6"/>
  <c r="P1514" i="6"/>
  <c r="D1514" i="6"/>
  <c r="H1514" i="6" s="1"/>
  <c r="I1514" i="6" s="1"/>
  <c r="B1514" i="6"/>
  <c r="P787" i="6"/>
  <c r="D787" i="6"/>
  <c r="H787" i="6" s="1"/>
  <c r="I787" i="6" s="1"/>
  <c r="G787" i="6"/>
  <c r="F787" i="6"/>
  <c r="Q787" i="6"/>
  <c r="C787" i="6"/>
  <c r="L787" i="6"/>
  <c r="B787" i="6"/>
  <c r="J787" i="6"/>
  <c r="L776" i="6"/>
  <c r="C776" i="6"/>
  <c r="Q776" i="6"/>
  <c r="D776" i="6"/>
  <c r="H776" i="6" s="1"/>
  <c r="I776" i="6" s="1"/>
  <c r="P776" i="6"/>
  <c r="B776" i="6"/>
  <c r="J776" i="6"/>
  <c r="G776" i="6"/>
  <c r="F776" i="6"/>
  <c r="L1466" i="6"/>
  <c r="C1466" i="6"/>
  <c r="G1466" i="6"/>
  <c r="F1466" i="6"/>
  <c r="D1466" i="6"/>
  <c r="H1466" i="6" s="1"/>
  <c r="I1466" i="6" s="1"/>
  <c r="Q1466" i="6"/>
  <c r="B1466" i="6"/>
  <c r="P1466" i="6"/>
  <c r="J1466" i="6"/>
  <c r="J1463" i="6"/>
  <c r="B1463" i="6"/>
  <c r="L1463" i="6"/>
  <c r="D1463" i="6"/>
  <c r="H1463" i="6" s="1"/>
  <c r="I1463" i="6" s="1"/>
  <c r="Q1463" i="6"/>
  <c r="C1463" i="6"/>
  <c r="P1463" i="6"/>
  <c r="G1463" i="6"/>
  <c r="F1463" i="6"/>
  <c r="G948" i="6"/>
  <c r="F948" i="6"/>
  <c r="Q948" i="6"/>
  <c r="D948" i="6"/>
  <c r="H948" i="6" s="1"/>
  <c r="I948" i="6" s="1"/>
  <c r="P948" i="6"/>
  <c r="C948" i="6"/>
  <c r="L948" i="6"/>
  <c r="B948" i="6"/>
  <c r="J948" i="6"/>
  <c r="J949" i="6"/>
  <c r="B949" i="6"/>
  <c r="P949" i="6"/>
  <c r="C949" i="6"/>
  <c r="L949" i="6"/>
  <c r="G949" i="6"/>
  <c r="Q949" i="6"/>
  <c r="F949" i="6"/>
  <c r="D949" i="6"/>
  <c r="H949" i="6" s="1"/>
  <c r="I949" i="6" s="1"/>
  <c r="F913" i="6"/>
  <c r="G913" i="6"/>
  <c r="Q913" i="6"/>
  <c r="D913" i="6"/>
  <c r="H913" i="6" s="1"/>
  <c r="I913" i="6" s="1"/>
  <c r="P913" i="6"/>
  <c r="L913" i="6"/>
  <c r="J913" i="6"/>
  <c r="C913" i="6"/>
  <c r="B913" i="6"/>
  <c r="Q910" i="6"/>
  <c r="L910" i="6"/>
  <c r="C910" i="6"/>
  <c r="J910" i="6"/>
  <c r="B910" i="6"/>
  <c r="G910" i="6"/>
  <c r="P910" i="6"/>
  <c r="F910" i="6"/>
  <c r="D910" i="6"/>
  <c r="H910" i="6" s="1"/>
  <c r="I910" i="6" s="1"/>
  <c r="P675" i="6"/>
  <c r="D675" i="6"/>
  <c r="H675" i="6" s="1"/>
  <c r="I675" i="6" s="1"/>
  <c r="L675" i="6"/>
  <c r="B675" i="6"/>
  <c r="C675" i="6"/>
  <c r="Q675" i="6"/>
  <c r="J675" i="6"/>
  <c r="G675" i="6"/>
  <c r="F675" i="6"/>
  <c r="F674" i="6"/>
  <c r="G674" i="6"/>
  <c r="D674" i="6"/>
  <c r="H674" i="6" s="1"/>
  <c r="I674" i="6" s="1"/>
  <c r="Q674" i="6"/>
  <c r="C674" i="6"/>
  <c r="P674" i="6"/>
  <c r="B674" i="6"/>
  <c r="L674" i="6"/>
  <c r="J674" i="6"/>
  <c r="L648" i="6"/>
  <c r="C648" i="6"/>
  <c r="G648" i="6"/>
  <c r="F648" i="6"/>
  <c r="D648" i="6"/>
  <c r="H648" i="6" s="1"/>
  <c r="I648" i="6" s="1"/>
  <c r="J648" i="6"/>
  <c r="B648" i="6"/>
  <c r="Q648" i="6"/>
  <c r="P648" i="6"/>
  <c r="P643" i="6"/>
  <c r="D643" i="6"/>
  <c r="H643" i="6" s="1"/>
  <c r="I643" i="6" s="1"/>
  <c r="L643" i="6"/>
  <c r="B643" i="6"/>
  <c r="Q643" i="6"/>
  <c r="J643" i="6"/>
  <c r="G643" i="6"/>
  <c r="C643" i="6"/>
  <c r="F643" i="6"/>
  <c r="J397" i="6"/>
  <c r="B397" i="6"/>
  <c r="Q397" i="6"/>
  <c r="D397" i="6"/>
  <c r="H397" i="6" s="1"/>
  <c r="I397" i="6" s="1"/>
  <c r="P397" i="6"/>
  <c r="C397" i="6"/>
  <c r="L397" i="6"/>
  <c r="F397" i="6"/>
  <c r="G397" i="6"/>
  <c r="Q410" i="6"/>
  <c r="F410" i="6"/>
  <c r="D410" i="6"/>
  <c r="H410" i="6" s="1"/>
  <c r="I410" i="6" s="1"/>
  <c r="P410" i="6"/>
  <c r="C410" i="6"/>
  <c r="L410" i="6"/>
  <c r="B410" i="6"/>
  <c r="G410" i="6"/>
  <c r="J410" i="6"/>
  <c r="Q134" i="6"/>
  <c r="L134" i="6"/>
  <c r="C134" i="6"/>
  <c r="J134" i="6"/>
  <c r="B134" i="6"/>
  <c r="G134" i="6"/>
  <c r="F134" i="6"/>
  <c r="D134" i="6"/>
  <c r="H134" i="6" s="1"/>
  <c r="I134" i="6" s="1"/>
  <c r="P134" i="6"/>
  <c r="G79" i="6"/>
  <c r="F79" i="6"/>
  <c r="Q79" i="6"/>
  <c r="P79" i="6"/>
  <c r="D79" i="6"/>
  <c r="H79" i="6" s="1"/>
  <c r="I79" i="6" s="1"/>
  <c r="L79" i="6"/>
  <c r="C79" i="6"/>
  <c r="B79" i="6"/>
  <c r="J79" i="6"/>
  <c r="L75" i="6"/>
  <c r="C75" i="6"/>
  <c r="J75" i="6"/>
  <c r="B75" i="6"/>
  <c r="G75" i="6"/>
  <c r="D75" i="6"/>
  <c r="H75" i="6" s="1"/>
  <c r="I75" i="6" s="1"/>
  <c r="P75" i="6"/>
  <c r="Q75" i="6"/>
  <c r="F75" i="6"/>
  <c r="G1646" i="6"/>
  <c r="F1646" i="6"/>
  <c r="Q1646" i="6"/>
  <c r="D1646" i="6"/>
  <c r="H1646" i="6" s="1"/>
  <c r="I1646" i="6" s="1"/>
  <c r="P1646" i="6"/>
  <c r="L1646" i="6"/>
  <c r="J1646" i="6"/>
  <c r="C1646" i="6"/>
  <c r="B1646" i="6"/>
  <c r="L1647" i="6"/>
  <c r="C1647" i="6"/>
  <c r="Q1647" i="6"/>
  <c r="D1647" i="6"/>
  <c r="H1647" i="6" s="1"/>
  <c r="I1647" i="6" s="1"/>
  <c r="P1647" i="6"/>
  <c r="B1647" i="6"/>
  <c r="J1647" i="6"/>
  <c r="G1647" i="6"/>
  <c r="F1647" i="6"/>
  <c r="F1614" i="6"/>
  <c r="Q1614" i="6"/>
  <c r="P1614" i="6"/>
  <c r="D1614" i="6"/>
  <c r="H1614" i="6" s="1"/>
  <c r="I1614" i="6" s="1"/>
  <c r="L1614" i="6"/>
  <c r="C1614" i="6"/>
  <c r="J1614" i="6"/>
  <c r="B1614" i="6"/>
  <c r="G1614" i="6"/>
  <c r="J1610" i="6"/>
  <c r="G1610" i="6"/>
  <c r="F1610" i="6"/>
  <c r="D1610" i="6"/>
  <c r="H1610" i="6" s="1"/>
  <c r="I1610" i="6" s="1"/>
  <c r="L1610" i="6"/>
  <c r="C1610" i="6"/>
  <c r="B1610" i="6"/>
  <c r="Q1610" i="6"/>
  <c r="P1610" i="6"/>
  <c r="Q1334" i="6"/>
  <c r="P1334" i="6"/>
  <c r="D1334" i="6"/>
  <c r="H1334" i="6" s="1"/>
  <c r="I1334" i="6" s="1"/>
  <c r="L1334" i="6"/>
  <c r="C1334" i="6"/>
  <c r="J1334" i="6"/>
  <c r="B1334" i="6"/>
  <c r="G1334" i="6"/>
  <c r="F1334" i="6"/>
  <c r="G1338" i="6"/>
  <c r="F1338" i="6"/>
  <c r="Q1338" i="6"/>
  <c r="B1338" i="6"/>
  <c r="P1338" i="6"/>
  <c r="L1338" i="6"/>
  <c r="J1338" i="6"/>
  <c r="D1338" i="6"/>
  <c r="H1338" i="6" s="1"/>
  <c r="I1338" i="6" s="1"/>
  <c r="C1338" i="6"/>
  <c r="G1036" i="6"/>
  <c r="P1036" i="6"/>
  <c r="C1036" i="6"/>
  <c r="F1036" i="6"/>
  <c r="D1036" i="6"/>
  <c r="H1036" i="6" s="1"/>
  <c r="I1036" i="6" s="1"/>
  <c r="J1036" i="6"/>
  <c r="B1036" i="6"/>
  <c r="Q1036" i="6"/>
  <c r="L1036" i="6"/>
  <c r="G1028" i="6"/>
  <c r="L1028" i="6"/>
  <c r="J1028" i="6"/>
  <c r="F1028" i="6"/>
  <c r="Q1028" i="6"/>
  <c r="P1028" i="6"/>
  <c r="C1028" i="6"/>
  <c r="B1028" i="6"/>
  <c r="D1028" i="6"/>
  <c r="H1028" i="6" s="1"/>
  <c r="I1028" i="6" s="1"/>
  <c r="Q998" i="6"/>
  <c r="G998" i="6"/>
  <c r="F998" i="6"/>
  <c r="P998" i="6"/>
  <c r="D998" i="6"/>
  <c r="H998" i="6" s="1"/>
  <c r="I998" i="6" s="1"/>
  <c r="L998" i="6"/>
  <c r="C998" i="6"/>
  <c r="J998" i="6"/>
  <c r="B998" i="6"/>
  <c r="G1004" i="6"/>
  <c r="L1004" i="6"/>
  <c r="B1004" i="6"/>
  <c r="J1004" i="6"/>
  <c r="F1004" i="6"/>
  <c r="D1004" i="6"/>
  <c r="H1004" i="6" s="1"/>
  <c r="I1004" i="6" s="1"/>
  <c r="C1004" i="6"/>
  <c r="Q1004" i="6"/>
  <c r="P1004" i="6"/>
  <c r="P1407" i="6"/>
  <c r="D1407" i="6"/>
  <c r="H1407" i="6" s="1"/>
  <c r="I1407" i="6" s="1"/>
  <c r="G1407" i="6"/>
  <c r="F1407" i="6"/>
  <c r="C1407" i="6"/>
  <c r="Q1407" i="6"/>
  <c r="B1407" i="6"/>
  <c r="L1407" i="6"/>
  <c r="J1407" i="6"/>
  <c r="G1416" i="6"/>
  <c r="P1416" i="6"/>
  <c r="B1416" i="6"/>
  <c r="L1416" i="6"/>
  <c r="J1416" i="6"/>
  <c r="F1416" i="6"/>
  <c r="D1416" i="6"/>
  <c r="H1416" i="6" s="1"/>
  <c r="I1416" i="6" s="1"/>
  <c r="C1416" i="6"/>
  <c r="Q1416" i="6"/>
  <c r="Q335" i="6"/>
  <c r="D335" i="6"/>
  <c r="H335" i="6" s="1"/>
  <c r="I335" i="6" s="1"/>
  <c r="P335" i="6"/>
  <c r="C335" i="6"/>
  <c r="L335" i="6"/>
  <c r="B335" i="6"/>
  <c r="J335" i="6"/>
  <c r="G335" i="6"/>
  <c r="F335" i="6"/>
  <c r="Q334" i="6"/>
  <c r="G334" i="6"/>
  <c r="F334" i="6"/>
  <c r="J334" i="6"/>
  <c r="D334" i="6"/>
  <c r="H334" i="6" s="1"/>
  <c r="I334" i="6" s="1"/>
  <c r="C334" i="6"/>
  <c r="B334" i="6"/>
  <c r="P334" i="6"/>
  <c r="L334" i="6"/>
  <c r="P211" i="6"/>
  <c r="D211" i="6"/>
  <c r="H211" i="6" s="1"/>
  <c r="I211" i="6" s="1"/>
  <c r="F211" i="6"/>
  <c r="Q211" i="6"/>
  <c r="C211" i="6"/>
  <c r="L211" i="6"/>
  <c r="B211" i="6"/>
  <c r="J211" i="6"/>
  <c r="G211" i="6"/>
  <c r="J215" i="6"/>
  <c r="G215" i="6"/>
  <c r="F215" i="6"/>
  <c r="D215" i="6"/>
  <c r="H215" i="6" s="1"/>
  <c r="I215" i="6" s="1"/>
  <c r="B215" i="6"/>
  <c r="Q215" i="6"/>
  <c r="P215" i="6"/>
  <c r="L215" i="6"/>
  <c r="C215" i="6"/>
  <c r="P99" i="6"/>
  <c r="D99" i="6"/>
  <c r="H99" i="6" s="1"/>
  <c r="I99" i="6" s="1"/>
  <c r="F99" i="6"/>
  <c r="Q99" i="6"/>
  <c r="C99" i="6"/>
  <c r="L99" i="6"/>
  <c r="B99" i="6"/>
  <c r="J99" i="6"/>
  <c r="G99" i="6"/>
  <c r="P107" i="6"/>
  <c r="D107" i="6"/>
  <c r="H107" i="6" s="1"/>
  <c r="I107" i="6" s="1"/>
  <c r="J107" i="6"/>
  <c r="G107" i="6"/>
  <c r="F107" i="6"/>
  <c r="Q107" i="6"/>
  <c r="L107" i="6"/>
  <c r="B107" i="6"/>
  <c r="C107" i="6"/>
  <c r="Q718" i="6"/>
  <c r="G718" i="6"/>
  <c r="P718" i="6"/>
  <c r="D718" i="6"/>
  <c r="H718" i="6" s="1"/>
  <c r="I718" i="6" s="1"/>
  <c r="F718" i="6"/>
  <c r="C718" i="6"/>
  <c r="B718" i="6"/>
  <c r="J718" i="6"/>
  <c r="L718" i="6"/>
  <c r="P703" i="6"/>
  <c r="C703" i="6"/>
  <c r="J703" i="6"/>
  <c r="B703" i="6"/>
  <c r="Q703" i="6"/>
  <c r="L703" i="6"/>
  <c r="G703" i="6"/>
  <c r="F703" i="6"/>
  <c r="D703" i="6"/>
  <c r="H703" i="6" s="1"/>
  <c r="I703" i="6" s="1"/>
  <c r="G1240" i="6"/>
  <c r="F1240" i="6"/>
  <c r="L1240" i="6"/>
  <c r="J1240" i="6"/>
  <c r="D1240" i="6"/>
  <c r="H1240" i="6" s="1"/>
  <c r="I1240" i="6" s="1"/>
  <c r="C1240" i="6"/>
  <c r="Q1240" i="6"/>
  <c r="P1240" i="6"/>
  <c r="B1240" i="6"/>
  <c r="G1230" i="6"/>
  <c r="F1230" i="6"/>
  <c r="Q1230" i="6"/>
  <c r="P1230" i="6"/>
  <c r="B1230" i="6"/>
  <c r="L1230" i="6"/>
  <c r="J1230" i="6"/>
  <c r="D1230" i="6"/>
  <c r="H1230" i="6" s="1"/>
  <c r="I1230" i="6" s="1"/>
  <c r="C1230" i="6"/>
  <c r="Q1655" i="6"/>
  <c r="J1655" i="6"/>
  <c r="B1655" i="6"/>
  <c r="D1655" i="6"/>
  <c r="H1655" i="6" s="1"/>
  <c r="I1655" i="6" s="1"/>
  <c r="C1655" i="6"/>
  <c r="P1655" i="6"/>
  <c r="L1655" i="6"/>
  <c r="G1655" i="6"/>
  <c r="F1655" i="6"/>
  <c r="F1659" i="6"/>
  <c r="J1659" i="6"/>
  <c r="L1659" i="6"/>
  <c r="G1659" i="6"/>
  <c r="C1659" i="6"/>
  <c r="B1659" i="6"/>
  <c r="Q1659" i="6"/>
  <c r="P1659" i="6"/>
  <c r="D1659" i="6"/>
  <c r="H1659" i="6" s="1"/>
  <c r="I1659" i="6" s="1"/>
  <c r="Q806" i="6"/>
  <c r="P806" i="6"/>
  <c r="D806" i="6"/>
  <c r="H806" i="6" s="1"/>
  <c r="I806" i="6" s="1"/>
  <c r="L806" i="6"/>
  <c r="C806" i="6"/>
  <c r="J806" i="6"/>
  <c r="B806" i="6"/>
  <c r="G806" i="6"/>
  <c r="F806" i="6"/>
  <c r="L818" i="6"/>
  <c r="B818" i="6"/>
  <c r="J818" i="6"/>
  <c r="G818" i="6"/>
  <c r="F818" i="6"/>
  <c r="Q818" i="6"/>
  <c r="P818" i="6"/>
  <c r="D818" i="6"/>
  <c r="H818" i="6" s="1"/>
  <c r="I818" i="6" s="1"/>
  <c r="C818" i="6"/>
  <c r="Q538" i="6"/>
  <c r="P538" i="6"/>
  <c r="D538" i="6"/>
  <c r="H538" i="6" s="1"/>
  <c r="I538" i="6" s="1"/>
  <c r="L538" i="6"/>
  <c r="C538" i="6"/>
  <c r="J538" i="6"/>
  <c r="B538" i="6"/>
  <c r="G538" i="6"/>
  <c r="F538" i="6"/>
  <c r="Q546" i="6"/>
  <c r="G546" i="6"/>
  <c r="F546" i="6"/>
  <c r="D546" i="6"/>
  <c r="H546" i="6" s="1"/>
  <c r="I546" i="6" s="1"/>
  <c r="C546" i="6"/>
  <c r="B546" i="6"/>
  <c r="J546" i="6"/>
  <c r="P546" i="6"/>
  <c r="L546" i="6"/>
  <c r="Q294" i="6"/>
  <c r="P294" i="6"/>
  <c r="D294" i="6"/>
  <c r="H294" i="6" s="1"/>
  <c r="I294" i="6" s="1"/>
  <c r="L294" i="6"/>
  <c r="C294" i="6"/>
  <c r="J294" i="6"/>
  <c r="B294" i="6"/>
  <c r="G294" i="6"/>
  <c r="F294" i="6"/>
  <c r="G282" i="6"/>
  <c r="F282" i="6"/>
  <c r="P282" i="6"/>
  <c r="C282" i="6"/>
  <c r="D282" i="6"/>
  <c r="H282" i="6" s="1"/>
  <c r="I282" i="6" s="1"/>
  <c r="B282" i="6"/>
  <c r="Q282" i="6"/>
  <c r="J282" i="6"/>
  <c r="L282" i="6"/>
  <c r="D40" i="6"/>
  <c r="P575" i="6"/>
  <c r="D575" i="6"/>
  <c r="H575" i="6" s="1"/>
  <c r="I575" i="6" s="1"/>
  <c r="Q575" i="6"/>
  <c r="C575" i="6"/>
  <c r="L575" i="6"/>
  <c r="B575" i="6"/>
  <c r="J575" i="6"/>
  <c r="F575" i="6"/>
  <c r="G575" i="6"/>
  <c r="L468" i="6"/>
  <c r="C468" i="6"/>
  <c r="F468" i="6"/>
  <c r="Q468" i="6"/>
  <c r="B468" i="6"/>
  <c r="P468" i="6"/>
  <c r="J468" i="6"/>
  <c r="G468" i="6"/>
  <c r="D468" i="6"/>
  <c r="H468" i="6" s="1"/>
  <c r="I468" i="6" s="1"/>
  <c r="L1546" i="6"/>
  <c r="C1546" i="6"/>
  <c r="F1546" i="6"/>
  <c r="B1546" i="6"/>
  <c r="Q1546" i="6"/>
  <c r="P1546" i="6"/>
  <c r="J1546" i="6"/>
  <c r="D1546" i="6"/>
  <c r="H1546" i="6" s="1"/>
  <c r="I1546" i="6" s="1"/>
  <c r="G1546" i="6"/>
  <c r="P979" i="6"/>
  <c r="D979" i="6"/>
  <c r="H979" i="6" s="1"/>
  <c r="I979" i="6" s="1"/>
  <c r="J979" i="6"/>
  <c r="G979" i="6"/>
  <c r="F979" i="6"/>
  <c r="Q979" i="6"/>
  <c r="L979" i="6"/>
  <c r="C979" i="6"/>
  <c r="B979" i="6"/>
  <c r="P163" i="6"/>
  <c r="D163" i="6"/>
  <c r="H163" i="6" s="1"/>
  <c r="I163" i="6" s="1"/>
  <c r="F163" i="6"/>
  <c r="Q163" i="6"/>
  <c r="C163" i="6"/>
  <c r="L163" i="6"/>
  <c r="B163" i="6"/>
  <c r="J163" i="6"/>
  <c r="G163" i="6"/>
  <c r="L1308" i="6"/>
  <c r="C1308" i="6"/>
  <c r="F1308" i="6"/>
  <c r="Q1308" i="6"/>
  <c r="D1308" i="6"/>
  <c r="H1308" i="6" s="1"/>
  <c r="I1308" i="6" s="1"/>
  <c r="G1308" i="6"/>
  <c r="B1308" i="6"/>
  <c r="P1308" i="6"/>
  <c r="J1308" i="6"/>
  <c r="P1267" i="6"/>
  <c r="C1267" i="6"/>
  <c r="J1267" i="6"/>
  <c r="G1267" i="6"/>
  <c r="Q1267" i="6"/>
  <c r="L1267" i="6"/>
  <c r="F1267" i="6"/>
  <c r="D1267" i="6"/>
  <c r="H1267" i="6" s="1"/>
  <c r="I1267" i="6" s="1"/>
  <c r="B1267" i="6"/>
  <c r="P443" i="6"/>
  <c r="C443" i="6"/>
  <c r="L443" i="6"/>
  <c r="B443" i="6"/>
  <c r="J443" i="6"/>
  <c r="G443" i="6"/>
  <c r="Q443" i="6"/>
  <c r="F443" i="6"/>
  <c r="D443" i="6"/>
  <c r="H443" i="6" s="1"/>
  <c r="I443" i="6" s="1"/>
  <c r="G356" i="6"/>
  <c r="Q356" i="6"/>
  <c r="D356" i="6"/>
  <c r="H356" i="6" s="1"/>
  <c r="I356" i="6" s="1"/>
  <c r="P356" i="6"/>
  <c r="C356" i="6"/>
  <c r="L356" i="6"/>
  <c r="B356" i="6"/>
  <c r="J356" i="6"/>
  <c r="F356" i="6"/>
  <c r="J231" i="6"/>
  <c r="D231" i="6"/>
  <c r="H231" i="6" s="1"/>
  <c r="I231" i="6" s="1"/>
  <c r="Q231" i="6"/>
  <c r="C231" i="6"/>
  <c r="P231" i="6"/>
  <c r="B231" i="6"/>
  <c r="L231" i="6"/>
  <c r="G231" i="6"/>
  <c r="F231" i="6"/>
  <c r="L1585" i="6"/>
  <c r="C1585" i="6"/>
  <c r="J1585" i="6"/>
  <c r="B1585" i="6"/>
  <c r="D1585" i="6"/>
  <c r="H1585" i="6" s="1"/>
  <c r="I1585" i="6" s="1"/>
  <c r="Q1585" i="6"/>
  <c r="P1585" i="6"/>
  <c r="G1585" i="6"/>
  <c r="F1585" i="6"/>
  <c r="J773" i="6"/>
  <c r="B773" i="6"/>
  <c r="G773" i="6"/>
  <c r="F773" i="6"/>
  <c r="Q773" i="6"/>
  <c r="D773" i="6"/>
  <c r="H773" i="6" s="1"/>
  <c r="I773" i="6" s="1"/>
  <c r="C773" i="6"/>
  <c r="P773" i="6"/>
  <c r="L773" i="6"/>
  <c r="J781" i="6"/>
  <c r="B781" i="6"/>
  <c r="Q781" i="6"/>
  <c r="D781" i="6"/>
  <c r="H781" i="6" s="1"/>
  <c r="I781" i="6" s="1"/>
  <c r="P781" i="6"/>
  <c r="C781" i="6"/>
  <c r="L781" i="6"/>
  <c r="G781" i="6"/>
  <c r="F781" i="6"/>
  <c r="F1451" i="6"/>
  <c r="P1451" i="6"/>
  <c r="C1451" i="6"/>
  <c r="G1451" i="6"/>
  <c r="D1451" i="6"/>
  <c r="H1451" i="6" s="1"/>
  <c r="I1451" i="6" s="1"/>
  <c r="Q1451" i="6"/>
  <c r="B1451" i="6"/>
  <c r="L1451" i="6"/>
  <c r="J1451" i="6"/>
  <c r="P955" i="6"/>
  <c r="D955" i="6"/>
  <c r="H955" i="6" s="1"/>
  <c r="I955" i="6" s="1"/>
  <c r="F955" i="6"/>
  <c r="Q955" i="6"/>
  <c r="C955" i="6"/>
  <c r="L955" i="6"/>
  <c r="B955" i="6"/>
  <c r="J955" i="6"/>
  <c r="G955" i="6"/>
  <c r="J909" i="6"/>
  <c r="B909" i="6"/>
  <c r="G909" i="6"/>
  <c r="F909" i="6"/>
  <c r="Q909" i="6"/>
  <c r="D909" i="6"/>
  <c r="H909" i="6" s="1"/>
  <c r="I909" i="6" s="1"/>
  <c r="P909" i="6"/>
  <c r="C909" i="6"/>
  <c r="L909" i="6"/>
  <c r="F642" i="6"/>
  <c r="D642" i="6"/>
  <c r="H642" i="6" s="1"/>
  <c r="I642" i="6" s="1"/>
  <c r="Q642" i="6"/>
  <c r="C642" i="6"/>
  <c r="P642" i="6"/>
  <c r="B642" i="6"/>
  <c r="L642" i="6"/>
  <c r="J642" i="6"/>
  <c r="G642" i="6"/>
  <c r="F413" i="6"/>
  <c r="G413" i="6"/>
  <c r="D413" i="6"/>
  <c r="H413" i="6" s="1"/>
  <c r="I413" i="6" s="1"/>
  <c r="Q413" i="6"/>
  <c r="C413" i="6"/>
  <c r="P413" i="6"/>
  <c r="B413" i="6"/>
  <c r="L413" i="6"/>
  <c r="J413" i="6"/>
  <c r="J80" i="6"/>
  <c r="B80" i="6"/>
  <c r="G80" i="6"/>
  <c r="F80" i="6"/>
  <c r="Q80" i="6"/>
  <c r="P80" i="6"/>
  <c r="L80" i="6"/>
  <c r="D80" i="6"/>
  <c r="H80" i="6" s="1"/>
  <c r="I80" i="6" s="1"/>
  <c r="C80" i="6"/>
  <c r="P1616" i="6"/>
  <c r="D1616" i="6"/>
  <c r="H1616" i="6" s="1"/>
  <c r="I1616" i="6" s="1"/>
  <c r="F1616" i="6"/>
  <c r="Q1616" i="6"/>
  <c r="C1616" i="6"/>
  <c r="L1616" i="6"/>
  <c r="B1616" i="6"/>
  <c r="G1616" i="6"/>
  <c r="J1616" i="6"/>
  <c r="P1347" i="6"/>
  <c r="D1347" i="6"/>
  <c r="H1347" i="6" s="1"/>
  <c r="I1347" i="6" s="1"/>
  <c r="L1347" i="6"/>
  <c r="C1347" i="6"/>
  <c r="J1347" i="6"/>
  <c r="B1347" i="6"/>
  <c r="Q1347" i="6"/>
  <c r="F1347" i="6"/>
  <c r="G1347" i="6"/>
  <c r="F1041" i="6"/>
  <c r="J1041" i="6"/>
  <c r="D1041" i="6"/>
  <c r="H1041" i="6" s="1"/>
  <c r="I1041" i="6" s="1"/>
  <c r="Q1041" i="6"/>
  <c r="C1041" i="6"/>
  <c r="P1041" i="6"/>
  <c r="B1041" i="6"/>
  <c r="L1041" i="6"/>
  <c r="G1041" i="6"/>
  <c r="J1005" i="6"/>
  <c r="B1005" i="6"/>
  <c r="G1005" i="6"/>
  <c r="F1005" i="6"/>
  <c r="Q1005" i="6"/>
  <c r="D1005" i="6"/>
  <c r="H1005" i="6" s="1"/>
  <c r="I1005" i="6" s="1"/>
  <c r="P1005" i="6"/>
  <c r="C1005" i="6"/>
  <c r="L1005" i="6"/>
  <c r="J1002" i="6"/>
  <c r="G1002" i="6"/>
  <c r="F1002" i="6"/>
  <c r="P1002" i="6"/>
  <c r="L1002" i="6"/>
  <c r="D1002" i="6"/>
  <c r="H1002" i="6" s="1"/>
  <c r="I1002" i="6" s="1"/>
  <c r="C1002" i="6"/>
  <c r="Q1002" i="6"/>
  <c r="B1002" i="6"/>
  <c r="F1400" i="6"/>
  <c r="P1400" i="6"/>
  <c r="C1400" i="6"/>
  <c r="L1400" i="6"/>
  <c r="B1400" i="6"/>
  <c r="J1400" i="6"/>
  <c r="Q1400" i="6"/>
  <c r="G1400" i="6"/>
  <c r="D1400" i="6"/>
  <c r="H1400" i="6" s="1"/>
  <c r="I1400" i="6" s="1"/>
  <c r="G1401" i="6"/>
  <c r="F1401" i="6"/>
  <c r="Q1401" i="6"/>
  <c r="D1401" i="6"/>
  <c r="H1401" i="6" s="1"/>
  <c r="I1401" i="6" s="1"/>
  <c r="B1401" i="6"/>
  <c r="P1401" i="6"/>
  <c r="L1401" i="6"/>
  <c r="J1401" i="6"/>
  <c r="C1401" i="6"/>
  <c r="F217" i="6"/>
  <c r="L217" i="6"/>
  <c r="B217" i="6"/>
  <c r="D217" i="6"/>
  <c r="H217" i="6" s="1"/>
  <c r="I217" i="6" s="1"/>
  <c r="Q217" i="6"/>
  <c r="C217" i="6"/>
  <c r="P217" i="6"/>
  <c r="J217" i="6"/>
  <c r="G217" i="6"/>
  <c r="G218" i="6"/>
  <c r="P218" i="6"/>
  <c r="B218" i="6"/>
  <c r="L218" i="6"/>
  <c r="J218" i="6"/>
  <c r="F218" i="6"/>
  <c r="Q218" i="6"/>
  <c r="D218" i="6"/>
  <c r="H218" i="6" s="1"/>
  <c r="I218" i="6" s="1"/>
  <c r="C218" i="6"/>
  <c r="Q102" i="6"/>
  <c r="L102" i="6"/>
  <c r="C102" i="6"/>
  <c r="J102" i="6"/>
  <c r="B102" i="6"/>
  <c r="G102" i="6"/>
  <c r="P102" i="6"/>
  <c r="F102" i="6"/>
  <c r="D102" i="6"/>
  <c r="H102" i="6" s="1"/>
  <c r="I102" i="6" s="1"/>
  <c r="J717" i="6"/>
  <c r="B717" i="6"/>
  <c r="Q717" i="6"/>
  <c r="D717" i="6"/>
  <c r="H717" i="6" s="1"/>
  <c r="I717" i="6" s="1"/>
  <c r="P717" i="6"/>
  <c r="C717" i="6"/>
  <c r="F717" i="6"/>
  <c r="L717" i="6"/>
  <c r="G717" i="6"/>
  <c r="Q719" i="6"/>
  <c r="D719" i="6"/>
  <c r="H719" i="6" s="1"/>
  <c r="I719" i="6" s="1"/>
  <c r="P719" i="6"/>
  <c r="C719" i="6"/>
  <c r="J719" i="6"/>
  <c r="L719" i="6"/>
  <c r="G719" i="6"/>
  <c r="F719" i="6"/>
  <c r="B719" i="6"/>
  <c r="F1245" i="6"/>
  <c r="G1245" i="6"/>
  <c r="Q1245" i="6"/>
  <c r="D1245" i="6"/>
  <c r="H1245" i="6" s="1"/>
  <c r="I1245" i="6" s="1"/>
  <c r="L1245" i="6"/>
  <c r="B1245" i="6"/>
  <c r="P1245" i="6"/>
  <c r="J1245" i="6"/>
  <c r="C1245" i="6"/>
  <c r="J1231" i="6"/>
  <c r="B1231" i="6"/>
  <c r="Q1231" i="6"/>
  <c r="P1231" i="6"/>
  <c r="L1231" i="6"/>
  <c r="G1231" i="6"/>
  <c r="F1231" i="6"/>
  <c r="D1231" i="6"/>
  <c r="H1231" i="6" s="1"/>
  <c r="I1231" i="6" s="1"/>
  <c r="C1231" i="6"/>
  <c r="Q1664" i="6"/>
  <c r="F1664" i="6"/>
  <c r="L1664" i="6"/>
  <c r="B1664" i="6"/>
  <c r="J1664" i="6"/>
  <c r="G1664" i="6"/>
  <c r="P1664" i="6"/>
  <c r="D1664" i="6"/>
  <c r="H1664" i="6" s="1"/>
  <c r="I1664" i="6" s="1"/>
  <c r="C1664" i="6"/>
  <c r="G1669" i="6"/>
  <c r="P1669" i="6"/>
  <c r="D1669" i="6"/>
  <c r="H1669" i="6" s="1"/>
  <c r="I1669" i="6" s="1"/>
  <c r="Q1669" i="6"/>
  <c r="B1669" i="6"/>
  <c r="J1669" i="6"/>
  <c r="C1669" i="6"/>
  <c r="L1669" i="6"/>
  <c r="F1669" i="6"/>
  <c r="P819" i="6"/>
  <c r="D819" i="6"/>
  <c r="H819" i="6" s="1"/>
  <c r="I819" i="6" s="1"/>
  <c r="G819" i="6"/>
  <c r="F819" i="6"/>
  <c r="Q819" i="6"/>
  <c r="C819" i="6"/>
  <c r="L819" i="6"/>
  <c r="B819" i="6"/>
  <c r="J819" i="6"/>
  <c r="J813" i="6"/>
  <c r="B813" i="6"/>
  <c r="Q813" i="6"/>
  <c r="D813" i="6"/>
  <c r="H813" i="6" s="1"/>
  <c r="I813" i="6" s="1"/>
  <c r="P813" i="6"/>
  <c r="C813" i="6"/>
  <c r="L813" i="6"/>
  <c r="G813" i="6"/>
  <c r="F813" i="6"/>
  <c r="G536" i="6"/>
  <c r="Q536" i="6"/>
  <c r="D536" i="6"/>
  <c r="H536" i="6" s="1"/>
  <c r="I536" i="6" s="1"/>
  <c r="P536" i="6"/>
  <c r="C536" i="6"/>
  <c r="L536" i="6"/>
  <c r="B536" i="6"/>
  <c r="J536" i="6"/>
  <c r="F536" i="6"/>
  <c r="G542" i="6"/>
  <c r="F542" i="6"/>
  <c r="Q542" i="6"/>
  <c r="D542" i="6"/>
  <c r="H542" i="6" s="1"/>
  <c r="I542" i="6" s="1"/>
  <c r="P542" i="6"/>
  <c r="C542" i="6"/>
  <c r="L542" i="6"/>
  <c r="J542" i="6"/>
  <c r="B542" i="6"/>
  <c r="F289" i="6"/>
  <c r="G289" i="6"/>
  <c r="Q289" i="6"/>
  <c r="D289" i="6"/>
  <c r="H289" i="6" s="1"/>
  <c r="I289" i="6" s="1"/>
  <c r="P289" i="6"/>
  <c r="C289" i="6"/>
  <c r="L289" i="6"/>
  <c r="B289" i="6"/>
  <c r="J289" i="6"/>
  <c r="P283" i="6"/>
  <c r="D283" i="6"/>
  <c r="H283" i="6" s="1"/>
  <c r="I283" i="6" s="1"/>
  <c r="Q283" i="6"/>
  <c r="C283" i="6"/>
  <c r="L283" i="6"/>
  <c r="B283" i="6"/>
  <c r="J283" i="6"/>
  <c r="G283" i="6"/>
  <c r="F283" i="6"/>
  <c r="G1695" i="6"/>
  <c r="Q1695" i="6"/>
  <c r="J1695" i="6"/>
  <c r="B1695" i="6"/>
  <c r="D1695" i="6"/>
  <c r="H1695" i="6" s="1"/>
  <c r="I1695" i="6" s="1"/>
  <c r="C1695" i="6"/>
  <c r="P1695" i="6"/>
  <c r="L1695" i="6"/>
  <c r="F1695" i="6"/>
  <c r="P1565" i="6"/>
  <c r="D1565" i="6"/>
  <c r="H1565" i="6" s="1"/>
  <c r="I1565" i="6" s="1"/>
  <c r="G1565" i="6"/>
  <c r="F1565" i="6"/>
  <c r="Q1565" i="6"/>
  <c r="C1565" i="6"/>
  <c r="L1565" i="6"/>
  <c r="J1565" i="6"/>
  <c r="B1565" i="6"/>
  <c r="P1501" i="6"/>
  <c r="D1501" i="6"/>
  <c r="H1501" i="6" s="1"/>
  <c r="I1501" i="6" s="1"/>
  <c r="Q1501" i="6"/>
  <c r="C1501" i="6"/>
  <c r="L1501" i="6"/>
  <c r="B1501" i="6"/>
  <c r="J1501" i="6"/>
  <c r="G1501" i="6"/>
  <c r="F1501" i="6"/>
  <c r="Q1350" i="6"/>
  <c r="P1350" i="6"/>
  <c r="D1350" i="6"/>
  <c r="H1350" i="6" s="1"/>
  <c r="I1350" i="6" s="1"/>
  <c r="L1350" i="6"/>
  <c r="C1350" i="6"/>
  <c r="J1350" i="6"/>
  <c r="B1350" i="6"/>
  <c r="G1350" i="6"/>
  <c r="F1350" i="6"/>
  <c r="P1221" i="6"/>
  <c r="D1221" i="6"/>
  <c r="H1221" i="6" s="1"/>
  <c r="I1221" i="6" s="1"/>
  <c r="L1221" i="6"/>
  <c r="C1221" i="6"/>
  <c r="J1221" i="6"/>
  <c r="B1221" i="6"/>
  <c r="G1221" i="6"/>
  <c r="F1221" i="6"/>
  <c r="Q1221" i="6"/>
  <c r="L1146" i="6"/>
  <c r="C1146" i="6"/>
  <c r="J1146" i="6"/>
  <c r="B1146" i="6"/>
  <c r="D1146" i="6"/>
  <c r="H1146" i="6" s="1"/>
  <c r="I1146" i="6" s="1"/>
  <c r="Q1146" i="6"/>
  <c r="P1146" i="6"/>
  <c r="G1146" i="6"/>
  <c r="F1146" i="6"/>
  <c r="Q1022" i="6"/>
  <c r="P1022" i="6"/>
  <c r="D1022" i="6"/>
  <c r="H1022" i="6" s="1"/>
  <c r="I1022" i="6" s="1"/>
  <c r="G1022" i="6"/>
  <c r="F1022" i="6"/>
  <c r="C1022" i="6"/>
  <c r="L1022" i="6"/>
  <c r="B1022" i="6"/>
  <c r="J1022" i="6"/>
  <c r="J1603" i="6"/>
  <c r="B1603" i="6"/>
  <c r="G1603" i="6"/>
  <c r="F1603" i="6"/>
  <c r="Q1603" i="6"/>
  <c r="D1603" i="6"/>
  <c r="H1603" i="6" s="1"/>
  <c r="I1603" i="6" s="1"/>
  <c r="P1603" i="6"/>
  <c r="L1603" i="6"/>
  <c r="C1603" i="6"/>
  <c r="J1471" i="6"/>
  <c r="B1471" i="6"/>
  <c r="F1471" i="6"/>
  <c r="Q1471" i="6"/>
  <c r="D1471" i="6"/>
  <c r="H1471" i="6" s="1"/>
  <c r="I1471" i="6" s="1"/>
  <c r="P1471" i="6"/>
  <c r="C1471" i="6"/>
  <c r="G1471" i="6"/>
  <c r="L1471" i="6"/>
  <c r="G1174" i="6"/>
  <c r="F1174" i="6"/>
  <c r="Q1174" i="6"/>
  <c r="D1174" i="6"/>
  <c r="H1174" i="6" s="1"/>
  <c r="I1174" i="6" s="1"/>
  <c r="C1174" i="6"/>
  <c r="P1174" i="6"/>
  <c r="B1174" i="6"/>
  <c r="L1174" i="6"/>
  <c r="J1174" i="6"/>
  <c r="J1045" i="6"/>
  <c r="B1045" i="6"/>
  <c r="Q1045" i="6"/>
  <c r="D1045" i="6"/>
  <c r="H1045" i="6" s="1"/>
  <c r="I1045" i="6" s="1"/>
  <c r="C1045" i="6"/>
  <c r="P1045" i="6"/>
  <c r="L1045" i="6"/>
  <c r="G1045" i="6"/>
  <c r="F1045" i="6"/>
  <c r="Q962" i="6"/>
  <c r="D962" i="6"/>
  <c r="H962" i="6" s="1"/>
  <c r="I962" i="6" s="1"/>
  <c r="P962" i="6"/>
  <c r="C962" i="6"/>
  <c r="L962" i="6"/>
  <c r="B962" i="6"/>
  <c r="J962" i="6"/>
  <c r="G962" i="6"/>
  <c r="F962" i="6"/>
  <c r="P835" i="6"/>
  <c r="D835" i="6"/>
  <c r="H835" i="6" s="1"/>
  <c r="I835" i="6" s="1"/>
  <c r="G835" i="6"/>
  <c r="F835" i="6"/>
  <c r="Q835" i="6"/>
  <c r="C835" i="6"/>
  <c r="L835" i="6"/>
  <c r="B835" i="6"/>
  <c r="J835" i="6"/>
  <c r="P763" i="6"/>
  <c r="D763" i="6"/>
  <c r="H763" i="6" s="1"/>
  <c r="I763" i="6" s="1"/>
  <c r="L763" i="6"/>
  <c r="B763" i="6"/>
  <c r="J763" i="6"/>
  <c r="G763" i="6"/>
  <c r="Q763" i="6"/>
  <c r="F763" i="6"/>
  <c r="C763" i="6"/>
  <c r="Q630" i="6"/>
  <c r="G630" i="6"/>
  <c r="F630" i="6"/>
  <c r="D630" i="6"/>
  <c r="H630" i="6" s="1"/>
  <c r="I630" i="6" s="1"/>
  <c r="P630" i="6"/>
  <c r="C630" i="6"/>
  <c r="B630" i="6"/>
  <c r="L630" i="6"/>
  <c r="J630" i="6"/>
  <c r="Q562" i="6"/>
  <c r="G562" i="6"/>
  <c r="F562" i="6"/>
  <c r="D562" i="6"/>
  <c r="H562" i="6" s="1"/>
  <c r="I562" i="6" s="1"/>
  <c r="C562" i="6"/>
  <c r="B562" i="6"/>
  <c r="J562" i="6"/>
  <c r="P562" i="6"/>
  <c r="L562" i="6"/>
  <c r="P423" i="6"/>
  <c r="D423" i="6"/>
  <c r="H423" i="6" s="1"/>
  <c r="I423" i="6" s="1"/>
  <c r="Q423" i="6"/>
  <c r="C423" i="6"/>
  <c r="J423" i="6"/>
  <c r="G423" i="6"/>
  <c r="F423" i="6"/>
  <c r="L423" i="6"/>
  <c r="B423" i="6"/>
  <c r="G1677" i="6"/>
  <c r="P1677" i="6"/>
  <c r="D1677" i="6"/>
  <c r="H1677" i="6" s="1"/>
  <c r="I1677" i="6" s="1"/>
  <c r="F1677" i="6"/>
  <c r="C1677" i="6"/>
  <c r="Q1677" i="6"/>
  <c r="L1677" i="6"/>
  <c r="J1677" i="6"/>
  <c r="B1677" i="6"/>
  <c r="Q1381" i="6"/>
  <c r="F1381" i="6"/>
  <c r="P1381" i="6"/>
  <c r="D1381" i="6"/>
  <c r="H1381" i="6" s="1"/>
  <c r="I1381" i="6" s="1"/>
  <c r="L1381" i="6"/>
  <c r="C1381" i="6"/>
  <c r="J1381" i="6"/>
  <c r="B1381" i="6"/>
  <c r="G1381" i="6"/>
  <c r="J1259" i="6"/>
  <c r="G1259" i="6"/>
  <c r="L1259" i="6"/>
  <c r="F1259" i="6"/>
  <c r="D1259" i="6"/>
  <c r="H1259" i="6" s="1"/>
  <c r="I1259" i="6" s="1"/>
  <c r="Q1259" i="6"/>
  <c r="P1259" i="6"/>
  <c r="C1259" i="6"/>
  <c r="B1259" i="6"/>
  <c r="G1137" i="6"/>
  <c r="F1137" i="6"/>
  <c r="L1137" i="6"/>
  <c r="J1137" i="6"/>
  <c r="D1137" i="6"/>
  <c r="H1137" i="6" s="1"/>
  <c r="I1137" i="6" s="1"/>
  <c r="P1137" i="6"/>
  <c r="C1137" i="6"/>
  <c r="B1137" i="6"/>
  <c r="Q1137" i="6"/>
  <c r="F185" i="6"/>
  <c r="G185" i="6"/>
  <c r="Q185" i="6"/>
  <c r="D185" i="6"/>
  <c r="H185" i="6" s="1"/>
  <c r="I185" i="6" s="1"/>
  <c r="C185" i="6"/>
  <c r="B185" i="6"/>
  <c r="P185" i="6"/>
  <c r="J185" i="6"/>
  <c r="L185" i="6"/>
  <c r="J1329" i="6"/>
  <c r="B1329" i="6"/>
  <c r="Q1329" i="6"/>
  <c r="D1329" i="6"/>
  <c r="H1329" i="6" s="1"/>
  <c r="I1329" i="6" s="1"/>
  <c r="P1329" i="6"/>
  <c r="C1329" i="6"/>
  <c r="G1329" i="6"/>
  <c r="F1329" i="6"/>
  <c r="L1329" i="6"/>
  <c r="Q1208" i="6"/>
  <c r="P1208" i="6"/>
  <c r="D1208" i="6"/>
  <c r="H1208" i="6" s="1"/>
  <c r="I1208" i="6" s="1"/>
  <c r="L1208" i="6"/>
  <c r="C1208" i="6"/>
  <c r="F1208" i="6"/>
  <c r="B1208" i="6"/>
  <c r="J1208" i="6"/>
  <c r="G1208" i="6"/>
  <c r="F929" i="6"/>
  <c r="G929" i="6"/>
  <c r="Q929" i="6"/>
  <c r="D929" i="6"/>
  <c r="H929" i="6" s="1"/>
  <c r="I929" i="6" s="1"/>
  <c r="B929" i="6"/>
  <c r="P929" i="6"/>
  <c r="L929" i="6"/>
  <c r="J929" i="6"/>
  <c r="C929" i="6"/>
  <c r="G870" i="6"/>
  <c r="F870" i="6"/>
  <c r="Q870" i="6"/>
  <c r="L870" i="6"/>
  <c r="J870" i="6"/>
  <c r="D870" i="6"/>
  <c r="H870" i="6" s="1"/>
  <c r="I870" i="6" s="1"/>
  <c r="C870" i="6"/>
  <c r="P870" i="6"/>
  <c r="B870" i="6"/>
  <c r="G732" i="6"/>
  <c r="F732" i="6"/>
  <c r="Q732" i="6"/>
  <c r="D732" i="6"/>
  <c r="H732" i="6" s="1"/>
  <c r="I732" i="6" s="1"/>
  <c r="P732" i="6"/>
  <c r="C732" i="6"/>
  <c r="L732" i="6"/>
  <c r="J732" i="6"/>
  <c r="B732" i="6"/>
  <c r="J593" i="6"/>
  <c r="B593" i="6"/>
  <c r="Q593" i="6"/>
  <c r="D593" i="6"/>
  <c r="H593" i="6" s="1"/>
  <c r="I593" i="6" s="1"/>
  <c r="P593" i="6"/>
  <c r="C593" i="6"/>
  <c r="L593" i="6"/>
  <c r="G593" i="6"/>
  <c r="F593" i="6"/>
  <c r="G394" i="6"/>
  <c r="F394" i="6"/>
  <c r="Q394" i="6"/>
  <c r="D394" i="6"/>
  <c r="H394" i="6" s="1"/>
  <c r="I394" i="6" s="1"/>
  <c r="P394" i="6"/>
  <c r="C394" i="6"/>
  <c r="L394" i="6"/>
  <c r="J394" i="6"/>
  <c r="B394" i="6"/>
  <c r="Q182" i="6"/>
  <c r="L182" i="6"/>
  <c r="C182" i="6"/>
  <c r="J182" i="6"/>
  <c r="B182" i="6"/>
  <c r="G182" i="6"/>
  <c r="D182" i="6"/>
  <c r="H182" i="6" s="1"/>
  <c r="I182" i="6" s="1"/>
  <c r="P182" i="6"/>
  <c r="F182" i="6"/>
  <c r="J114" i="6"/>
  <c r="G114" i="6"/>
  <c r="F114" i="6"/>
  <c r="P114" i="6"/>
  <c r="L114" i="6"/>
  <c r="D114" i="6"/>
  <c r="H114" i="6" s="1"/>
  <c r="I114" i="6" s="1"/>
  <c r="C114" i="6"/>
  <c r="Q114" i="6"/>
  <c r="B114" i="6"/>
  <c r="L1096" i="6"/>
  <c r="C1096" i="6"/>
  <c r="J1096" i="6"/>
  <c r="B1096" i="6"/>
  <c r="G1096" i="6"/>
  <c r="Q1096" i="6"/>
  <c r="P1096" i="6"/>
  <c r="F1096" i="6"/>
  <c r="D1096" i="6"/>
  <c r="H1096" i="6" s="1"/>
  <c r="I1096" i="6" s="1"/>
  <c r="F573" i="6"/>
  <c r="L573" i="6"/>
  <c r="B573" i="6"/>
  <c r="J573" i="6"/>
  <c r="G573" i="6"/>
  <c r="P573" i="6"/>
  <c r="D573" i="6"/>
  <c r="H573" i="6" s="1"/>
  <c r="I573" i="6" s="1"/>
  <c r="C573" i="6"/>
  <c r="Q573" i="6"/>
  <c r="Q1389" i="6"/>
  <c r="J1389" i="6"/>
  <c r="B1389" i="6"/>
  <c r="G1389" i="6"/>
  <c r="F1389" i="6"/>
  <c r="D1389" i="6"/>
  <c r="H1389" i="6" s="1"/>
  <c r="I1389" i="6" s="1"/>
  <c r="C1389" i="6"/>
  <c r="P1389" i="6"/>
  <c r="L1389" i="6"/>
  <c r="G1185" i="6"/>
  <c r="F1185" i="6"/>
  <c r="L1185" i="6"/>
  <c r="J1185" i="6"/>
  <c r="D1185" i="6"/>
  <c r="H1185" i="6" s="1"/>
  <c r="I1185" i="6" s="1"/>
  <c r="Q1185" i="6"/>
  <c r="P1185" i="6"/>
  <c r="C1185" i="6"/>
  <c r="B1185" i="6"/>
  <c r="Q978" i="6"/>
  <c r="D978" i="6"/>
  <c r="H978" i="6" s="1"/>
  <c r="I978" i="6" s="1"/>
  <c r="P978" i="6"/>
  <c r="C978" i="6"/>
  <c r="L978" i="6"/>
  <c r="B978" i="6"/>
  <c r="J978" i="6"/>
  <c r="G978" i="6"/>
  <c r="F978" i="6"/>
  <c r="J499" i="6"/>
  <c r="D499" i="6"/>
  <c r="H499" i="6" s="1"/>
  <c r="I499" i="6" s="1"/>
  <c r="Q499" i="6"/>
  <c r="C499" i="6"/>
  <c r="P499" i="6"/>
  <c r="B499" i="6"/>
  <c r="L499" i="6"/>
  <c r="G499" i="6"/>
  <c r="F499" i="6"/>
  <c r="P1302" i="6"/>
  <c r="C1302" i="6"/>
  <c r="J1302" i="6"/>
  <c r="B1302" i="6"/>
  <c r="Q1302" i="6"/>
  <c r="L1302" i="6"/>
  <c r="G1302" i="6"/>
  <c r="D1302" i="6"/>
  <c r="H1302" i="6" s="1"/>
  <c r="I1302" i="6" s="1"/>
  <c r="F1302" i="6"/>
  <c r="P347" i="6"/>
  <c r="D347" i="6"/>
  <c r="H347" i="6" s="1"/>
  <c r="I347" i="6" s="1"/>
  <c r="Q347" i="6"/>
  <c r="C347" i="6"/>
  <c r="L347" i="6"/>
  <c r="B347" i="6"/>
  <c r="J347" i="6"/>
  <c r="G347" i="6"/>
  <c r="F347" i="6"/>
  <c r="Q238" i="6"/>
  <c r="D238" i="6"/>
  <c r="H238" i="6" s="1"/>
  <c r="I238" i="6" s="1"/>
  <c r="P238" i="6"/>
  <c r="C238" i="6"/>
  <c r="L238" i="6"/>
  <c r="B238" i="6"/>
  <c r="J238" i="6"/>
  <c r="F238" i="6"/>
  <c r="G238" i="6"/>
  <c r="J1575" i="6"/>
  <c r="B1575" i="6"/>
  <c r="Q1575" i="6"/>
  <c r="D1575" i="6"/>
  <c r="H1575" i="6" s="1"/>
  <c r="I1575" i="6" s="1"/>
  <c r="P1575" i="6"/>
  <c r="C1575" i="6"/>
  <c r="L1575" i="6"/>
  <c r="G1575" i="6"/>
  <c r="F1575" i="6"/>
  <c r="F1515" i="6"/>
  <c r="G1515" i="6"/>
  <c r="Q1515" i="6"/>
  <c r="D1515" i="6"/>
  <c r="H1515" i="6" s="1"/>
  <c r="I1515" i="6" s="1"/>
  <c r="P1515" i="6"/>
  <c r="C1515" i="6"/>
  <c r="L1515" i="6"/>
  <c r="B1515" i="6"/>
  <c r="J1515" i="6"/>
  <c r="G775" i="6"/>
  <c r="F775" i="6"/>
  <c r="Q775" i="6"/>
  <c r="D775" i="6"/>
  <c r="H775" i="6" s="1"/>
  <c r="I775" i="6" s="1"/>
  <c r="C775" i="6"/>
  <c r="B775" i="6"/>
  <c r="P775" i="6"/>
  <c r="J775" i="6"/>
  <c r="L775" i="6"/>
  <c r="P779" i="6"/>
  <c r="D779" i="6"/>
  <c r="H779" i="6" s="1"/>
  <c r="I779" i="6" s="1"/>
  <c r="L779" i="6"/>
  <c r="B779" i="6"/>
  <c r="J779" i="6"/>
  <c r="G779" i="6"/>
  <c r="Q779" i="6"/>
  <c r="F779" i="6"/>
  <c r="C779" i="6"/>
  <c r="F1457" i="6"/>
  <c r="L1457" i="6"/>
  <c r="J1457" i="6"/>
  <c r="G1457" i="6"/>
  <c r="D1457" i="6"/>
  <c r="H1457" i="6" s="1"/>
  <c r="I1457" i="6" s="1"/>
  <c r="C1457" i="6"/>
  <c r="B1457" i="6"/>
  <c r="Q1457" i="6"/>
  <c r="P1457" i="6"/>
  <c r="J954" i="6"/>
  <c r="G954" i="6"/>
  <c r="F954" i="6"/>
  <c r="Q954" i="6"/>
  <c r="P954" i="6"/>
  <c r="L954" i="6"/>
  <c r="D954" i="6"/>
  <c r="H954" i="6" s="1"/>
  <c r="I954" i="6" s="1"/>
  <c r="C954" i="6"/>
  <c r="B954" i="6"/>
  <c r="J917" i="6"/>
  <c r="B917" i="6"/>
  <c r="P917" i="6"/>
  <c r="C917" i="6"/>
  <c r="L917" i="6"/>
  <c r="G917" i="6"/>
  <c r="F917" i="6"/>
  <c r="D917" i="6"/>
  <c r="H917" i="6" s="1"/>
  <c r="I917" i="6" s="1"/>
  <c r="Q917" i="6"/>
  <c r="P683" i="6"/>
  <c r="D683" i="6"/>
  <c r="H683" i="6" s="1"/>
  <c r="I683" i="6" s="1"/>
  <c r="G683" i="6"/>
  <c r="Q683" i="6"/>
  <c r="B683" i="6"/>
  <c r="L683" i="6"/>
  <c r="J683" i="6"/>
  <c r="F683" i="6"/>
  <c r="C683" i="6"/>
  <c r="L650" i="6"/>
  <c r="B650" i="6"/>
  <c r="Q650" i="6"/>
  <c r="C650" i="6"/>
  <c r="P650" i="6"/>
  <c r="J650" i="6"/>
  <c r="G650" i="6"/>
  <c r="D650" i="6"/>
  <c r="H650" i="6" s="1"/>
  <c r="I650" i="6" s="1"/>
  <c r="F650" i="6"/>
  <c r="L128" i="6"/>
  <c r="C128" i="6"/>
  <c r="G128" i="6"/>
  <c r="F128" i="6"/>
  <c r="Q128" i="6"/>
  <c r="D128" i="6"/>
  <c r="H128" i="6" s="1"/>
  <c r="I128" i="6" s="1"/>
  <c r="P128" i="6"/>
  <c r="J128" i="6"/>
  <c r="B128" i="6"/>
  <c r="G77" i="6"/>
  <c r="F77" i="6"/>
  <c r="Q77" i="6"/>
  <c r="P77" i="6"/>
  <c r="L77" i="6"/>
  <c r="J77" i="6"/>
  <c r="B77" i="6"/>
  <c r="D77" i="6"/>
  <c r="H77" i="6" s="1"/>
  <c r="I77" i="6" s="1"/>
  <c r="C77" i="6"/>
  <c r="J1641" i="6"/>
  <c r="G1641" i="6"/>
  <c r="F1641" i="6"/>
  <c r="Q1641" i="6"/>
  <c r="P1641" i="6"/>
  <c r="L1641" i="6"/>
  <c r="B1641" i="6"/>
  <c r="D1641" i="6"/>
  <c r="H1641" i="6" s="1"/>
  <c r="I1641" i="6" s="1"/>
  <c r="C1641" i="6"/>
  <c r="Q1611" i="6"/>
  <c r="P1611" i="6"/>
  <c r="D1611" i="6"/>
  <c r="H1611" i="6" s="1"/>
  <c r="I1611" i="6" s="1"/>
  <c r="L1611" i="6"/>
  <c r="C1611" i="6"/>
  <c r="J1611" i="6"/>
  <c r="B1611" i="6"/>
  <c r="G1611" i="6"/>
  <c r="F1611" i="6"/>
  <c r="G1332" i="6"/>
  <c r="Q1332" i="6"/>
  <c r="P1332" i="6"/>
  <c r="D1332" i="6"/>
  <c r="H1332" i="6" s="1"/>
  <c r="I1332" i="6" s="1"/>
  <c r="L1332" i="6"/>
  <c r="C1332" i="6"/>
  <c r="B1332" i="6"/>
  <c r="J1332" i="6"/>
  <c r="F1332" i="6"/>
  <c r="F1026" i="6"/>
  <c r="D1026" i="6"/>
  <c r="H1026" i="6" s="1"/>
  <c r="I1026" i="6" s="1"/>
  <c r="Q1026" i="6"/>
  <c r="C1026" i="6"/>
  <c r="P1026" i="6"/>
  <c r="B1026" i="6"/>
  <c r="L1026" i="6"/>
  <c r="J1026" i="6"/>
  <c r="G1026" i="6"/>
  <c r="F1413" i="6"/>
  <c r="J1413" i="6"/>
  <c r="G1413" i="6"/>
  <c r="D1413" i="6"/>
  <c r="H1413" i="6" s="1"/>
  <c r="I1413" i="6" s="1"/>
  <c r="B1413" i="6"/>
  <c r="Q1413" i="6"/>
  <c r="P1413" i="6"/>
  <c r="C1413" i="6"/>
  <c r="L1413" i="6"/>
  <c r="G340" i="6"/>
  <c r="Q340" i="6"/>
  <c r="D340" i="6"/>
  <c r="H340" i="6" s="1"/>
  <c r="I340" i="6" s="1"/>
  <c r="P340" i="6"/>
  <c r="C340" i="6"/>
  <c r="L340" i="6"/>
  <c r="B340" i="6"/>
  <c r="J340" i="6"/>
  <c r="F340" i="6"/>
  <c r="J221" i="6"/>
  <c r="B221" i="6"/>
  <c r="Q221" i="6"/>
  <c r="D221" i="6"/>
  <c r="H221" i="6" s="1"/>
  <c r="I221" i="6" s="1"/>
  <c r="P221" i="6"/>
  <c r="C221" i="6"/>
  <c r="L221" i="6"/>
  <c r="G221" i="6"/>
  <c r="F221" i="6"/>
  <c r="P226" i="6"/>
  <c r="C226" i="6"/>
  <c r="G226" i="6"/>
  <c r="F226" i="6"/>
  <c r="D226" i="6"/>
  <c r="H226" i="6" s="1"/>
  <c r="I226" i="6" s="1"/>
  <c r="Q226" i="6"/>
  <c r="L226" i="6"/>
  <c r="J226" i="6"/>
  <c r="B226" i="6"/>
  <c r="L96" i="6"/>
  <c r="C96" i="6"/>
  <c r="G96" i="6"/>
  <c r="F96" i="6"/>
  <c r="Q96" i="6"/>
  <c r="D96" i="6"/>
  <c r="H96" i="6" s="1"/>
  <c r="I96" i="6" s="1"/>
  <c r="J96" i="6"/>
  <c r="B96" i="6"/>
  <c r="P96" i="6"/>
  <c r="L704" i="6"/>
  <c r="C704" i="6"/>
  <c r="F704" i="6"/>
  <c r="B704" i="6"/>
  <c r="Q704" i="6"/>
  <c r="P704" i="6"/>
  <c r="J704" i="6"/>
  <c r="G704" i="6"/>
  <c r="D704" i="6"/>
  <c r="H704" i="6" s="1"/>
  <c r="I704" i="6" s="1"/>
  <c r="P715" i="6"/>
  <c r="D715" i="6"/>
  <c r="H715" i="6" s="1"/>
  <c r="I715" i="6" s="1"/>
  <c r="L715" i="6"/>
  <c r="B715" i="6"/>
  <c r="J715" i="6"/>
  <c r="G715" i="6"/>
  <c r="Q715" i="6"/>
  <c r="F715" i="6"/>
  <c r="C715" i="6"/>
  <c r="F1235" i="6"/>
  <c r="Q1235" i="6"/>
  <c r="P1235" i="6"/>
  <c r="D1235" i="6"/>
  <c r="H1235" i="6" s="1"/>
  <c r="I1235" i="6" s="1"/>
  <c r="G1235" i="6"/>
  <c r="C1235" i="6"/>
  <c r="J1235" i="6"/>
  <c r="B1235" i="6"/>
  <c r="L1235" i="6"/>
  <c r="G1236" i="6"/>
  <c r="J1236" i="6"/>
  <c r="F1236" i="6"/>
  <c r="D1236" i="6"/>
  <c r="H1236" i="6" s="1"/>
  <c r="I1236" i="6" s="1"/>
  <c r="C1236" i="6"/>
  <c r="Q1236" i="6"/>
  <c r="P1236" i="6"/>
  <c r="L1236" i="6"/>
  <c r="B1236" i="6"/>
  <c r="L1657" i="6"/>
  <c r="C1657" i="6"/>
  <c r="D1657" i="6"/>
  <c r="H1657" i="6" s="1"/>
  <c r="I1657" i="6" s="1"/>
  <c r="P1657" i="6"/>
  <c r="J1657" i="6"/>
  <c r="G1657" i="6"/>
  <c r="B1657" i="6"/>
  <c r="Q1657" i="6"/>
  <c r="F1657" i="6"/>
  <c r="F1658" i="6"/>
  <c r="L1658" i="6"/>
  <c r="C1658" i="6"/>
  <c r="P1658" i="6"/>
  <c r="J1658" i="6"/>
  <c r="G1658" i="6"/>
  <c r="Q1658" i="6"/>
  <c r="B1658" i="6"/>
  <c r="D1658" i="6"/>
  <c r="H1658" i="6" s="1"/>
  <c r="I1658" i="6" s="1"/>
  <c r="G807" i="6"/>
  <c r="F807" i="6"/>
  <c r="Q807" i="6"/>
  <c r="D807" i="6"/>
  <c r="H807" i="6" s="1"/>
  <c r="I807" i="6" s="1"/>
  <c r="J807" i="6"/>
  <c r="C807" i="6"/>
  <c r="B807" i="6"/>
  <c r="P807" i="6"/>
  <c r="L807" i="6"/>
  <c r="G820" i="6"/>
  <c r="P820" i="6"/>
  <c r="C820" i="6"/>
  <c r="L820" i="6"/>
  <c r="B820" i="6"/>
  <c r="J820" i="6"/>
  <c r="F820" i="6"/>
  <c r="D820" i="6"/>
  <c r="H820" i="6" s="1"/>
  <c r="I820" i="6" s="1"/>
  <c r="Q820" i="6"/>
  <c r="G544" i="6"/>
  <c r="F544" i="6"/>
  <c r="Q544" i="6"/>
  <c r="D544" i="6"/>
  <c r="H544" i="6" s="1"/>
  <c r="I544" i="6" s="1"/>
  <c r="P544" i="6"/>
  <c r="L544" i="6"/>
  <c r="J544" i="6"/>
  <c r="C544" i="6"/>
  <c r="B544" i="6"/>
  <c r="F533" i="6"/>
  <c r="G533" i="6"/>
  <c r="Q533" i="6"/>
  <c r="D533" i="6"/>
  <c r="H533" i="6" s="1"/>
  <c r="I533" i="6" s="1"/>
  <c r="P533" i="6"/>
  <c r="C533" i="6"/>
  <c r="L533" i="6"/>
  <c r="B533" i="6"/>
  <c r="J533" i="6"/>
  <c r="J545" i="6"/>
  <c r="B545" i="6"/>
  <c r="Q545" i="6"/>
  <c r="D545" i="6"/>
  <c r="H545" i="6" s="1"/>
  <c r="I545" i="6" s="1"/>
  <c r="P545" i="6"/>
  <c r="C545" i="6"/>
  <c r="L545" i="6"/>
  <c r="G545" i="6"/>
  <c r="F545" i="6"/>
  <c r="P291" i="6"/>
  <c r="D291" i="6"/>
  <c r="H291" i="6" s="1"/>
  <c r="I291" i="6" s="1"/>
  <c r="G291" i="6"/>
  <c r="F291" i="6"/>
  <c r="Q291" i="6"/>
  <c r="C291" i="6"/>
  <c r="B291" i="6"/>
  <c r="L291" i="6"/>
  <c r="J291" i="6"/>
  <c r="F281" i="6"/>
  <c r="L281" i="6"/>
  <c r="B281" i="6"/>
  <c r="J281" i="6"/>
  <c r="G281" i="6"/>
  <c r="D281" i="6"/>
  <c r="H281" i="6" s="1"/>
  <c r="I281" i="6" s="1"/>
  <c r="C281" i="6"/>
  <c r="Q281" i="6"/>
  <c r="P281" i="6"/>
  <c r="L1691" i="6"/>
  <c r="C1691" i="6"/>
  <c r="F1691" i="6"/>
  <c r="G1691" i="6"/>
  <c r="D1691" i="6"/>
  <c r="H1691" i="6" s="1"/>
  <c r="I1691" i="6" s="1"/>
  <c r="Q1691" i="6"/>
  <c r="P1691" i="6"/>
  <c r="J1691" i="6"/>
  <c r="B1691" i="6"/>
  <c r="Q1560" i="6"/>
  <c r="G1560" i="6"/>
  <c r="F1560" i="6"/>
  <c r="J1560" i="6"/>
  <c r="D1560" i="6"/>
  <c r="H1560" i="6" s="1"/>
  <c r="I1560" i="6" s="1"/>
  <c r="C1560" i="6"/>
  <c r="P1560" i="6"/>
  <c r="L1560" i="6"/>
  <c r="B1560" i="6"/>
  <c r="Q1496" i="6"/>
  <c r="F1496" i="6"/>
  <c r="P1496" i="6"/>
  <c r="D1496" i="6"/>
  <c r="H1496" i="6" s="1"/>
  <c r="I1496" i="6" s="1"/>
  <c r="L1496" i="6"/>
  <c r="C1496" i="6"/>
  <c r="J1496" i="6"/>
  <c r="G1496" i="6"/>
  <c r="B1496" i="6"/>
  <c r="Q1419" i="6"/>
  <c r="D1419" i="6"/>
  <c r="H1419" i="6" s="1"/>
  <c r="I1419" i="6" s="1"/>
  <c r="C1419" i="6"/>
  <c r="P1419" i="6"/>
  <c r="B1419" i="6"/>
  <c r="L1419" i="6"/>
  <c r="J1419" i="6"/>
  <c r="G1419" i="6"/>
  <c r="F1419" i="6"/>
  <c r="J1291" i="6"/>
  <c r="G1291" i="6"/>
  <c r="D1291" i="6"/>
  <c r="H1291" i="6" s="1"/>
  <c r="I1291" i="6" s="1"/>
  <c r="C1291" i="6"/>
  <c r="Q1291" i="6"/>
  <c r="B1291" i="6"/>
  <c r="L1291" i="6"/>
  <c r="P1291" i="6"/>
  <c r="F1291" i="6"/>
  <c r="P1157" i="6"/>
  <c r="D1157" i="6"/>
  <c r="H1157" i="6" s="1"/>
  <c r="I1157" i="6" s="1"/>
  <c r="L1157" i="6"/>
  <c r="C1157" i="6"/>
  <c r="J1157" i="6"/>
  <c r="B1157" i="6"/>
  <c r="G1157" i="6"/>
  <c r="F1157" i="6"/>
  <c r="Q1157" i="6"/>
  <c r="L1088" i="6"/>
  <c r="C1088" i="6"/>
  <c r="J1088" i="6"/>
  <c r="B1088" i="6"/>
  <c r="G1088" i="6"/>
  <c r="F1088" i="6"/>
  <c r="D1088" i="6"/>
  <c r="H1088" i="6" s="1"/>
  <c r="I1088" i="6" s="1"/>
  <c r="P1088" i="6"/>
  <c r="Q1088" i="6"/>
  <c r="G1589" i="6"/>
  <c r="F1589" i="6"/>
  <c r="Q1589" i="6"/>
  <c r="D1589" i="6"/>
  <c r="H1589" i="6" s="1"/>
  <c r="I1589" i="6" s="1"/>
  <c r="P1589" i="6"/>
  <c r="L1589" i="6"/>
  <c r="J1589" i="6"/>
  <c r="B1589" i="6"/>
  <c r="C1589" i="6"/>
  <c r="F1468" i="6"/>
  <c r="D1468" i="6"/>
  <c r="H1468" i="6" s="1"/>
  <c r="I1468" i="6" s="1"/>
  <c r="C1468" i="6"/>
  <c r="Q1468" i="6"/>
  <c r="B1468" i="6"/>
  <c r="P1468" i="6"/>
  <c r="G1468" i="6"/>
  <c r="L1468" i="6"/>
  <c r="J1468" i="6"/>
  <c r="G1169" i="6"/>
  <c r="F1169" i="6"/>
  <c r="L1169" i="6"/>
  <c r="J1169" i="6"/>
  <c r="D1169" i="6"/>
  <c r="H1169" i="6" s="1"/>
  <c r="I1169" i="6" s="1"/>
  <c r="P1169" i="6"/>
  <c r="C1169" i="6"/>
  <c r="B1169" i="6"/>
  <c r="Q1169" i="6"/>
  <c r="F1049" i="6"/>
  <c r="P1049" i="6"/>
  <c r="C1049" i="6"/>
  <c r="L1049" i="6"/>
  <c r="B1049" i="6"/>
  <c r="J1049" i="6"/>
  <c r="D1049" i="6"/>
  <c r="H1049" i="6" s="1"/>
  <c r="I1049" i="6" s="1"/>
  <c r="Q1049" i="6"/>
  <c r="G1049" i="6"/>
  <c r="Q898" i="6"/>
  <c r="P898" i="6"/>
  <c r="D898" i="6"/>
  <c r="H898" i="6" s="1"/>
  <c r="I898" i="6" s="1"/>
  <c r="L898" i="6"/>
  <c r="C898" i="6"/>
  <c r="J898" i="6"/>
  <c r="B898" i="6"/>
  <c r="G898" i="6"/>
  <c r="F898" i="6"/>
  <c r="G902" i="6"/>
  <c r="F902" i="6"/>
  <c r="Q902" i="6"/>
  <c r="L902" i="6"/>
  <c r="J902" i="6"/>
  <c r="D902" i="6"/>
  <c r="H902" i="6" s="1"/>
  <c r="I902" i="6" s="1"/>
  <c r="C902" i="6"/>
  <c r="B902" i="6"/>
  <c r="P902" i="6"/>
  <c r="F761" i="6"/>
  <c r="J761" i="6"/>
  <c r="G761" i="6"/>
  <c r="Q761" i="6"/>
  <c r="P761" i="6"/>
  <c r="L761" i="6"/>
  <c r="D761" i="6"/>
  <c r="H761" i="6" s="1"/>
  <c r="I761" i="6" s="1"/>
  <c r="C761" i="6"/>
  <c r="B761" i="6"/>
  <c r="P691" i="6"/>
  <c r="D691" i="6"/>
  <c r="H691" i="6" s="1"/>
  <c r="I691" i="6" s="1"/>
  <c r="L691" i="6"/>
  <c r="B691" i="6"/>
  <c r="J691" i="6"/>
  <c r="G691" i="6"/>
  <c r="F691" i="6"/>
  <c r="C691" i="6"/>
  <c r="Q691" i="6"/>
  <c r="L556" i="6"/>
  <c r="C556" i="6"/>
  <c r="F556" i="6"/>
  <c r="Q556" i="6"/>
  <c r="D556" i="6"/>
  <c r="H556" i="6" s="1"/>
  <c r="I556" i="6" s="1"/>
  <c r="P556" i="6"/>
  <c r="B556" i="6"/>
  <c r="J556" i="6"/>
  <c r="G556" i="6"/>
  <c r="Q418" i="6"/>
  <c r="P418" i="6"/>
  <c r="D418" i="6"/>
  <c r="H418" i="6" s="1"/>
  <c r="I418" i="6" s="1"/>
  <c r="L418" i="6"/>
  <c r="C418" i="6"/>
  <c r="J418" i="6"/>
  <c r="B418" i="6"/>
  <c r="G418" i="6"/>
  <c r="F418" i="6"/>
  <c r="G1367" i="6"/>
  <c r="F1367" i="6"/>
  <c r="Q1367" i="6"/>
  <c r="P1367" i="6"/>
  <c r="D1367" i="6"/>
  <c r="H1367" i="6" s="1"/>
  <c r="I1367" i="6" s="1"/>
  <c r="B1367" i="6"/>
  <c r="L1367" i="6"/>
  <c r="J1367" i="6"/>
  <c r="C1367" i="6"/>
  <c r="F1139" i="6"/>
  <c r="Q1139" i="6"/>
  <c r="P1139" i="6"/>
  <c r="D1139" i="6"/>
  <c r="H1139" i="6" s="1"/>
  <c r="I1139" i="6" s="1"/>
  <c r="G1139" i="6"/>
  <c r="C1139" i="6"/>
  <c r="J1139" i="6"/>
  <c r="B1139" i="6"/>
  <c r="L1139" i="6"/>
  <c r="L1449" i="6"/>
  <c r="B1449" i="6"/>
  <c r="Q1449" i="6"/>
  <c r="C1449" i="6"/>
  <c r="P1449" i="6"/>
  <c r="J1449" i="6"/>
  <c r="G1449" i="6"/>
  <c r="F1449" i="6"/>
  <c r="D1449" i="6"/>
  <c r="H1449" i="6" s="1"/>
  <c r="I1449" i="6" s="1"/>
  <c r="G660" i="6"/>
  <c r="D660" i="6"/>
  <c r="H660" i="6" s="1"/>
  <c r="I660" i="6" s="1"/>
  <c r="Q660" i="6"/>
  <c r="C660" i="6"/>
  <c r="P660" i="6"/>
  <c r="B660" i="6"/>
  <c r="L660" i="6"/>
  <c r="J660" i="6"/>
  <c r="F660" i="6"/>
  <c r="F113" i="6"/>
  <c r="Q113" i="6"/>
  <c r="D113" i="6"/>
  <c r="H113" i="6" s="1"/>
  <c r="I113" i="6" s="1"/>
  <c r="P113" i="6"/>
  <c r="C113" i="6"/>
  <c r="L113" i="6"/>
  <c r="B113" i="6"/>
  <c r="J113" i="6"/>
  <c r="G113" i="6"/>
  <c r="L1530" i="6"/>
  <c r="C1530" i="6"/>
  <c r="J1530" i="6"/>
  <c r="G1530" i="6"/>
  <c r="F1530" i="6"/>
  <c r="B1530" i="6"/>
  <c r="Q1530" i="6"/>
  <c r="D1530" i="6"/>
  <c r="H1530" i="6" s="1"/>
  <c r="I1530" i="6" s="1"/>
  <c r="P1530" i="6"/>
  <c r="C27" i="6"/>
  <c r="B27" i="6"/>
  <c r="G27" i="6"/>
  <c r="Q27" i="6"/>
  <c r="P27" i="6"/>
  <c r="F27" i="6"/>
  <c r="Q882" i="6"/>
  <c r="P882" i="6"/>
  <c r="D882" i="6"/>
  <c r="H882" i="6" s="1"/>
  <c r="I882" i="6" s="1"/>
  <c r="L882" i="6"/>
  <c r="C882" i="6"/>
  <c r="J882" i="6"/>
  <c r="B882" i="6"/>
  <c r="G882" i="6"/>
  <c r="F882" i="6"/>
  <c r="L847" i="6"/>
  <c r="C847" i="6"/>
  <c r="B847" i="6"/>
  <c r="Q847" i="6"/>
  <c r="P847" i="6"/>
  <c r="J847" i="6"/>
  <c r="G847" i="6"/>
  <c r="F847" i="6"/>
  <c r="D847" i="6"/>
  <c r="H847" i="6" s="1"/>
  <c r="I847" i="6" s="1"/>
  <c r="G606" i="6"/>
  <c r="F606" i="6"/>
  <c r="Q606" i="6"/>
  <c r="D606" i="6"/>
  <c r="H606" i="6" s="1"/>
  <c r="I606" i="6" s="1"/>
  <c r="P606" i="6"/>
  <c r="C606" i="6"/>
  <c r="L606" i="6"/>
  <c r="J606" i="6"/>
  <c r="B606" i="6"/>
  <c r="J571" i="6"/>
  <c r="G571" i="6"/>
  <c r="F571" i="6"/>
  <c r="Q571" i="6"/>
  <c r="P571" i="6"/>
  <c r="L571" i="6"/>
  <c r="D571" i="6"/>
  <c r="H571" i="6" s="1"/>
  <c r="I571" i="6" s="1"/>
  <c r="C571" i="6"/>
  <c r="B571" i="6"/>
  <c r="L1391" i="6"/>
  <c r="C1391" i="6"/>
  <c r="P1391" i="6"/>
  <c r="B1391" i="6"/>
  <c r="J1391" i="6"/>
  <c r="G1391" i="6"/>
  <c r="D1391" i="6"/>
  <c r="H1391" i="6" s="1"/>
  <c r="I1391" i="6" s="1"/>
  <c r="F1391" i="6"/>
  <c r="Q1391" i="6"/>
  <c r="F469" i="6"/>
  <c r="L469" i="6"/>
  <c r="B469" i="6"/>
  <c r="J469" i="6"/>
  <c r="G469" i="6"/>
  <c r="Q469" i="6"/>
  <c r="P469" i="6"/>
  <c r="D469" i="6"/>
  <c r="H469" i="6" s="1"/>
  <c r="I469" i="6" s="1"/>
  <c r="C469" i="6"/>
  <c r="L1538" i="6"/>
  <c r="C1538" i="6"/>
  <c r="F1538" i="6"/>
  <c r="Q1538" i="6"/>
  <c r="D1538" i="6"/>
  <c r="H1538" i="6" s="1"/>
  <c r="I1538" i="6" s="1"/>
  <c r="P1538" i="6"/>
  <c r="B1538" i="6"/>
  <c r="J1538" i="6"/>
  <c r="G1538" i="6"/>
  <c r="J1537" i="6"/>
  <c r="G1537" i="6"/>
  <c r="F1537" i="6"/>
  <c r="Q1537" i="6"/>
  <c r="P1537" i="6"/>
  <c r="L1537" i="6"/>
  <c r="D1537" i="6"/>
  <c r="H1537" i="6" s="1"/>
  <c r="I1537" i="6" s="1"/>
  <c r="C1537" i="6"/>
  <c r="B1537" i="6"/>
  <c r="P1189" i="6"/>
  <c r="D1189" i="6"/>
  <c r="H1189" i="6" s="1"/>
  <c r="I1189" i="6" s="1"/>
  <c r="L1189" i="6"/>
  <c r="C1189" i="6"/>
  <c r="J1189" i="6"/>
  <c r="B1189" i="6"/>
  <c r="G1189" i="6"/>
  <c r="F1189" i="6"/>
  <c r="Q1189" i="6"/>
  <c r="F985" i="6"/>
  <c r="Q985" i="6"/>
  <c r="D985" i="6"/>
  <c r="H985" i="6" s="1"/>
  <c r="I985" i="6" s="1"/>
  <c r="P985" i="6"/>
  <c r="C985" i="6"/>
  <c r="L985" i="6"/>
  <c r="B985" i="6"/>
  <c r="J985" i="6"/>
  <c r="G985" i="6"/>
  <c r="F501" i="6"/>
  <c r="L501" i="6"/>
  <c r="B501" i="6"/>
  <c r="J501" i="6"/>
  <c r="G501" i="6"/>
  <c r="Q501" i="6"/>
  <c r="P501" i="6"/>
  <c r="D501" i="6"/>
  <c r="H501" i="6" s="1"/>
  <c r="I501" i="6" s="1"/>
  <c r="C501" i="6"/>
  <c r="F509" i="6"/>
  <c r="G509" i="6"/>
  <c r="D509" i="6"/>
  <c r="H509" i="6" s="1"/>
  <c r="I509" i="6" s="1"/>
  <c r="Q509" i="6"/>
  <c r="C509" i="6"/>
  <c r="P509" i="6"/>
  <c r="B509" i="6"/>
  <c r="L509" i="6"/>
  <c r="J509" i="6"/>
  <c r="Q506" i="6"/>
  <c r="F506" i="6"/>
  <c r="D506" i="6"/>
  <c r="H506" i="6" s="1"/>
  <c r="I506" i="6" s="1"/>
  <c r="P506" i="6"/>
  <c r="C506" i="6"/>
  <c r="L506" i="6"/>
  <c r="B506" i="6"/>
  <c r="J506" i="6"/>
  <c r="G506" i="6"/>
  <c r="P1303" i="6"/>
  <c r="D1303" i="6"/>
  <c r="H1303" i="6" s="1"/>
  <c r="I1303" i="6" s="1"/>
  <c r="F1303" i="6"/>
  <c r="Q1303" i="6"/>
  <c r="L1303" i="6"/>
  <c r="J1303" i="6"/>
  <c r="G1303" i="6"/>
  <c r="B1303" i="6"/>
  <c r="C1303" i="6"/>
  <c r="P1279" i="6"/>
  <c r="D1279" i="6"/>
  <c r="H1279" i="6" s="1"/>
  <c r="I1279" i="6" s="1"/>
  <c r="Q1279" i="6"/>
  <c r="C1279" i="6"/>
  <c r="J1279" i="6"/>
  <c r="G1279" i="6"/>
  <c r="F1279" i="6"/>
  <c r="B1279" i="6"/>
  <c r="L1279" i="6"/>
  <c r="P431" i="6"/>
  <c r="D431" i="6"/>
  <c r="H431" i="6" s="1"/>
  <c r="I431" i="6" s="1"/>
  <c r="G431" i="6"/>
  <c r="F431" i="6"/>
  <c r="C431" i="6"/>
  <c r="Q431" i="6"/>
  <c r="B431" i="6"/>
  <c r="J431" i="6"/>
  <c r="L431" i="6"/>
  <c r="F361" i="6"/>
  <c r="L361" i="6"/>
  <c r="B361" i="6"/>
  <c r="J361" i="6"/>
  <c r="G361" i="6"/>
  <c r="Q361" i="6"/>
  <c r="P361" i="6"/>
  <c r="D361" i="6"/>
  <c r="H361" i="6" s="1"/>
  <c r="I361" i="6" s="1"/>
  <c r="C361" i="6"/>
  <c r="G1584" i="6"/>
  <c r="F1584" i="6"/>
  <c r="Q1584" i="6"/>
  <c r="C1584" i="6"/>
  <c r="B1584" i="6"/>
  <c r="P1584" i="6"/>
  <c r="L1584" i="6"/>
  <c r="J1584" i="6"/>
  <c r="D1584" i="6"/>
  <c r="H1584" i="6" s="1"/>
  <c r="I1584" i="6" s="1"/>
  <c r="F777" i="6"/>
  <c r="J777" i="6"/>
  <c r="G777" i="6"/>
  <c r="Q777" i="6"/>
  <c r="P777" i="6"/>
  <c r="L777" i="6"/>
  <c r="D777" i="6"/>
  <c r="H777" i="6" s="1"/>
  <c r="I777" i="6" s="1"/>
  <c r="C777" i="6"/>
  <c r="B777" i="6"/>
  <c r="P1461" i="6"/>
  <c r="D1461" i="6"/>
  <c r="H1461" i="6" s="1"/>
  <c r="I1461" i="6" s="1"/>
  <c r="L1461" i="6"/>
  <c r="J1461" i="6"/>
  <c r="G1461" i="6"/>
  <c r="F1461" i="6"/>
  <c r="B1461" i="6"/>
  <c r="Q1461" i="6"/>
  <c r="C1461" i="6"/>
  <c r="Q942" i="6"/>
  <c r="L942" i="6"/>
  <c r="C942" i="6"/>
  <c r="J942" i="6"/>
  <c r="B942" i="6"/>
  <c r="G942" i="6"/>
  <c r="D942" i="6"/>
  <c r="H942" i="6" s="1"/>
  <c r="I942" i="6" s="1"/>
  <c r="P942" i="6"/>
  <c r="F942" i="6"/>
  <c r="P907" i="6"/>
  <c r="D907" i="6"/>
  <c r="H907" i="6" s="1"/>
  <c r="I907" i="6" s="1"/>
  <c r="F907" i="6"/>
  <c r="Q907" i="6"/>
  <c r="C907" i="6"/>
  <c r="L907" i="6"/>
  <c r="B907" i="6"/>
  <c r="J907" i="6"/>
  <c r="G907" i="6"/>
  <c r="P915" i="6"/>
  <c r="D915" i="6"/>
  <c r="H915" i="6" s="1"/>
  <c r="I915" i="6" s="1"/>
  <c r="J915" i="6"/>
  <c r="G915" i="6"/>
  <c r="F915" i="6"/>
  <c r="Q915" i="6"/>
  <c r="L915" i="6"/>
  <c r="C915" i="6"/>
  <c r="B915" i="6"/>
  <c r="J669" i="6"/>
  <c r="B669" i="6"/>
  <c r="P669" i="6"/>
  <c r="L669" i="6"/>
  <c r="G669" i="6"/>
  <c r="F669" i="6"/>
  <c r="Q669" i="6"/>
  <c r="D669" i="6"/>
  <c r="H669" i="6" s="1"/>
  <c r="I669" i="6" s="1"/>
  <c r="C669" i="6"/>
  <c r="L640" i="6"/>
  <c r="C640" i="6"/>
  <c r="G640" i="6"/>
  <c r="F640" i="6"/>
  <c r="Q640" i="6"/>
  <c r="P640" i="6"/>
  <c r="J640" i="6"/>
  <c r="D640" i="6"/>
  <c r="H640" i="6" s="1"/>
  <c r="I640" i="6" s="1"/>
  <c r="B640" i="6"/>
  <c r="F405" i="6"/>
  <c r="L405" i="6"/>
  <c r="B405" i="6"/>
  <c r="J405" i="6"/>
  <c r="G405" i="6"/>
  <c r="D405" i="6"/>
  <c r="H405" i="6" s="1"/>
  <c r="I405" i="6" s="1"/>
  <c r="C405" i="6"/>
  <c r="Q405" i="6"/>
  <c r="P405" i="6"/>
  <c r="P139" i="6"/>
  <c r="D139" i="6"/>
  <c r="H139" i="6" s="1"/>
  <c r="I139" i="6" s="1"/>
  <c r="J139" i="6"/>
  <c r="G139" i="6"/>
  <c r="F139" i="6"/>
  <c r="C139" i="6"/>
  <c r="B139" i="6"/>
  <c r="Q139" i="6"/>
  <c r="L139" i="6"/>
  <c r="Q81" i="6"/>
  <c r="P81" i="6"/>
  <c r="D81" i="6"/>
  <c r="H81" i="6" s="1"/>
  <c r="I81" i="6" s="1"/>
  <c r="L81" i="6"/>
  <c r="C81" i="6"/>
  <c r="J81" i="6"/>
  <c r="B81" i="6"/>
  <c r="F81" i="6"/>
  <c r="G81" i="6"/>
  <c r="J1649" i="6"/>
  <c r="D1649" i="6"/>
  <c r="H1649" i="6" s="1"/>
  <c r="I1649" i="6" s="1"/>
  <c r="Q1649" i="6"/>
  <c r="C1649" i="6"/>
  <c r="P1649" i="6"/>
  <c r="B1649" i="6"/>
  <c r="G1649" i="6"/>
  <c r="F1649" i="6"/>
  <c r="L1649" i="6"/>
  <c r="G1605" i="6"/>
  <c r="F1605" i="6"/>
  <c r="Q1605" i="6"/>
  <c r="D1605" i="6"/>
  <c r="H1605" i="6" s="1"/>
  <c r="I1605" i="6" s="1"/>
  <c r="C1605" i="6"/>
  <c r="B1605" i="6"/>
  <c r="P1605" i="6"/>
  <c r="L1605" i="6"/>
  <c r="J1605" i="6"/>
  <c r="P1609" i="6"/>
  <c r="D1609" i="6"/>
  <c r="H1609" i="6" s="1"/>
  <c r="I1609" i="6" s="1"/>
  <c r="J1609" i="6"/>
  <c r="G1609" i="6"/>
  <c r="C1609" i="6"/>
  <c r="B1609" i="6"/>
  <c r="Q1609" i="6"/>
  <c r="L1609" i="6"/>
  <c r="F1609" i="6"/>
  <c r="G1335" i="6"/>
  <c r="F1335" i="6"/>
  <c r="Q1335" i="6"/>
  <c r="P1335" i="6"/>
  <c r="D1335" i="6"/>
  <c r="H1335" i="6" s="1"/>
  <c r="I1335" i="6" s="1"/>
  <c r="B1335" i="6"/>
  <c r="C1335" i="6"/>
  <c r="L1335" i="6"/>
  <c r="J1335" i="6"/>
  <c r="Q1038" i="6"/>
  <c r="P1038" i="6"/>
  <c r="D1038" i="6"/>
  <c r="H1038" i="6" s="1"/>
  <c r="I1038" i="6" s="1"/>
  <c r="C1038" i="6"/>
  <c r="L1038" i="6"/>
  <c r="B1038" i="6"/>
  <c r="J1038" i="6"/>
  <c r="F1038" i="6"/>
  <c r="G1038" i="6"/>
  <c r="P999" i="6"/>
  <c r="C999" i="6"/>
  <c r="L999" i="6"/>
  <c r="B999" i="6"/>
  <c r="J999" i="6"/>
  <c r="G999" i="6"/>
  <c r="F999" i="6"/>
  <c r="D999" i="6"/>
  <c r="H999" i="6" s="1"/>
  <c r="I999" i="6" s="1"/>
  <c r="Q999" i="6"/>
  <c r="P1415" i="6"/>
  <c r="D1415" i="6"/>
  <c r="H1415" i="6" s="1"/>
  <c r="I1415" i="6" s="1"/>
  <c r="L1415" i="6"/>
  <c r="B1415" i="6"/>
  <c r="C1415" i="6"/>
  <c r="Q1415" i="6"/>
  <c r="J1415" i="6"/>
  <c r="G1415" i="6"/>
  <c r="F1415" i="6"/>
  <c r="P331" i="6"/>
  <c r="D331" i="6"/>
  <c r="H331" i="6" s="1"/>
  <c r="I331" i="6" s="1"/>
  <c r="Q331" i="6"/>
  <c r="C331" i="6"/>
  <c r="L331" i="6"/>
  <c r="B331" i="6"/>
  <c r="J331" i="6"/>
  <c r="G331" i="6"/>
  <c r="F331" i="6"/>
  <c r="F223" i="6"/>
  <c r="Q223" i="6"/>
  <c r="D223" i="6"/>
  <c r="H223" i="6" s="1"/>
  <c r="I223" i="6" s="1"/>
  <c r="P223" i="6"/>
  <c r="C223" i="6"/>
  <c r="L223" i="6"/>
  <c r="B223" i="6"/>
  <c r="J223" i="6"/>
  <c r="G223" i="6"/>
  <c r="J101" i="6"/>
  <c r="B101" i="6"/>
  <c r="G101" i="6"/>
  <c r="F101" i="6"/>
  <c r="Q101" i="6"/>
  <c r="D101" i="6"/>
  <c r="H101" i="6" s="1"/>
  <c r="I101" i="6" s="1"/>
  <c r="P101" i="6"/>
  <c r="C101" i="6"/>
  <c r="L101" i="6"/>
  <c r="F713" i="6"/>
  <c r="J713" i="6"/>
  <c r="G713" i="6"/>
  <c r="D713" i="6"/>
  <c r="H713" i="6" s="1"/>
  <c r="I713" i="6" s="1"/>
  <c r="C713" i="6"/>
  <c r="B713" i="6"/>
  <c r="Q713" i="6"/>
  <c r="P713" i="6"/>
  <c r="L713" i="6"/>
  <c r="Q1242" i="6"/>
  <c r="G1242" i="6"/>
  <c r="L1242" i="6"/>
  <c r="J1242" i="6"/>
  <c r="F1242" i="6"/>
  <c r="D1242" i="6"/>
  <c r="H1242" i="6" s="1"/>
  <c r="I1242" i="6" s="1"/>
  <c r="P1242" i="6"/>
  <c r="C1242" i="6"/>
  <c r="B1242" i="6"/>
  <c r="F1666" i="6"/>
  <c r="L1666" i="6"/>
  <c r="C1666" i="6"/>
  <c r="P1666" i="6"/>
  <c r="G1666" i="6"/>
  <c r="Q1666" i="6"/>
  <c r="J1666" i="6"/>
  <c r="D1666" i="6"/>
  <c r="H1666" i="6" s="1"/>
  <c r="I1666" i="6" s="1"/>
  <c r="B1666" i="6"/>
  <c r="G812" i="6"/>
  <c r="F812" i="6"/>
  <c r="Q812" i="6"/>
  <c r="D812" i="6"/>
  <c r="H812" i="6" s="1"/>
  <c r="I812" i="6" s="1"/>
  <c r="P812" i="6"/>
  <c r="C812" i="6"/>
  <c r="B812" i="6"/>
  <c r="L812" i="6"/>
  <c r="J812" i="6"/>
  <c r="Q1697" i="6"/>
  <c r="L1697" i="6"/>
  <c r="C1697" i="6"/>
  <c r="B1697" i="6"/>
  <c r="P1697" i="6"/>
  <c r="J1697" i="6"/>
  <c r="G1697" i="6"/>
  <c r="F1697" i="6"/>
  <c r="D1697" i="6"/>
  <c r="H1697" i="6" s="1"/>
  <c r="I1697" i="6" s="1"/>
  <c r="Q1621" i="6"/>
  <c r="P1621" i="6"/>
  <c r="D1621" i="6"/>
  <c r="H1621" i="6" s="1"/>
  <c r="I1621" i="6" s="1"/>
  <c r="L1621" i="6"/>
  <c r="C1621" i="6"/>
  <c r="B1621" i="6"/>
  <c r="J1621" i="6"/>
  <c r="G1621" i="6"/>
  <c r="F1621" i="6"/>
  <c r="J1559" i="6"/>
  <c r="B1559" i="6"/>
  <c r="Q1559" i="6"/>
  <c r="D1559" i="6"/>
  <c r="H1559" i="6" s="1"/>
  <c r="I1559" i="6" s="1"/>
  <c r="P1559" i="6"/>
  <c r="C1559" i="6"/>
  <c r="L1559" i="6"/>
  <c r="G1559" i="6"/>
  <c r="F1559" i="6"/>
  <c r="F1491" i="6"/>
  <c r="G1491" i="6"/>
  <c r="Q1491" i="6"/>
  <c r="D1491" i="6"/>
  <c r="H1491" i="6" s="1"/>
  <c r="I1491" i="6" s="1"/>
  <c r="L1491" i="6"/>
  <c r="J1491" i="6"/>
  <c r="C1491" i="6"/>
  <c r="B1491" i="6"/>
  <c r="P1491" i="6"/>
  <c r="P1423" i="6"/>
  <c r="D1423" i="6"/>
  <c r="H1423" i="6" s="1"/>
  <c r="I1423" i="6" s="1"/>
  <c r="G1423" i="6"/>
  <c r="Q1423" i="6"/>
  <c r="B1423" i="6"/>
  <c r="L1423" i="6"/>
  <c r="J1423" i="6"/>
  <c r="F1423" i="6"/>
  <c r="C1423" i="6"/>
  <c r="G1359" i="6"/>
  <c r="F1359" i="6"/>
  <c r="Q1359" i="6"/>
  <c r="P1359" i="6"/>
  <c r="D1359" i="6"/>
  <c r="H1359" i="6" s="1"/>
  <c r="I1359" i="6" s="1"/>
  <c r="J1359" i="6"/>
  <c r="L1359" i="6"/>
  <c r="C1359" i="6"/>
  <c r="B1359" i="6"/>
  <c r="Q1290" i="6"/>
  <c r="L1290" i="6"/>
  <c r="C1290" i="6"/>
  <c r="F1290" i="6"/>
  <c r="D1290" i="6"/>
  <c r="H1290" i="6" s="1"/>
  <c r="I1290" i="6" s="1"/>
  <c r="J1290" i="6"/>
  <c r="G1290" i="6"/>
  <c r="B1290" i="6"/>
  <c r="P1290" i="6"/>
  <c r="P1286" i="6"/>
  <c r="C1286" i="6"/>
  <c r="J1286" i="6"/>
  <c r="L1286" i="6"/>
  <c r="G1286" i="6"/>
  <c r="B1286" i="6"/>
  <c r="Q1286" i="6"/>
  <c r="F1286" i="6"/>
  <c r="D1286" i="6"/>
  <c r="H1286" i="6" s="1"/>
  <c r="I1286" i="6" s="1"/>
  <c r="G1145" i="6"/>
  <c r="F1145" i="6"/>
  <c r="D1145" i="6"/>
  <c r="H1145" i="6" s="1"/>
  <c r="I1145" i="6" s="1"/>
  <c r="C1145" i="6"/>
  <c r="Q1145" i="6"/>
  <c r="B1145" i="6"/>
  <c r="P1145" i="6"/>
  <c r="L1145" i="6"/>
  <c r="J1145" i="6"/>
  <c r="J1151" i="6"/>
  <c r="B1151" i="6"/>
  <c r="Q1151" i="6"/>
  <c r="P1151" i="6"/>
  <c r="L1151" i="6"/>
  <c r="G1151" i="6"/>
  <c r="F1151" i="6"/>
  <c r="D1151" i="6"/>
  <c r="H1151" i="6" s="1"/>
  <c r="I1151" i="6" s="1"/>
  <c r="C1151" i="6"/>
  <c r="J1077" i="6"/>
  <c r="B1077" i="6"/>
  <c r="G1077" i="6"/>
  <c r="F1077" i="6"/>
  <c r="Q1077" i="6"/>
  <c r="P1077" i="6"/>
  <c r="L1077" i="6"/>
  <c r="C1077" i="6"/>
  <c r="D1077" i="6"/>
  <c r="H1077" i="6" s="1"/>
  <c r="I1077" i="6" s="1"/>
  <c r="L1024" i="6"/>
  <c r="C1024" i="6"/>
  <c r="J1024" i="6"/>
  <c r="G1024" i="6"/>
  <c r="F1024" i="6"/>
  <c r="B1024" i="6"/>
  <c r="Q1024" i="6"/>
  <c r="P1024" i="6"/>
  <c r="D1024" i="6"/>
  <c r="H1024" i="6" s="1"/>
  <c r="I1024" i="6" s="1"/>
  <c r="J1595" i="6"/>
  <c r="B1595" i="6"/>
  <c r="P1595" i="6"/>
  <c r="C1595" i="6"/>
  <c r="L1595" i="6"/>
  <c r="D1595" i="6"/>
  <c r="H1595" i="6" s="1"/>
  <c r="I1595" i="6" s="1"/>
  <c r="Q1595" i="6"/>
  <c r="G1595" i="6"/>
  <c r="F1595" i="6"/>
  <c r="Q1476" i="6"/>
  <c r="D1476" i="6"/>
  <c r="H1476" i="6" s="1"/>
  <c r="I1476" i="6" s="1"/>
  <c r="P1476" i="6"/>
  <c r="C1476" i="6"/>
  <c r="L1476" i="6"/>
  <c r="B1476" i="6"/>
  <c r="J1476" i="6"/>
  <c r="G1476" i="6"/>
  <c r="F1476" i="6"/>
  <c r="F1171" i="6"/>
  <c r="Q1171" i="6"/>
  <c r="P1171" i="6"/>
  <c r="D1171" i="6"/>
  <c r="H1171" i="6" s="1"/>
  <c r="I1171" i="6" s="1"/>
  <c r="G1171" i="6"/>
  <c r="C1171" i="6"/>
  <c r="J1171" i="6"/>
  <c r="B1171" i="6"/>
  <c r="L1171" i="6"/>
  <c r="Q1046" i="6"/>
  <c r="L1046" i="6"/>
  <c r="B1046" i="6"/>
  <c r="J1046" i="6"/>
  <c r="G1046" i="6"/>
  <c r="F1046" i="6"/>
  <c r="P1046" i="6"/>
  <c r="D1046" i="6"/>
  <c r="H1046" i="6" s="1"/>
  <c r="I1046" i="6" s="1"/>
  <c r="C1046" i="6"/>
  <c r="G964" i="6"/>
  <c r="F964" i="6"/>
  <c r="Q964" i="6"/>
  <c r="D964" i="6"/>
  <c r="H964" i="6" s="1"/>
  <c r="I964" i="6" s="1"/>
  <c r="P964" i="6"/>
  <c r="C964" i="6"/>
  <c r="L964" i="6"/>
  <c r="B964" i="6"/>
  <c r="J964" i="6"/>
  <c r="P895" i="6"/>
  <c r="D895" i="6"/>
  <c r="H895" i="6" s="1"/>
  <c r="I895" i="6" s="1"/>
  <c r="L895" i="6"/>
  <c r="C895" i="6"/>
  <c r="J895" i="6"/>
  <c r="B895" i="6"/>
  <c r="G895" i="6"/>
  <c r="F895" i="6"/>
  <c r="Q895" i="6"/>
  <c r="J906" i="6"/>
  <c r="G906" i="6"/>
  <c r="F906" i="6"/>
  <c r="C906" i="6"/>
  <c r="B906" i="6"/>
  <c r="Q906" i="6"/>
  <c r="P906" i="6"/>
  <c r="L906" i="6"/>
  <c r="D906" i="6"/>
  <c r="H906" i="6" s="1"/>
  <c r="I906" i="6" s="1"/>
  <c r="F769" i="6"/>
  <c r="Q769" i="6"/>
  <c r="D769" i="6"/>
  <c r="H769" i="6" s="1"/>
  <c r="I769" i="6" s="1"/>
  <c r="P769" i="6"/>
  <c r="C769" i="6"/>
  <c r="L769" i="6"/>
  <c r="B769" i="6"/>
  <c r="J769" i="6"/>
  <c r="G769" i="6"/>
  <c r="L754" i="6"/>
  <c r="B754" i="6"/>
  <c r="J754" i="6"/>
  <c r="G754" i="6"/>
  <c r="F754" i="6"/>
  <c r="C754" i="6"/>
  <c r="Q754" i="6"/>
  <c r="P754" i="6"/>
  <c r="D754" i="6"/>
  <c r="H754" i="6" s="1"/>
  <c r="I754" i="6" s="1"/>
  <c r="G620" i="6"/>
  <c r="P620" i="6"/>
  <c r="C620" i="6"/>
  <c r="D620" i="6"/>
  <c r="H620" i="6" s="1"/>
  <c r="I620" i="6" s="1"/>
  <c r="Q620" i="6"/>
  <c r="B620" i="6"/>
  <c r="L620" i="6"/>
  <c r="J620" i="6"/>
  <c r="F620" i="6"/>
  <c r="Q563" i="6"/>
  <c r="D563" i="6"/>
  <c r="H563" i="6" s="1"/>
  <c r="I563" i="6" s="1"/>
  <c r="P563" i="6"/>
  <c r="C563" i="6"/>
  <c r="L563" i="6"/>
  <c r="B563" i="6"/>
  <c r="J563" i="6"/>
  <c r="G563" i="6"/>
  <c r="F563" i="6"/>
  <c r="F485" i="6"/>
  <c r="L485" i="6"/>
  <c r="B485" i="6"/>
  <c r="D485" i="6"/>
  <c r="H485" i="6" s="1"/>
  <c r="I485" i="6" s="1"/>
  <c r="Q485" i="6"/>
  <c r="C485" i="6"/>
  <c r="P485" i="6"/>
  <c r="J485" i="6"/>
  <c r="G485" i="6"/>
  <c r="F421" i="6"/>
  <c r="L421" i="6"/>
  <c r="B421" i="6"/>
  <c r="D421" i="6"/>
  <c r="H421" i="6" s="1"/>
  <c r="I421" i="6" s="1"/>
  <c r="Q421" i="6"/>
  <c r="C421" i="6"/>
  <c r="P421" i="6"/>
  <c r="J421" i="6"/>
  <c r="G421" i="6"/>
  <c r="Q1681" i="6"/>
  <c r="L1681" i="6"/>
  <c r="C1681" i="6"/>
  <c r="B1681" i="6"/>
  <c r="J1681" i="6"/>
  <c r="G1681" i="6"/>
  <c r="P1681" i="6"/>
  <c r="F1681" i="6"/>
  <c r="D1681" i="6"/>
  <c r="H1681" i="6" s="1"/>
  <c r="I1681" i="6" s="1"/>
  <c r="G1371" i="6"/>
  <c r="J1371" i="6"/>
  <c r="F1371" i="6"/>
  <c r="L1371" i="6"/>
  <c r="D1371" i="6"/>
  <c r="H1371" i="6" s="1"/>
  <c r="I1371" i="6" s="1"/>
  <c r="Q1371" i="6"/>
  <c r="P1371" i="6"/>
  <c r="C1371" i="6"/>
  <c r="B1371" i="6"/>
  <c r="G1262" i="6"/>
  <c r="F1262" i="6"/>
  <c r="D1262" i="6"/>
  <c r="H1262" i="6" s="1"/>
  <c r="I1262" i="6" s="1"/>
  <c r="P1262" i="6"/>
  <c r="B1262" i="6"/>
  <c r="Q1262" i="6"/>
  <c r="L1262" i="6"/>
  <c r="J1262" i="6"/>
  <c r="C1262" i="6"/>
  <c r="P1141" i="6"/>
  <c r="D1141" i="6"/>
  <c r="H1141" i="6" s="1"/>
  <c r="I1141" i="6" s="1"/>
  <c r="L1141" i="6"/>
  <c r="C1141" i="6"/>
  <c r="J1141" i="6"/>
  <c r="B1141" i="6"/>
  <c r="G1141" i="6"/>
  <c r="F1141" i="6"/>
  <c r="Q1141" i="6"/>
  <c r="F121" i="6"/>
  <c r="G121" i="6"/>
  <c r="Q121" i="6"/>
  <c r="D121" i="6"/>
  <c r="H121" i="6" s="1"/>
  <c r="I121" i="6" s="1"/>
  <c r="C121" i="6"/>
  <c r="B121" i="6"/>
  <c r="J121" i="6"/>
  <c r="P121" i="6"/>
  <c r="L121" i="6"/>
  <c r="L1442" i="6"/>
  <c r="C1442" i="6"/>
  <c r="P1442" i="6"/>
  <c r="B1442" i="6"/>
  <c r="Q1442" i="6"/>
  <c r="G1442" i="6"/>
  <c r="F1442" i="6"/>
  <c r="D1442" i="6"/>
  <c r="H1442" i="6" s="1"/>
  <c r="I1442" i="6" s="1"/>
  <c r="J1442" i="6"/>
  <c r="Q1330" i="6"/>
  <c r="G1330" i="6"/>
  <c r="J1330" i="6"/>
  <c r="F1330" i="6"/>
  <c r="D1330" i="6"/>
  <c r="H1330" i="6" s="1"/>
  <c r="I1330" i="6" s="1"/>
  <c r="C1330" i="6"/>
  <c r="L1330" i="6"/>
  <c r="B1330" i="6"/>
  <c r="P1330" i="6"/>
  <c r="F1211" i="6"/>
  <c r="Q1211" i="6"/>
  <c r="P1211" i="6"/>
  <c r="D1211" i="6"/>
  <c r="H1211" i="6" s="1"/>
  <c r="I1211" i="6" s="1"/>
  <c r="C1211" i="6"/>
  <c r="B1211" i="6"/>
  <c r="L1211" i="6"/>
  <c r="J1211" i="6"/>
  <c r="G1211" i="6"/>
  <c r="Q934" i="6"/>
  <c r="G934" i="6"/>
  <c r="F934" i="6"/>
  <c r="P934" i="6"/>
  <c r="D934" i="6"/>
  <c r="H934" i="6" s="1"/>
  <c r="I934" i="6" s="1"/>
  <c r="L934" i="6"/>
  <c r="C934" i="6"/>
  <c r="J934" i="6"/>
  <c r="B934" i="6"/>
  <c r="P871" i="6"/>
  <c r="D871" i="6"/>
  <c r="H871" i="6" s="1"/>
  <c r="I871" i="6" s="1"/>
  <c r="L871" i="6"/>
  <c r="C871" i="6"/>
  <c r="J871" i="6"/>
  <c r="B871" i="6"/>
  <c r="Q871" i="6"/>
  <c r="G871" i="6"/>
  <c r="F871" i="6"/>
  <c r="P723" i="6"/>
  <c r="D723" i="6"/>
  <c r="H723" i="6" s="1"/>
  <c r="I723" i="6" s="1"/>
  <c r="G723" i="6"/>
  <c r="F723" i="6"/>
  <c r="Q723" i="6"/>
  <c r="C723" i="6"/>
  <c r="L723" i="6"/>
  <c r="B723" i="6"/>
  <c r="J723" i="6"/>
  <c r="P667" i="6"/>
  <c r="D667" i="6"/>
  <c r="H667" i="6" s="1"/>
  <c r="I667" i="6" s="1"/>
  <c r="G667" i="6"/>
  <c r="F667" i="6"/>
  <c r="C667" i="6"/>
  <c r="Q667" i="6"/>
  <c r="B667" i="6"/>
  <c r="L667" i="6"/>
  <c r="J667" i="6"/>
  <c r="P591" i="6"/>
  <c r="D591" i="6"/>
  <c r="H591" i="6" s="1"/>
  <c r="I591" i="6" s="1"/>
  <c r="Q591" i="6"/>
  <c r="C591" i="6"/>
  <c r="L591" i="6"/>
  <c r="B591" i="6"/>
  <c r="J591" i="6"/>
  <c r="F591" i="6"/>
  <c r="G591" i="6"/>
  <c r="L532" i="6"/>
  <c r="C532" i="6"/>
  <c r="J532" i="6"/>
  <c r="G532" i="6"/>
  <c r="F532" i="6"/>
  <c r="B532" i="6"/>
  <c r="Q532" i="6"/>
  <c r="P532" i="6"/>
  <c r="D532" i="6"/>
  <c r="H532" i="6" s="1"/>
  <c r="I532" i="6" s="1"/>
  <c r="F385" i="6"/>
  <c r="G385" i="6"/>
  <c r="Q385" i="6"/>
  <c r="D385" i="6"/>
  <c r="H385" i="6" s="1"/>
  <c r="I385" i="6" s="1"/>
  <c r="P385" i="6"/>
  <c r="C385" i="6"/>
  <c r="L385" i="6"/>
  <c r="B385" i="6"/>
  <c r="J385" i="6"/>
  <c r="P395" i="6"/>
  <c r="D395" i="6"/>
  <c r="H395" i="6" s="1"/>
  <c r="I395" i="6" s="1"/>
  <c r="Q395" i="6"/>
  <c r="C395" i="6"/>
  <c r="L395" i="6"/>
  <c r="B395" i="6"/>
  <c r="J395" i="6"/>
  <c r="G395" i="6"/>
  <c r="F395" i="6"/>
  <c r="L248" i="6"/>
  <c r="C248" i="6"/>
  <c r="F248" i="6"/>
  <c r="G248" i="6"/>
  <c r="D248" i="6"/>
  <c r="H248" i="6" s="1"/>
  <c r="I248" i="6" s="1"/>
  <c r="Q248" i="6"/>
  <c r="B248" i="6"/>
  <c r="P248" i="6"/>
  <c r="J248" i="6"/>
  <c r="Q254" i="6"/>
  <c r="J254" i="6"/>
  <c r="G254" i="6"/>
  <c r="F254" i="6"/>
  <c r="L254" i="6"/>
  <c r="D254" i="6"/>
  <c r="H254" i="6" s="1"/>
  <c r="I254" i="6" s="1"/>
  <c r="C254" i="6"/>
  <c r="B254" i="6"/>
  <c r="P254" i="6"/>
  <c r="P111" i="6"/>
  <c r="C111" i="6"/>
  <c r="L111" i="6"/>
  <c r="B111" i="6"/>
  <c r="J111" i="6"/>
  <c r="G111" i="6"/>
  <c r="F111" i="6"/>
  <c r="D111" i="6"/>
  <c r="H111" i="6" s="1"/>
  <c r="I111" i="6" s="1"/>
  <c r="Q111" i="6"/>
  <c r="B56" i="6"/>
  <c r="G56" i="6"/>
  <c r="F56" i="6"/>
  <c r="C56" i="6"/>
  <c r="Q56" i="6"/>
  <c r="P56" i="6"/>
  <c r="L1122" i="6"/>
  <c r="C1122" i="6"/>
  <c r="J1122" i="6"/>
  <c r="B1122" i="6"/>
  <c r="P1122" i="6"/>
  <c r="G1122" i="6"/>
  <c r="F1122" i="6"/>
  <c r="D1122" i="6"/>
  <c r="H1122" i="6" s="1"/>
  <c r="I1122" i="6" s="1"/>
  <c r="Q1122" i="6"/>
  <c r="F1097" i="6"/>
  <c r="Q1097" i="6"/>
  <c r="P1097" i="6"/>
  <c r="D1097" i="6"/>
  <c r="H1097" i="6" s="1"/>
  <c r="I1097" i="6" s="1"/>
  <c r="L1097" i="6"/>
  <c r="C1097" i="6"/>
  <c r="J1097" i="6"/>
  <c r="B1097" i="6"/>
  <c r="G1097" i="6"/>
  <c r="G1098" i="6"/>
  <c r="F1098" i="6"/>
  <c r="Q1098" i="6"/>
  <c r="J1098" i="6"/>
  <c r="D1098" i="6"/>
  <c r="H1098" i="6" s="1"/>
  <c r="I1098" i="6" s="1"/>
  <c r="C1098" i="6"/>
  <c r="B1098" i="6"/>
  <c r="P1098" i="6"/>
  <c r="L1098" i="6"/>
  <c r="J1061" i="6"/>
  <c r="B1061" i="6"/>
  <c r="G1061" i="6"/>
  <c r="F1061" i="6"/>
  <c r="Q1061" i="6"/>
  <c r="D1061" i="6"/>
  <c r="H1061" i="6" s="1"/>
  <c r="I1061" i="6" s="1"/>
  <c r="C1061" i="6"/>
  <c r="P1061" i="6"/>
  <c r="L1061" i="6"/>
  <c r="L1064" i="6"/>
  <c r="C1064" i="6"/>
  <c r="Q1064" i="6"/>
  <c r="D1064" i="6"/>
  <c r="H1064" i="6" s="1"/>
  <c r="I1064" i="6" s="1"/>
  <c r="P1064" i="6"/>
  <c r="B1064" i="6"/>
  <c r="J1064" i="6"/>
  <c r="G1064" i="6"/>
  <c r="F1064" i="6"/>
  <c r="G1074" i="6"/>
  <c r="F1074" i="6"/>
  <c r="Q1074" i="6"/>
  <c r="B1074" i="6"/>
  <c r="P1074" i="6"/>
  <c r="L1074" i="6"/>
  <c r="C1074" i="6"/>
  <c r="J1074" i="6"/>
  <c r="D1074" i="6"/>
  <c r="H1074" i="6" s="1"/>
  <c r="I1074" i="6" s="1"/>
  <c r="Q367" i="6"/>
  <c r="D367" i="6"/>
  <c r="H367" i="6" s="1"/>
  <c r="I367" i="6" s="1"/>
  <c r="P367" i="6"/>
  <c r="C367" i="6"/>
  <c r="L367" i="6"/>
  <c r="B367" i="6"/>
  <c r="J367" i="6"/>
  <c r="G367" i="6"/>
  <c r="F367" i="6"/>
  <c r="Q366" i="6"/>
  <c r="G366" i="6"/>
  <c r="F366" i="6"/>
  <c r="J366" i="6"/>
  <c r="D366" i="6"/>
  <c r="H366" i="6" s="1"/>
  <c r="I366" i="6" s="1"/>
  <c r="C366" i="6"/>
  <c r="B366" i="6"/>
  <c r="P366" i="6"/>
  <c r="L366" i="6"/>
  <c r="G63" i="6"/>
  <c r="F63" i="6"/>
  <c r="Q63" i="6"/>
  <c r="P63" i="6"/>
  <c r="C63" i="6"/>
  <c r="B63" i="6"/>
  <c r="G1703" i="6"/>
  <c r="Q1703" i="6"/>
  <c r="P1703" i="6"/>
  <c r="D1703" i="6"/>
  <c r="H1703" i="6" s="1"/>
  <c r="I1703" i="6" s="1"/>
  <c r="J1703" i="6"/>
  <c r="B1703" i="6"/>
  <c r="C1703" i="6"/>
  <c r="L1703" i="6"/>
  <c r="F1703" i="6"/>
  <c r="J1704" i="6"/>
  <c r="B1704" i="6"/>
  <c r="G1704" i="6"/>
  <c r="Q1704" i="6"/>
  <c r="D1704" i="6"/>
  <c r="H1704" i="6" s="1"/>
  <c r="I1704" i="6" s="1"/>
  <c r="C1704" i="6"/>
  <c r="P1704" i="6"/>
  <c r="L1704" i="6"/>
  <c r="F1704" i="6"/>
  <c r="G1558" i="6"/>
  <c r="F1558" i="6"/>
  <c r="Q1558" i="6"/>
  <c r="D1558" i="6"/>
  <c r="H1558" i="6" s="1"/>
  <c r="I1558" i="6" s="1"/>
  <c r="C1558" i="6"/>
  <c r="B1558" i="6"/>
  <c r="P1558" i="6"/>
  <c r="L1558" i="6"/>
  <c r="J1558" i="6"/>
  <c r="G1566" i="6"/>
  <c r="P1566" i="6"/>
  <c r="C1566" i="6"/>
  <c r="L1566" i="6"/>
  <c r="B1566" i="6"/>
  <c r="J1566" i="6"/>
  <c r="Q1566" i="6"/>
  <c r="F1566" i="6"/>
  <c r="D1566" i="6"/>
  <c r="H1566" i="6" s="1"/>
  <c r="I1566" i="6" s="1"/>
  <c r="J1425" i="6"/>
  <c r="B1425" i="6"/>
  <c r="G1425" i="6"/>
  <c r="F1425" i="6"/>
  <c r="D1425" i="6"/>
  <c r="H1425" i="6" s="1"/>
  <c r="I1425" i="6" s="1"/>
  <c r="Q1425" i="6"/>
  <c r="C1425" i="6"/>
  <c r="L1425" i="6"/>
  <c r="P1425" i="6"/>
  <c r="F1353" i="6"/>
  <c r="Q1353" i="6"/>
  <c r="P1353" i="6"/>
  <c r="D1353" i="6"/>
  <c r="H1353" i="6" s="1"/>
  <c r="I1353" i="6" s="1"/>
  <c r="L1353" i="6"/>
  <c r="C1353" i="6"/>
  <c r="J1353" i="6"/>
  <c r="B1353" i="6"/>
  <c r="G1353" i="6"/>
  <c r="F1285" i="6"/>
  <c r="G1285" i="6"/>
  <c r="Q1285" i="6"/>
  <c r="D1285" i="6"/>
  <c r="H1285" i="6" s="1"/>
  <c r="I1285" i="6" s="1"/>
  <c r="L1285" i="6"/>
  <c r="J1285" i="6"/>
  <c r="P1285" i="6"/>
  <c r="C1285" i="6"/>
  <c r="B1285" i="6"/>
  <c r="G1294" i="6"/>
  <c r="P1294" i="6"/>
  <c r="B1294" i="6"/>
  <c r="L1294" i="6"/>
  <c r="J1294" i="6"/>
  <c r="F1294" i="6"/>
  <c r="D1294" i="6"/>
  <c r="H1294" i="6" s="1"/>
  <c r="I1294" i="6" s="1"/>
  <c r="C1294" i="6"/>
  <c r="Q1294" i="6"/>
  <c r="G1220" i="6"/>
  <c r="J1220" i="6"/>
  <c r="F1220" i="6"/>
  <c r="D1220" i="6"/>
  <c r="H1220" i="6" s="1"/>
  <c r="I1220" i="6" s="1"/>
  <c r="C1220" i="6"/>
  <c r="L1220" i="6"/>
  <c r="B1220" i="6"/>
  <c r="Q1220" i="6"/>
  <c r="P1220" i="6"/>
  <c r="J1159" i="6"/>
  <c r="B1159" i="6"/>
  <c r="F1159" i="6"/>
  <c r="D1159" i="6"/>
  <c r="H1159" i="6" s="1"/>
  <c r="I1159" i="6" s="1"/>
  <c r="C1159" i="6"/>
  <c r="Q1159" i="6"/>
  <c r="P1159" i="6"/>
  <c r="L1159" i="6"/>
  <c r="G1159" i="6"/>
  <c r="J1085" i="6"/>
  <c r="B1085" i="6"/>
  <c r="G1085" i="6"/>
  <c r="F1085" i="6"/>
  <c r="L1085" i="6"/>
  <c r="D1085" i="6"/>
  <c r="H1085" i="6" s="1"/>
  <c r="I1085" i="6" s="1"/>
  <c r="C1085" i="6"/>
  <c r="Q1085" i="6"/>
  <c r="P1085" i="6"/>
  <c r="F1009" i="6"/>
  <c r="J1009" i="6"/>
  <c r="P1009" i="6"/>
  <c r="B1009" i="6"/>
  <c r="L1009" i="6"/>
  <c r="G1009" i="6"/>
  <c r="D1009" i="6"/>
  <c r="H1009" i="6" s="1"/>
  <c r="I1009" i="6" s="1"/>
  <c r="C1009" i="6"/>
  <c r="Q1009" i="6"/>
  <c r="G1602" i="6"/>
  <c r="L1602" i="6"/>
  <c r="B1602" i="6"/>
  <c r="J1602" i="6"/>
  <c r="Q1602" i="6"/>
  <c r="P1602" i="6"/>
  <c r="F1602" i="6"/>
  <c r="D1602" i="6"/>
  <c r="H1602" i="6" s="1"/>
  <c r="I1602" i="6" s="1"/>
  <c r="C1602" i="6"/>
  <c r="P1469" i="6"/>
  <c r="D1469" i="6"/>
  <c r="H1469" i="6" s="1"/>
  <c r="I1469" i="6" s="1"/>
  <c r="L1469" i="6"/>
  <c r="B1469" i="6"/>
  <c r="J1469" i="6"/>
  <c r="F1469" i="6"/>
  <c r="C1469" i="6"/>
  <c r="Q1469" i="6"/>
  <c r="G1469" i="6"/>
  <c r="P1173" i="6"/>
  <c r="D1173" i="6"/>
  <c r="H1173" i="6" s="1"/>
  <c r="I1173" i="6" s="1"/>
  <c r="L1173" i="6"/>
  <c r="C1173" i="6"/>
  <c r="J1173" i="6"/>
  <c r="B1173" i="6"/>
  <c r="G1173" i="6"/>
  <c r="F1173" i="6"/>
  <c r="Q1173" i="6"/>
  <c r="Q1054" i="6"/>
  <c r="G1054" i="6"/>
  <c r="P1054" i="6"/>
  <c r="D1054" i="6"/>
  <c r="H1054" i="6" s="1"/>
  <c r="I1054" i="6" s="1"/>
  <c r="J1054" i="6"/>
  <c r="F1054" i="6"/>
  <c r="C1054" i="6"/>
  <c r="B1054" i="6"/>
  <c r="L1054" i="6"/>
  <c r="J1053" i="6"/>
  <c r="B1053" i="6"/>
  <c r="Q1053" i="6"/>
  <c r="C1053" i="6"/>
  <c r="P1053" i="6"/>
  <c r="L1053" i="6"/>
  <c r="G1053" i="6"/>
  <c r="F1053" i="6"/>
  <c r="D1053" i="6"/>
  <c r="H1053" i="6" s="1"/>
  <c r="I1053" i="6" s="1"/>
  <c r="G899" i="6"/>
  <c r="F899" i="6"/>
  <c r="Q899" i="6"/>
  <c r="P899" i="6"/>
  <c r="D899" i="6"/>
  <c r="H899" i="6" s="1"/>
  <c r="I899" i="6" s="1"/>
  <c r="L899" i="6"/>
  <c r="J899" i="6"/>
  <c r="C899" i="6"/>
  <c r="B899" i="6"/>
  <c r="P903" i="6"/>
  <c r="D903" i="6"/>
  <c r="H903" i="6" s="1"/>
  <c r="I903" i="6" s="1"/>
  <c r="L903" i="6"/>
  <c r="C903" i="6"/>
  <c r="J903" i="6"/>
  <c r="B903" i="6"/>
  <c r="Q903" i="6"/>
  <c r="G903" i="6"/>
  <c r="F903" i="6"/>
  <c r="L834" i="6"/>
  <c r="B834" i="6"/>
  <c r="J834" i="6"/>
  <c r="G834" i="6"/>
  <c r="F834" i="6"/>
  <c r="Q834" i="6"/>
  <c r="P834" i="6"/>
  <c r="D834" i="6"/>
  <c r="H834" i="6" s="1"/>
  <c r="I834" i="6" s="1"/>
  <c r="C834" i="6"/>
  <c r="Q758" i="6"/>
  <c r="P758" i="6"/>
  <c r="D758" i="6"/>
  <c r="H758" i="6" s="1"/>
  <c r="I758" i="6" s="1"/>
  <c r="L758" i="6"/>
  <c r="C758" i="6"/>
  <c r="J758" i="6"/>
  <c r="B758" i="6"/>
  <c r="G758" i="6"/>
  <c r="F758" i="6"/>
  <c r="J693" i="6"/>
  <c r="B693" i="6"/>
  <c r="Q693" i="6"/>
  <c r="D693" i="6"/>
  <c r="H693" i="6" s="1"/>
  <c r="I693" i="6" s="1"/>
  <c r="F693" i="6"/>
  <c r="C693" i="6"/>
  <c r="P693" i="6"/>
  <c r="L693" i="6"/>
  <c r="G693" i="6"/>
  <c r="P627" i="6"/>
  <c r="D627" i="6"/>
  <c r="H627" i="6" s="1"/>
  <c r="I627" i="6" s="1"/>
  <c r="L627" i="6"/>
  <c r="B627" i="6"/>
  <c r="F627" i="6"/>
  <c r="C627" i="6"/>
  <c r="Q627" i="6"/>
  <c r="J627" i="6"/>
  <c r="G627" i="6"/>
  <c r="G552" i="6"/>
  <c r="Q552" i="6"/>
  <c r="D552" i="6"/>
  <c r="H552" i="6" s="1"/>
  <c r="I552" i="6" s="1"/>
  <c r="P552" i="6"/>
  <c r="C552" i="6"/>
  <c r="L552" i="6"/>
  <c r="B552" i="6"/>
  <c r="J552" i="6"/>
  <c r="F552" i="6"/>
  <c r="J489" i="6"/>
  <c r="B489" i="6"/>
  <c r="Q489" i="6"/>
  <c r="D489" i="6"/>
  <c r="H489" i="6" s="1"/>
  <c r="I489" i="6" s="1"/>
  <c r="P489" i="6"/>
  <c r="C489" i="6"/>
  <c r="L489" i="6"/>
  <c r="G489" i="6"/>
  <c r="F489" i="6"/>
  <c r="J425" i="6"/>
  <c r="B425" i="6"/>
  <c r="Q425" i="6"/>
  <c r="D425" i="6"/>
  <c r="H425" i="6" s="1"/>
  <c r="I425" i="6" s="1"/>
  <c r="P425" i="6"/>
  <c r="C425" i="6"/>
  <c r="L425" i="6"/>
  <c r="G425" i="6"/>
  <c r="F425" i="6"/>
  <c r="P1678" i="6"/>
  <c r="D1678" i="6"/>
  <c r="H1678" i="6" s="1"/>
  <c r="I1678" i="6" s="1"/>
  <c r="J1678" i="6"/>
  <c r="B1678" i="6"/>
  <c r="G1678" i="6"/>
  <c r="F1678" i="6"/>
  <c r="C1678" i="6"/>
  <c r="Q1678" i="6"/>
  <c r="L1678" i="6"/>
  <c r="J1372" i="6"/>
  <c r="B1372" i="6"/>
  <c r="F1372" i="6"/>
  <c r="Q1372" i="6"/>
  <c r="D1372" i="6"/>
  <c r="H1372" i="6" s="1"/>
  <c r="I1372" i="6" s="1"/>
  <c r="P1372" i="6"/>
  <c r="C1372" i="6"/>
  <c r="L1372" i="6"/>
  <c r="G1372" i="6"/>
  <c r="J1380" i="6"/>
  <c r="B1380" i="6"/>
  <c r="L1380" i="6"/>
  <c r="G1380" i="6"/>
  <c r="F1380" i="6"/>
  <c r="D1380" i="6"/>
  <c r="H1380" i="6" s="1"/>
  <c r="I1380" i="6" s="1"/>
  <c r="C1380" i="6"/>
  <c r="Q1380" i="6"/>
  <c r="P1380" i="6"/>
  <c r="Q1128" i="6"/>
  <c r="P1128" i="6"/>
  <c r="D1128" i="6"/>
  <c r="H1128" i="6" s="1"/>
  <c r="I1128" i="6" s="1"/>
  <c r="L1128" i="6"/>
  <c r="C1128" i="6"/>
  <c r="F1128" i="6"/>
  <c r="B1128" i="6"/>
  <c r="J1128" i="6"/>
  <c r="G1128" i="6"/>
  <c r="G448" i="6"/>
  <c r="Q448" i="6"/>
  <c r="D448" i="6"/>
  <c r="H448" i="6" s="1"/>
  <c r="I448" i="6" s="1"/>
  <c r="J448" i="6"/>
  <c r="F448" i="6"/>
  <c r="P448" i="6"/>
  <c r="L448" i="6"/>
  <c r="C448" i="6"/>
  <c r="B448" i="6"/>
  <c r="G47" i="6"/>
  <c r="F47" i="6"/>
  <c r="Q47" i="6"/>
  <c r="P47" i="6"/>
  <c r="C47" i="6"/>
  <c r="B47" i="6"/>
  <c r="G1438" i="6"/>
  <c r="J1438" i="6"/>
  <c r="F1438" i="6"/>
  <c r="D1438" i="6"/>
  <c r="H1438" i="6" s="1"/>
  <c r="I1438" i="6" s="1"/>
  <c r="C1438" i="6"/>
  <c r="Q1438" i="6"/>
  <c r="P1438" i="6"/>
  <c r="L1438" i="6"/>
  <c r="B1438" i="6"/>
  <c r="L1324" i="6"/>
  <c r="C1324" i="6"/>
  <c r="F1324" i="6"/>
  <c r="Q1324" i="6"/>
  <c r="D1324" i="6"/>
  <c r="H1324" i="6" s="1"/>
  <c r="I1324" i="6" s="1"/>
  <c r="B1324" i="6"/>
  <c r="P1324" i="6"/>
  <c r="J1324" i="6"/>
  <c r="G1324" i="6"/>
  <c r="G1198" i="6"/>
  <c r="F1198" i="6"/>
  <c r="Q1198" i="6"/>
  <c r="P1198" i="6"/>
  <c r="B1198" i="6"/>
  <c r="L1198" i="6"/>
  <c r="J1198" i="6"/>
  <c r="D1198" i="6"/>
  <c r="H1198" i="6" s="1"/>
  <c r="I1198" i="6" s="1"/>
  <c r="C1198" i="6"/>
  <c r="G1212" i="6"/>
  <c r="C1212" i="6"/>
  <c r="Q1212" i="6"/>
  <c r="B1212" i="6"/>
  <c r="P1212" i="6"/>
  <c r="L1212" i="6"/>
  <c r="J1212" i="6"/>
  <c r="F1212" i="6"/>
  <c r="D1212" i="6"/>
  <c r="H1212" i="6" s="1"/>
  <c r="I1212" i="6" s="1"/>
  <c r="P931" i="6"/>
  <c r="D931" i="6"/>
  <c r="H931" i="6" s="1"/>
  <c r="I931" i="6" s="1"/>
  <c r="J931" i="6"/>
  <c r="G931" i="6"/>
  <c r="F931" i="6"/>
  <c r="Q931" i="6"/>
  <c r="L931" i="6"/>
  <c r="B931" i="6"/>
  <c r="C931" i="6"/>
  <c r="L860" i="6"/>
  <c r="C860" i="6"/>
  <c r="J860" i="6"/>
  <c r="B860" i="6"/>
  <c r="G860" i="6"/>
  <c r="P860" i="6"/>
  <c r="F860" i="6"/>
  <c r="D860" i="6"/>
  <c r="H860" i="6" s="1"/>
  <c r="I860" i="6" s="1"/>
  <c r="Q860" i="6"/>
  <c r="Q790" i="6"/>
  <c r="P790" i="6"/>
  <c r="D790" i="6"/>
  <c r="H790" i="6" s="1"/>
  <c r="I790" i="6" s="1"/>
  <c r="L790" i="6"/>
  <c r="C790" i="6"/>
  <c r="J790" i="6"/>
  <c r="B790" i="6"/>
  <c r="G790" i="6"/>
  <c r="F790" i="6"/>
  <c r="Q734" i="6"/>
  <c r="G734" i="6"/>
  <c r="F734" i="6"/>
  <c r="P734" i="6"/>
  <c r="D734" i="6"/>
  <c r="H734" i="6" s="1"/>
  <c r="I734" i="6" s="1"/>
  <c r="C734" i="6"/>
  <c r="B734" i="6"/>
  <c r="L734" i="6"/>
  <c r="J734" i="6"/>
  <c r="F658" i="6"/>
  <c r="L658" i="6"/>
  <c r="J658" i="6"/>
  <c r="G658" i="6"/>
  <c r="Q658" i="6"/>
  <c r="P658" i="6"/>
  <c r="D658" i="6"/>
  <c r="H658" i="6" s="1"/>
  <c r="I658" i="6" s="1"/>
  <c r="C658" i="6"/>
  <c r="B658" i="6"/>
  <c r="F589" i="6"/>
  <c r="L589" i="6"/>
  <c r="B589" i="6"/>
  <c r="J589" i="6"/>
  <c r="G589" i="6"/>
  <c r="P589" i="6"/>
  <c r="D589" i="6"/>
  <c r="H589" i="6" s="1"/>
  <c r="I589" i="6" s="1"/>
  <c r="C589" i="6"/>
  <c r="Q589" i="6"/>
  <c r="G528" i="6"/>
  <c r="F528" i="6"/>
  <c r="Q528" i="6"/>
  <c r="D528" i="6"/>
  <c r="H528" i="6" s="1"/>
  <c r="I528" i="6" s="1"/>
  <c r="P528" i="6"/>
  <c r="L528" i="6"/>
  <c r="J528" i="6"/>
  <c r="C528" i="6"/>
  <c r="B528" i="6"/>
  <c r="Q458" i="6"/>
  <c r="L458" i="6"/>
  <c r="B458" i="6"/>
  <c r="J458" i="6"/>
  <c r="G458" i="6"/>
  <c r="F458" i="6"/>
  <c r="D458" i="6"/>
  <c r="H458" i="6" s="1"/>
  <c r="I458" i="6" s="1"/>
  <c r="C458" i="6"/>
  <c r="P458" i="6"/>
  <c r="P387" i="6"/>
  <c r="D387" i="6"/>
  <c r="H387" i="6" s="1"/>
  <c r="I387" i="6" s="1"/>
  <c r="G387" i="6"/>
  <c r="F387" i="6"/>
  <c r="Q387" i="6"/>
  <c r="C387" i="6"/>
  <c r="B387" i="6"/>
  <c r="L387" i="6"/>
  <c r="J387" i="6"/>
  <c r="F313" i="6"/>
  <c r="L313" i="6"/>
  <c r="B313" i="6"/>
  <c r="J313" i="6"/>
  <c r="G313" i="6"/>
  <c r="Q313" i="6"/>
  <c r="P313" i="6"/>
  <c r="D313" i="6"/>
  <c r="H313" i="6" s="1"/>
  <c r="I313" i="6" s="1"/>
  <c r="C313" i="6"/>
  <c r="P259" i="6"/>
  <c r="D259" i="6"/>
  <c r="H259" i="6" s="1"/>
  <c r="I259" i="6" s="1"/>
  <c r="F259" i="6"/>
  <c r="C259" i="6"/>
  <c r="Q259" i="6"/>
  <c r="B259" i="6"/>
  <c r="L259" i="6"/>
  <c r="J259" i="6"/>
  <c r="G259" i="6"/>
  <c r="L256" i="6"/>
  <c r="C256" i="6"/>
  <c r="J256" i="6"/>
  <c r="D256" i="6"/>
  <c r="H256" i="6" s="1"/>
  <c r="I256" i="6" s="1"/>
  <c r="Q256" i="6"/>
  <c r="B256" i="6"/>
  <c r="P256" i="6"/>
  <c r="F256" i="6"/>
  <c r="G256" i="6"/>
  <c r="Q118" i="6"/>
  <c r="L118" i="6"/>
  <c r="C118" i="6"/>
  <c r="J118" i="6"/>
  <c r="B118" i="6"/>
  <c r="G118" i="6"/>
  <c r="D118" i="6"/>
  <c r="H118" i="6" s="1"/>
  <c r="I118" i="6" s="1"/>
  <c r="F118" i="6"/>
  <c r="P118" i="6"/>
  <c r="G45" i="6"/>
  <c r="F45" i="6"/>
  <c r="Q45" i="6"/>
  <c r="P45" i="6"/>
  <c r="C45" i="6"/>
  <c r="B45" i="6"/>
  <c r="J1111" i="6"/>
  <c r="B1111" i="6"/>
  <c r="F1111" i="6"/>
  <c r="D1111" i="6"/>
  <c r="H1111" i="6" s="1"/>
  <c r="I1111" i="6" s="1"/>
  <c r="C1111" i="6"/>
  <c r="Q1111" i="6"/>
  <c r="P1111" i="6"/>
  <c r="L1111" i="6"/>
  <c r="G1111" i="6"/>
  <c r="G1100" i="6"/>
  <c r="F1100" i="6"/>
  <c r="Q1100" i="6"/>
  <c r="P1100" i="6"/>
  <c r="D1100" i="6"/>
  <c r="H1100" i="6" s="1"/>
  <c r="I1100" i="6" s="1"/>
  <c r="L1100" i="6"/>
  <c r="C1100" i="6"/>
  <c r="B1100" i="6"/>
  <c r="J1100" i="6"/>
  <c r="L1106" i="6"/>
  <c r="C1106" i="6"/>
  <c r="J1106" i="6"/>
  <c r="B1106" i="6"/>
  <c r="P1106" i="6"/>
  <c r="G1106" i="6"/>
  <c r="F1106" i="6"/>
  <c r="Q1106" i="6"/>
  <c r="D1106" i="6"/>
  <c r="H1106" i="6" s="1"/>
  <c r="I1106" i="6" s="1"/>
  <c r="P1071" i="6"/>
  <c r="C1071" i="6"/>
  <c r="L1071" i="6"/>
  <c r="B1071" i="6"/>
  <c r="J1071" i="6"/>
  <c r="Q1071" i="6"/>
  <c r="G1071" i="6"/>
  <c r="F1071" i="6"/>
  <c r="D1071" i="6"/>
  <c r="H1071" i="6" s="1"/>
  <c r="I1071" i="6" s="1"/>
  <c r="L368" i="6"/>
  <c r="C368" i="6"/>
  <c r="J368" i="6"/>
  <c r="G368" i="6"/>
  <c r="F368" i="6"/>
  <c r="D368" i="6"/>
  <c r="H368" i="6" s="1"/>
  <c r="I368" i="6" s="1"/>
  <c r="B368" i="6"/>
  <c r="P368" i="6"/>
  <c r="Q368" i="6"/>
  <c r="G1693" i="6"/>
  <c r="P1693" i="6"/>
  <c r="D1693" i="6"/>
  <c r="H1693" i="6" s="1"/>
  <c r="I1693" i="6" s="1"/>
  <c r="F1693" i="6"/>
  <c r="C1693" i="6"/>
  <c r="Q1693" i="6"/>
  <c r="L1693" i="6"/>
  <c r="J1693" i="6"/>
  <c r="B1693" i="6"/>
  <c r="G1630" i="6"/>
  <c r="F1630" i="6"/>
  <c r="D1630" i="6"/>
  <c r="H1630" i="6" s="1"/>
  <c r="I1630" i="6" s="1"/>
  <c r="C1630" i="6"/>
  <c r="B1630" i="6"/>
  <c r="Q1630" i="6"/>
  <c r="P1630" i="6"/>
  <c r="L1630" i="6"/>
  <c r="J1630" i="6"/>
  <c r="P1557" i="6"/>
  <c r="D1557" i="6"/>
  <c r="H1557" i="6" s="1"/>
  <c r="I1557" i="6" s="1"/>
  <c r="L1557" i="6"/>
  <c r="B1557" i="6"/>
  <c r="J1557" i="6"/>
  <c r="Q1557" i="6"/>
  <c r="G1557" i="6"/>
  <c r="C1557" i="6"/>
  <c r="F1557" i="6"/>
  <c r="F1489" i="6"/>
  <c r="Q1489" i="6"/>
  <c r="D1489" i="6"/>
  <c r="H1489" i="6" s="1"/>
  <c r="I1489" i="6" s="1"/>
  <c r="P1489" i="6"/>
  <c r="C1489" i="6"/>
  <c r="B1489" i="6"/>
  <c r="L1489" i="6"/>
  <c r="G1489" i="6"/>
  <c r="J1489" i="6"/>
  <c r="L1420" i="6"/>
  <c r="C1420" i="6"/>
  <c r="P1420" i="6"/>
  <c r="J1420" i="6"/>
  <c r="G1420" i="6"/>
  <c r="F1420" i="6"/>
  <c r="D1420" i="6"/>
  <c r="H1420" i="6" s="1"/>
  <c r="I1420" i="6" s="1"/>
  <c r="B1420" i="6"/>
  <c r="Q1420" i="6"/>
  <c r="L1352" i="6"/>
  <c r="C1352" i="6"/>
  <c r="J1352" i="6"/>
  <c r="B1352" i="6"/>
  <c r="G1352" i="6"/>
  <c r="F1352" i="6"/>
  <c r="D1352" i="6"/>
  <c r="H1352" i="6" s="1"/>
  <c r="I1352" i="6" s="1"/>
  <c r="Q1352" i="6"/>
  <c r="P1352" i="6"/>
  <c r="L1292" i="6"/>
  <c r="C1292" i="6"/>
  <c r="F1292" i="6"/>
  <c r="Q1292" i="6"/>
  <c r="D1292" i="6"/>
  <c r="H1292" i="6" s="1"/>
  <c r="I1292" i="6" s="1"/>
  <c r="B1292" i="6"/>
  <c r="P1292" i="6"/>
  <c r="G1292" i="6"/>
  <c r="J1292" i="6"/>
  <c r="G1214" i="6"/>
  <c r="F1214" i="6"/>
  <c r="Q1214" i="6"/>
  <c r="P1214" i="6"/>
  <c r="B1214" i="6"/>
  <c r="L1214" i="6"/>
  <c r="J1214" i="6"/>
  <c r="D1214" i="6"/>
  <c r="H1214" i="6" s="1"/>
  <c r="I1214" i="6" s="1"/>
  <c r="C1214" i="6"/>
  <c r="G1161" i="6"/>
  <c r="F1161" i="6"/>
  <c r="D1161" i="6"/>
  <c r="H1161" i="6" s="1"/>
  <c r="I1161" i="6" s="1"/>
  <c r="C1161" i="6"/>
  <c r="Q1161" i="6"/>
  <c r="B1161" i="6"/>
  <c r="P1161" i="6"/>
  <c r="L1161" i="6"/>
  <c r="J1161" i="6"/>
  <c r="G1148" i="6"/>
  <c r="C1148" i="6"/>
  <c r="Q1148" i="6"/>
  <c r="B1148" i="6"/>
  <c r="P1148" i="6"/>
  <c r="L1148" i="6"/>
  <c r="J1148" i="6"/>
  <c r="F1148" i="6"/>
  <c r="D1148" i="6"/>
  <c r="H1148" i="6" s="1"/>
  <c r="I1148" i="6" s="1"/>
  <c r="P1019" i="6"/>
  <c r="D1019" i="6"/>
  <c r="H1019" i="6" s="1"/>
  <c r="I1019" i="6" s="1"/>
  <c r="G1019" i="6"/>
  <c r="C1019" i="6"/>
  <c r="Q1019" i="6"/>
  <c r="B1019" i="6"/>
  <c r="L1019" i="6"/>
  <c r="J1019" i="6"/>
  <c r="F1019" i="6"/>
  <c r="F1025" i="6"/>
  <c r="J1025" i="6"/>
  <c r="G1025" i="6"/>
  <c r="D1025" i="6"/>
  <c r="H1025" i="6" s="1"/>
  <c r="I1025" i="6" s="1"/>
  <c r="Q1025" i="6"/>
  <c r="C1025" i="6"/>
  <c r="L1025" i="6"/>
  <c r="B1025" i="6"/>
  <c r="P1025" i="6"/>
  <c r="Q1596" i="6"/>
  <c r="G1596" i="6"/>
  <c r="F1596" i="6"/>
  <c r="P1596" i="6"/>
  <c r="D1596" i="6"/>
  <c r="H1596" i="6" s="1"/>
  <c r="I1596" i="6" s="1"/>
  <c r="C1596" i="6"/>
  <c r="B1596" i="6"/>
  <c r="L1596" i="6"/>
  <c r="J1596" i="6"/>
  <c r="G1587" i="6"/>
  <c r="F1587" i="6"/>
  <c r="J1587" i="6"/>
  <c r="D1587" i="6"/>
  <c r="H1587" i="6" s="1"/>
  <c r="I1587" i="6" s="1"/>
  <c r="C1587" i="6"/>
  <c r="Q1587" i="6"/>
  <c r="P1587" i="6"/>
  <c r="L1587" i="6"/>
  <c r="B1587" i="6"/>
  <c r="J1167" i="6"/>
  <c r="B1167" i="6"/>
  <c r="Q1167" i="6"/>
  <c r="P1167" i="6"/>
  <c r="L1167" i="6"/>
  <c r="G1167" i="6"/>
  <c r="F1167" i="6"/>
  <c r="D1167" i="6"/>
  <c r="H1167" i="6" s="1"/>
  <c r="I1167" i="6" s="1"/>
  <c r="C1167" i="6"/>
  <c r="L1056" i="6"/>
  <c r="C1056" i="6"/>
  <c r="F1056" i="6"/>
  <c r="P1056" i="6"/>
  <c r="J1056" i="6"/>
  <c r="G1056" i="6"/>
  <c r="D1056" i="6"/>
  <c r="H1056" i="6" s="1"/>
  <c r="I1056" i="6" s="1"/>
  <c r="B1056" i="6"/>
  <c r="Q1056" i="6"/>
  <c r="Q966" i="6"/>
  <c r="G966" i="6"/>
  <c r="F966" i="6"/>
  <c r="P966" i="6"/>
  <c r="D966" i="6"/>
  <c r="H966" i="6" s="1"/>
  <c r="I966" i="6" s="1"/>
  <c r="L966" i="6"/>
  <c r="C966" i="6"/>
  <c r="B966" i="6"/>
  <c r="J966" i="6"/>
  <c r="Q974" i="6"/>
  <c r="L974" i="6"/>
  <c r="C974" i="6"/>
  <c r="J974" i="6"/>
  <c r="B974" i="6"/>
  <c r="G974" i="6"/>
  <c r="P974" i="6"/>
  <c r="F974" i="6"/>
  <c r="D974" i="6"/>
  <c r="H974" i="6" s="1"/>
  <c r="I974" i="6" s="1"/>
  <c r="F905" i="6"/>
  <c r="Q905" i="6"/>
  <c r="D905" i="6"/>
  <c r="H905" i="6" s="1"/>
  <c r="I905" i="6" s="1"/>
  <c r="P905" i="6"/>
  <c r="C905" i="6"/>
  <c r="L905" i="6"/>
  <c r="B905" i="6"/>
  <c r="J905" i="6"/>
  <c r="G905" i="6"/>
  <c r="Q766" i="6"/>
  <c r="G766" i="6"/>
  <c r="F766" i="6"/>
  <c r="P766" i="6"/>
  <c r="D766" i="6"/>
  <c r="H766" i="6" s="1"/>
  <c r="I766" i="6" s="1"/>
  <c r="L766" i="6"/>
  <c r="J766" i="6"/>
  <c r="C766" i="6"/>
  <c r="B766" i="6"/>
  <c r="F1692" i="6"/>
  <c r="P1692" i="6"/>
  <c r="D1692" i="6"/>
  <c r="H1692" i="6" s="1"/>
  <c r="I1692" i="6" s="1"/>
  <c r="G1692" i="6"/>
  <c r="C1692" i="6"/>
  <c r="Q1692" i="6"/>
  <c r="B1692" i="6"/>
  <c r="L1692" i="6"/>
  <c r="J1692" i="6"/>
  <c r="F1624" i="6"/>
  <c r="Q1624" i="6"/>
  <c r="P1624" i="6"/>
  <c r="D1624" i="6"/>
  <c r="H1624" i="6" s="1"/>
  <c r="I1624" i="6" s="1"/>
  <c r="B1624" i="6"/>
  <c r="L1624" i="6"/>
  <c r="J1624" i="6"/>
  <c r="C1624" i="6"/>
  <c r="G1624" i="6"/>
  <c r="J1567" i="6"/>
  <c r="B1567" i="6"/>
  <c r="G1567" i="6"/>
  <c r="F1567" i="6"/>
  <c r="D1567" i="6"/>
  <c r="H1567" i="6" s="1"/>
  <c r="I1567" i="6" s="1"/>
  <c r="C1567" i="6"/>
  <c r="Q1567" i="6"/>
  <c r="P1567" i="6"/>
  <c r="L1567" i="6"/>
  <c r="P1493" i="6"/>
  <c r="D1493" i="6"/>
  <c r="H1493" i="6" s="1"/>
  <c r="I1493" i="6" s="1"/>
  <c r="G1493" i="6"/>
  <c r="F1493" i="6"/>
  <c r="C1493" i="6"/>
  <c r="B1493" i="6"/>
  <c r="Q1493" i="6"/>
  <c r="L1493" i="6"/>
  <c r="J1493" i="6"/>
  <c r="G1486" i="6"/>
  <c r="J1486" i="6"/>
  <c r="F1486" i="6"/>
  <c r="P1486" i="6"/>
  <c r="L1486" i="6"/>
  <c r="D1486" i="6"/>
  <c r="H1486" i="6" s="1"/>
  <c r="I1486" i="6" s="1"/>
  <c r="C1486" i="6"/>
  <c r="B1486" i="6"/>
  <c r="Q1486" i="6"/>
  <c r="G1430" i="6"/>
  <c r="J1430" i="6"/>
  <c r="F1430" i="6"/>
  <c r="D1430" i="6"/>
  <c r="H1430" i="6" s="1"/>
  <c r="I1430" i="6" s="1"/>
  <c r="Q1430" i="6"/>
  <c r="C1430" i="6"/>
  <c r="P1430" i="6"/>
  <c r="L1430" i="6"/>
  <c r="B1430" i="6"/>
  <c r="L1360" i="6"/>
  <c r="C1360" i="6"/>
  <c r="J1360" i="6"/>
  <c r="B1360" i="6"/>
  <c r="G1360" i="6"/>
  <c r="Q1360" i="6"/>
  <c r="D1360" i="6"/>
  <c r="H1360" i="6" s="1"/>
  <c r="I1360" i="6" s="1"/>
  <c r="P1360" i="6"/>
  <c r="F1360" i="6"/>
  <c r="F1293" i="6"/>
  <c r="L1293" i="6"/>
  <c r="B1293" i="6"/>
  <c r="C1293" i="6"/>
  <c r="Q1293" i="6"/>
  <c r="P1293" i="6"/>
  <c r="J1293" i="6"/>
  <c r="G1293" i="6"/>
  <c r="D1293" i="6"/>
  <c r="H1293" i="6" s="1"/>
  <c r="I1293" i="6" s="1"/>
  <c r="P1213" i="6"/>
  <c r="D1213" i="6"/>
  <c r="H1213" i="6" s="1"/>
  <c r="I1213" i="6" s="1"/>
  <c r="L1213" i="6"/>
  <c r="C1213" i="6"/>
  <c r="J1213" i="6"/>
  <c r="B1213" i="6"/>
  <c r="Q1213" i="6"/>
  <c r="G1213" i="6"/>
  <c r="F1213" i="6"/>
  <c r="F1155" i="6"/>
  <c r="Q1155" i="6"/>
  <c r="P1155" i="6"/>
  <c r="D1155" i="6"/>
  <c r="H1155" i="6" s="1"/>
  <c r="I1155" i="6" s="1"/>
  <c r="G1155" i="6"/>
  <c r="C1155" i="6"/>
  <c r="L1155" i="6"/>
  <c r="J1155" i="6"/>
  <c r="B1155" i="6"/>
  <c r="F1147" i="6"/>
  <c r="Q1147" i="6"/>
  <c r="P1147" i="6"/>
  <c r="D1147" i="6"/>
  <c r="H1147" i="6" s="1"/>
  <c r="I1147" i="6" s="1"/>
  <c r="C1147" i="6"/>
  <c r="B1147" i="6"/>
  <c r="L1147" i="6"/>
  <c r="J1147" i="6"/>
  <c r="G1147" i="6"/>
  <c r="Q1086" i="6"/>
  <c r="P1086" i="6"/>
  <c r="D1086" i="6"/>
  <c r="H1086" i="6" s="1"/>
  <c r="I1086" i="6" s="1"/>
  <c r="L1086" i="6"/>
  <c r="C1086" i="6"/>
  <c r="J1086" i="6"/>
  <c r="B1086" i="6"/>
  <c r="G1086" i="6"/>
  <c r="F1086" i="6"/>
  <c r="G1082" i="6"/>
  <c r="F1082" i="6"/>
  <c r="Q1082" i="6"/>
  <c r="J1082" i="6"/>
  <c r="D1082" i="6"/>
  <c r="H1082" i="6" s="1"/>
  <c r="I1082" i="6" s="1"/>
  <c r="C1082" i="6"/>
  <c r="P1082" i="6"/>
  <c r="L1082" i="6"/>
  <c r="B1082" i="6"/>
  <c r="D1023" i="6"/>
  <c r="H1023" i="6" s="1"/>
  <c r="I1023" i="6" s="1"/>
  <c r="Q1023" i="6"/>
  <c r="C1023" i="6"/>
  <c r="P1023" i="6"/>
  <c r="B1023" i="6"/>
  <c r="L1023" i="6"/>
  <c r="J1023" i="6"/>
  <c r="G1023" i="6"/>
  <c r="F1023" i="6"/>
  <c r="F1010" i="6"/>
  <c r="J1010" i="6"/>
  <c r="G1010" i="6"/>
  <c r="D1010" i="6"/>
  <c r="H1010" i="6" s="1"/>
  <c r="I1010" i="6" s="1"/>
  <c r="Q1010" i="6"/>
  <c r="P1010" i="6"/>
  <c r="L1010" i="6"/>
  <c r="B1010" i="6"/>
  <c r="C1010" i="6"/>
  <c r="G42" i="6"/>
  <c r="F42" i="6"/>
  <c r="Q42" i="6"/>
  <c r="P42" i="6"/>
  <c r="C42" i="6"/>
  <c r="B42" i="6"/>
  <c r="P1601" i="6"/>
  <c r="D1601" i="6"/>
  <c r="H1601" i="6" s="1"/>
  <c r="I1601" i="6" s="1"/>
  <c r="F1601" i="6"/>
  <c r="Q1601" i="6"/>
  <c r="C1601" i="6"/>
  <c r="L1601" i="6"/>
  <c r="B1601" i="6"/>
  <c r="G1601" i="6"/>
  <c r="J1601" i="6"/>
  <c r="P1593" i="6"/>
  <c r="D1593" i="6"/>
  <c r="H1593" i="6" s="1"/>
  <c r="I1593" i="6" s="1"/>
  <c r="J1593" i="6"/>
  <c r="G1593" i="6"/>
  <c r="Q1593" i="6"/>
  <c r="L1593" i="6"/>
  <c r="F1593" i="6"/>
  <c r="C1593" i="6"/>
  <c r="B1593" i="6"/>
  <c r="P1477" i="6"/>
  <c r="D1477" i="6"/>
  <c r="H1477" i="6" s="1"/>
  <c r="I1477" i="6" s="1"/>
  <c r="G1477" i="6"/>
  <c r="F1477" i="6"/>
  <c r="Q1477" i="6"/>
  <c r="L1477" i="6"/>
  <c r="J1477" i="6"/>
  <c r="C1477" i="6"/>
  <c r="B1477" i="6"/>
  <c r="L1474" i="6"/>
  <c r="C1474" i="6"/>
  <c r="P1474" i="6"/>
  <c r="B1474" i="6"/>
  <c r="J1474" i="6"/>
  <c r="Q1474" i="6"/>
  <c r="G1474" i="6"/>
  <c r="F1474" i="6"/>
  <c r="D1474" i="6"/>
  <c r="H1474" i="6" s="1"/>
  <c r="I1474" i="6" s="1"/>
  <c r="G1177" i="6"/>
  <c r="F1177" i="6"/>
  <c r="D1177" i="6"/>
  <c r="H1177" i="6" s="1"/>
  <c r="I1177" i="6" s="1"/>
  <c r="C1177" i="6"/>
  <c r="Q1177" i="6"/>
  <c r="B1177" i="6"/>
  <c r="P1177" i="6"/>
  <c r="L1177" i="6"/>
  <c r="J1177" i="6"/>
  <c r="J1175" i="6"/>
  <c r="B1175" i="6"/>
  <c r="F1175" i="6"/>
  <c r="D1175" i="6"/>
  <c r="H1175" i="6" s="1"/>
  <c r="I1175" i="6" s="1"/>
  <c r="C1175" i="6"/>
  <c r="Q1175" i="6"/>
  <c r="G1175" i="6"/>
  <c r="P1175" i="6"/>
  <c r="L1175" i="6"/>
  <c r="Q1047" i="6"/>
  <c r="D1047" i="6"/>
  <c r="H1047" i="6" s="1"/>
  <c r="I1047" i="6" s="1"/>
  <c r="G1047" i="6"/>
  <c r="F1047" i="6"/>
  <c r="C1047" i="6"/>
  <c r="B1047" i="6"/>
  <c r="L1047" i="6"/>
  <c r="J1047" i="6"/>
  <c r="P1047" i="6"/>
  <c r="F1057" i="6"/>
  <c r="Q1057" i="6"/>
  <c r="D1057" i="6"/>
  <c r="H1057" i="6" s="1"/>
  <c r="I1057" i="6" s="1"/>
  <c r="L1057" i="6"/>
  <c r="B1057" i="6"/>
  <c r="J1057" i="6"/>
  <c r="P1057" i="6"/>
  <c r="G1057" i="6"/>
  <c r="C1057" i="6"/>
  <c r="L968" i="6"/>
  <c r="C968" i="6"/>
  <c r="G968" i="6"/>
  <c r="F968" i="6"/>
  <c r="Q968" i="6"/>
  <c r="D968" i="6"/>
  <c r="H968" i="6" s="1"/>
  <c r="I968" i="6" s="1"/>
  <c r="B968" i="6"/>
  <c r="J968" i="6"/>
  <c r="P968" i="6"/>
  <c r="J965" i="6"/>
  <c r="B965" i="6"/>
  <c r="P965" i="6"/>
  <c r="C965" i="6"/>
  <c r="L965" i="6"/>
  <c r="G965" i="6"/>
  <c r="D965" i="6"/>
  <c r="H965" i="6" s="1"/>
  <c r="I965" i="6" s="1"/>
  <c r="F965" i="6"/>
  <c r="Q965" i="6"/>
  <c r="G891" i="6"/>
  <c r="F891" i="6"/>
  <c r="Q891" i="6"/>
  <c r="P891" i="6"/>
  <c r="D891" i="6"/>
  <c r="H891" i="6" s="1"/>
  <c r="I891" i="6" s="1"/>
  <c r="C891" i="6"/>
  <c r="B891" i="6"/>
  <c r="L891" i="6"/>
  <c r="J891" i="6"/>
  <c r="L892" i="6"/>
  <c r="C892" i="6"/>
  <c r="J892" i="6"/>
  <c r="B892" i="6"/>
  <c r="G892" i="6"/>
  <c r="P892" i="6"/>
  <c r="F892" i="6"/>
  <c r="D892" i="6"/>
  <c r="H892" i="6" s="1"/>
  <c r="I892" i="6" s="1"/>
  <c r="Q892" i="6"/>
  <c r="F838" i="6"/>
  <c r="Q838" i="6"/>
  <c r="G838" i="6"/>
  <c r="D838" i="6"/>
  <c r="H838" i="6" s="1"/>
  <c r="I838" i="6" s="1"/>
  <c r="C838" i="6"/>
  <c r="J838" i="6"/>
  <c r="B838" i="6"/>
  <c r="P838" i="6"/>
  <c r="L838" i="6"/>
  <c r="Q831" i="6"/>
  <c r="D831" i="6"/>
  <c r="H831" i="6" s="1"/>
  <c r="I831" i="6" s="1"/>
  <c r="P831" i="6"/>
  <c r="C831" i="6"/>
  <c r="L831" i="6"/>
  <c r="B831" i="6"/>
  <c r="J831" i="6"/>
  <c r="G831" i="6"/>
  <c r="F831" i="6"/>
  <c r="G764" i="6"/>
  <c r="F764" i="6"/>
  <c r="Q764" i="6"/>
  <c r="D764" i="6"/>
  <c r="H764" i="6" s="1"/>
  <c r="I764" i="6" s="1"/>
  <c r="P764" i="6"/>
  <c r="C764" i="6"/>
  <c r="L764" i="6"/>
  <c r="J764" i="6"/>
  <c r="B764" i="6"/>
  <c r="Q767" i="6"/>
  <c r="D767" i="6"/>
  <c r="H767" i="6" s="1"/>
  <c r="I767" i="6" s="1"/>
  <c r="P767" i="6"/>
  <c r="C767" i="6"/>
  <c r="L767" i="6"/>
  <c r="B767" i="6"/>
  <c r="J767" i="6"/>
  <c r="G767" i="6"/>
  <c r="F767" i="6"/>
  <c r="L688" i="6"/>
  <c r="C688" i="6"/>
  <c r="G688" i="6"/>
  <c r="F688" i="6"/>
  <c r="Q688" i="6"/>
  <c r="D688" i="6"/>
  <c r="H688" i="6" s="1"/>
  <c r="I688" i="6" s="1"/>
  <c r="P688" i="6"/>
  <c r="J688" i="6"/>
  <c r="B688" i="6"/>
  <c r="P687" i="6"/>
  <c r="B687" i="6"/>
  <c r="L687" i="6"/>
  <c r="J687" i="6"/>
  <c r="G687" i="6"/>
  <c r="F687" i="6"/>
  <c r="Q687" i="6"/>
  <c r="D687" i="6"/>
  <c r="H687" i="6" s="1"/>
  <c r="I687" i="6" s="1"/>
  <c r="C687" i="6"/>
  <c r="Q622" i="6"/>
  <c r="P622" i="6"/>
  <c r="D622" i="6"/>
  <c r="H622" i="6" s="1"/>
  <c r="I622" i="6" s="1"/>
  <c r="G622" i="6"/>
  <c r="F622" i="6"/>
  <c r="L622" i="6"/>
  <c r="J622" i="6"/>
  <c r="C622" i="6"/>
  <c r="B622" i="6"/>
  <c r="L624" i="6"/>
  <c r="C624" i="6"/>
  <c r="Q624" i="6"/>
  <c r="D624" i="6"/>
  <c r="H624" i="6" s="1"/>
  <c r="I624" i="6" s="1"/>
  <c r="P624" i="6"/>
  <c r="B624" i="6"/>
  <c r="J624" i="6"/>
  <c r="G624" i="6"/>
  <c r="F624" i="6"/>
  <c r="F565" i="6"/>
  <c r="G565" i="6"/>
  <c r="Q565" i="6"/>
  <c r="D565" i="6"/>
  <c r="H565" i="6" s="1"/>
  <c r="I565" i="6" s="1"/>
  <c r="P565" i="6"/>
  <c r="C565" i="6"/>
  <c r="L565" i="6"/>
  <c r="B565" i="6"/>
  <c r="J565" i="6"/>
  <c r="P559" i="6"/>
  <c r="D559" i="6"/>
  <c r="H559" i="6" s="1"/>
  <c r="I559" i="6" s="1"/>
  <c r="Q559" i="6"/>
  <c r="C559" i="6"/>
  <c r="L559" i="6"/>
  <c r="B559" i="6"/>
  <c r="J559" i="6"/>
  <c r="F559" i="6"/>
  <c r="G559" i="6"/>
  <c r="G491" i="6"/>
  <c r="F491" i="6"/>
  <c r="Q491" i="6"/>
  <c r="D491" i="6"/>
  <c r="H491" i="6" s="1"/>
  <c r="I491" i="6" s="1"/>
  <c r="P491" i="6"/>
  <c r="C491" i="6"/>
  <c r="J491" i="6"/>
  <c r="B491" i="6"/>
  <c r="L491" i="6"/>
  <c r="F493" i="6"/>
  <c r="G493" i="6"/>
  <c r="P493" i="6"/>
  <c r="B493" i="6"/>
  <c r="L493" i="6"/>
  <c r="J493" i="6"/>
  <c r="D493" i="6"/>
  <c r="H493" i="6" s="1"/>
  <c r="I493" i="6" s="1"/>
  <c r="C493" i="6"/>
  <c r="Q493" i="6"/>
  <c r="G424" i="6"/>
  <c r="F424" i="6"/>
  <c r="D424" i="6"/>
  <c r="H424" i="6" s="1"/>
  <c r="I424" i="6" s="1"/>
  <c r="Q424" i="6"/>
  <c r="C424" i="6"/>
  <c r="L424" i="6"/>
  <c r="J424" i="6"/>
  <c r="B424" i="6"/>
  <c r="P424" i="6"/>
  <c r="F429" i="6"/>
  <c r="G429" i="6"/>
  <c r="P429" i="6"/>
  <c r="B429" i="6"/>
  <c r="L429" i="6"/>
  <c r="J429" i="6"/>
  <c r="Q429" i="6"/>
  <c r="D429" i="6"/>
  <c r="H429" i="6" s="1"/>
  <c r="I429" i="6" s="1"/>
  <c r="C429" i="6"/>
  <c r="G1687" i="6"/>
  <c r="Q1687" i="6"/>
  <c r="J1687" i="6"/>
  <c r="B1687" i="6"/>
  <c r="L1687" i="6"/>
  <c r="P1687" i="6"/>
  <c r="F1687" i="6"/>
  <c r="D1687" i="6"/>
  <c r="H1687" i="6" s="1"/>
  <c r="I1687" i="6" s="1"/>
  <c r="C1687" i="6"/>
  <c r="F1684" i="6"/>
  <c r="P1684" i="6"/>
  <c r="D1684" i="6"/>
  <c r="H1684" i="6" s="1"/>
  <c r="I1684" i="6" s="1"/>
  <c r="Q1684" i="6"/>
  <c r="J1684" i="6"/>
  <c r="G1684" i="6"/>
  <c r="L1684" i="6"/>
  <c r="C1684" i="6"/>
  <c r="B1684" i="6"/>
  <c r="F1376" i="6"/>
  <c r="G1376" i="6"/>
  <c r="Q1376" i="6"/>
  <c r="D1376" i="6"/>
  <c r="H1376" i="6" s="1"/>
  <c r="I1376" i="6" s="1"/>
  <c r="P1376" i="6"/>
  <c r="C1376" i="6"/>
  <c r="B1376" i="6"/>
  <c r="L1376" i="6"/>
  <c r="J1376" i="6"/>
  <c r="P1370" i="6"/>
  <c r="D1370" i="6"/>
  <c r="H1370" i="6" s="1"/>
  <c r="I1370" i="6" s="1"/>
  <c r="Q1370" i="6"/>
  <c r="C1370" i="6"/>
  <c r="L1370" i="6"/>
  <c r="B1370" i="6"/>
  <c r="J1370" i="6"/>
  <c r="G1370" i="6"/>
  <c r="F1370" i="6"/>
  <c r="Q1377" i="6"/>
  <c r="D1377" i="6"/>
  <c r="H1377" i="6" s="1"/>
  <c r="I1377" i="6" s="1"/>
  <c r="P1377" i="6"/>
  <c r="C1377" i="6"/>
  <c r="L1377" i="6"/>
  <c r="B1377" i="6"/>
  <c r="J1377" i="6"/>
  <c r="F1377" i="6"/>
  <c r="G1377" i="6"/>
  <c r="F1253" i="6"/>
  <c r="G1253" i="6"/>
  <c r="Q1253" i="6"/>
  <c r="D1253" i="6"/>
  <c r="H1253" i="6" s="1"/>
  <c r="I1253" i="6" s="1"/>
  <c r="C1253" i="6"/>
  <c r="B1253" i="6"/>
  <c r="L1253" i="6"/>
  <c r="P1253" i="6"/>
  <c r="J1253" i="6"/>
  <c r="Q1258" i="6"/>
  <c r="L1258" i="6"/>
  <c r="C1258" i="6"/>
  <c r="J1258" i="6"/>
  <c r="F1258" i="6"/>
  <c r="D1258" i="6"/>
  <c r="H1258" i="6" s="1"/>
  <c r="I1258" i="6" s="1"/>
  <c r="B1258" i="6"/>
  <c r="P1258" i="6"/>
  <c r="G1258" i="6"/>
  <c r="Q1144" i="6"/>
  <c r="P1144" i="6"/>
  <c r="D1144" i="6"/>
  <c r="H1144" i="6" s="1"/>
  <c r="I1144" i="6" s="1"/>
  <c r="L1144" i="6"/>
  <c r="C1144" i="6"/>
  <c r="F1144" i="6"/>
  <c r="B1144" i="6"/>
  <c r="J1144" i="6"/>
  <c r="G1144" i="6"/>
  <c r="G1132" i="6"/>
  <c r="C1132" i="6"/>
  <c r="Q1132" i="6"/>
  <c r="B1132" i="6"/>
  <c r="P1132" i="6"/>
  <c r="L1132" i="6"/>
  <c r="J1132" i="6"/>
  <c r="F1132" i="6"/>
  <c r="D1132" i="6"/>
  <c r="H1132" i="6" s="1"/>
  <c r="I1132" i="6" s="1"/>
  <c r="Q1448" i="6"/>
  <c r="F1448" i="6"/>
  <c r="D1448" i="6"/>
  <c r="H1448" i="6" s="1"/>
  <c r="I1448" i="6" s="1"/>
  <c r="P1448" i="6"/>
  <c r="C1448" i="6"/>
  <c r="L1448" i="6"/>
  <c r="B1448" i="6"/>
  <c r="J1448" i="6"/>
  <c r="G1448" i="6"/>
  <c r="D1436" i="6"/>
  <c r="H1436" i="6" s="1"/>
  <c r="I1436" i="6" s="1"/>
  <c r="P1436" i="6"/>
  <c r="L1436" i="6"/>
  <c r="J1436" i="6"/>
  <c r="G1436" i="6"/>
  <c r="F1436" i="6"/>
  <c r="Q1436" i="6"/>
  <c r="C1436" i="6"/>
  <c r="B1436" i="6"/>
  <c r="Q1315" i="6"/>
  <c r="D1315" i="6"/>
  <c r="H1315" i="6" s="1"/>
  <c r="I1315" i="6" s="1"/>
  <c r="P1315" i="6"/>
  <c r="C1315" i="6"/>
  <c r="J1315" i="6"/>
  <c r="G1315" i="6"/>
  <c r="F1315" i="6"/>
  <c r="L1315" i="6"/>
  <c r="B1315" i="6"/>
  <c r="G1320" i="6"/>
  <c r="Q1320" i="6"/>
  <c r="D1320" i="6"/>
  <c r="H1320" i="6" s="1"/>
  <c r="I1320" i="6" s="1"/>
  <c r="P1320" i="6"/>
  <c r="C1320" i="6"/>
  <c r="L1320" i="6"/>
  <c r="B1320" i="6"/>
  <c r="J1320" i="6"/>
  <c r="F1320" i="6"/>
  <c r="F1331" i="6"/>
  <c r="D1331" i="6"/>
  <c r="H1331" i="6" s="1"/>
  <c r="I1331" i="6" s="1"/>
  <c r="L1331" i="6"/>
  <c r="J1331" i="6"/>
  <c r="G1331" i="6"/>
  <c r="C1331" i="6"/>
  <c r="Q1331" i="6"/>
  <c r="P1331" i="6"/>
  <c r="B1331" i="6"/>
  <c r="G1201" i="6"/>
  <c r="F1201" i="6"/>
  <c r="L1201" i="6"/>
  <c r="J1201" i="6"/>
  <c r="D1201" i="6"/>
  <c r="H1201" i="6" s="1"/>
  <c r="I1201" i="6" s="1"/>
  <c r="P1201" i="6"/>
  <c r="C1201" i="6"/>
  <c r="B1201" i="6"/>
  <c r="Q1201" i="6"/>
  <c r="L1202" i="6"/>
  <c r="C1202" i="6"/>
  <c r="J1202" i="6"/>
  <c r="B1202" i="6"/>
  <c r="P1202" i="6"/>
  <c r="G1202" i="6"/>
  <c r="F1202" i="6"/>
  <c r="Q1202" i="6"/>
  <c r="D1202" i="6"/>
  <c r="H1202" i="6" s="1"/>
  <c r="I1202" i="6" s="1"/>
  <c r="L936" i="6"/>
  <c r="C936" i="6"/>
  <c r="G936" i="6"/>
  <c r="F936" i="6"/>
  <c r="Q936" i="6"/>
  <c r="D936" i="6"/>
  <c r="H936" i="6" s="1"/>
  <c r="I936" i="6" s="1"/>
  <c r="P936" i="6"/>
  <c r="J936" i="6"/>
  <c r="B936" i="6"/>
  <c r="Q926" i="6"/>
  <c r="L926" i="6"/>
  <c r="C926" i="6"/>
  <c r="J926" i="6"/>
  <c r="B926" i="6"/>
  <c r="G926" i="6"/>
  <c r="P926" i="6"/>
  <c r="F926" i="6"/>
  <c r="D926" i="6"/>
  <c r="H926" i="6" s="1"/>
  <c r="I926" i="6" s="1"/>
  <c r="J938" i="6"/>
  <c r="G938" i="6"/>
  <c r="F938" i="6"/>
  <c r="P938" i="6"/>
  <c r="L938" i="6"/>
  <c r="D938" i="6"/>
  <c r="H938" i="6" s="1"/>
  <c r="I938" i="6" s="1"/>
  <c r="C938" i="6"/>
  <c r="Q938" i="6"/>
  <c r="B938" i="6"/>
  <c r="F869" i="6"/>
  <c r="Q869" i="6"/>
  <c r="P869" i="6"/>
  <c r="D869" i="6"/>
  <c r="H869" i="6" s="1"/>
  <c r="I869" i="6" s="1"/>
  <c r="L869" i="6"/>
  <c r="C869" i="6"/>
  <c r="J869" i="6"/>
  <c r="B869" i="6"/>
  <c r="G869" i="6"/>
  <c r="J857" i="6"/>
  <c r="B857" i="6"/>
  <c r="G857" i="6"/>
  <c r="F857" i="6"/>
  <c r="P857" i="6"/>
  <c r="L857" i="6"/>
  <c r="D857" i="6"/>
  <c r="H857" i="6" s="1"/>
  <c r="I857" i="6" s="1"/>
  <c r="C857" i="6"/>
  <c r="Q857" i="6"/>
  <c r="P803" i="6"/>
  <c r="D803" i="6"/>
  <c r="H803" i="6" s="1"/>
  <c r="I803" i="6" s="1"/>
  <c r="G803" i="6"/>
  <c r="F803" i="6"/>
  <c r="Q803" i="6"/>
  <c r="C803" i="6"/>
  <c r="L803" i="6"/>
  <c r="B803" i="6"/>
  <c r="J803" i="6"/>
  <c r="Q799" i="6"/>
  <c r="D799" i="6"/>
  <c r="H799" i="6" s="1"/>
  <c r="I799" i="6" s="1"/>
  <c r="P799" i="6"/>
  <c r="C799" i="6"/>
  <c r="L799" i="6"/>
  <c r="B799" i="6"/>
  <c r="J799" i="6"/>
  <c r="F799" i="6"/>
  <c r="G799" i="6"/>
  <c r="J725" i="6"/>
  <c r="B725" i="6"/>
  <c r="G725" i="6"/>
  <c r="Q725" i="6"/>
  <c r="D725" i="6"/>
  <c r="H725" i="6" s="1"/>
  <c r="I725" i="6" s="1"/>
  <c r="C725" i="6"/>
  <c r="P725" i="6"/>
  <c r="L725" i="6"/>
  <c r="F725" i="6"/>
  <c r="F729" i="6"/>
  <c r="J729" i="6"/>
  <c r="G729" i="6"/>
  <c r="L729" i="6"/>
  <c r="D729" i="6"/>
  <c r="H729" i="6" s="1"/>
  <c r="I729" i="6" s="1"/>
  <c r="C729" i="6"/>
  <c r="B729" i="6"/>
  <c r="Q729" i="6"/>
  <c r="P729" i="6"/>
  <c r="J655" i="6"/>
  <c r="G655" i="6"/>
  <c r="F655" i="6"/>
  <c r="D655" i="6"/>
  <c r="H655" i="6" s="1"/>
  <c r="I655" i="6" s="1"/>
  <c r="L655" i="6"/>
  <c r="C655" i="6"/>
  <c r="B655" i="6"/>
  <c r="Q655" i="6"/>
  <c r="P655" i="6"/>
  <c r="G668" i="6"/>
  <c r="P668" i="6"/>
  <c r="C668" i="6"/>
  <c r="D668" i="6"/>
  <c r="H668" i="6" s="1"/>
  <c r="I668" i="6" s="1"/>
  <c r="Q668" i="6"/>
  <c r="B668" i="6"/>
  <c r="L668" i="6"/>
  <c r="J668" i="6"/>
  <c r="F668" i="6"/>
  <c r="L588" i="6"/>
  <c r="C588" i="6"/>
  <c r="F588" i="6"/>
  <c r="Q588" i="6"/>
  <c r="D588" i="6"/>
  <c r="H588" i="6" s="1"/>
  <c r="I588" i="6" s="1"/>
  <c r="P588" i="6"/>
  <c r="B588" i="6"/>
  <c r="J588" i="6"/>
  <c r="G588" i="6"/>
  <c r="Q594" i="6"/>
  <c r="G594" i="6"/>
  <c r="F594" i="6"/>
  <c r="D594" i="6"/>
  <c r="H594" i="6" s="1"/>
  <c r="I594" i="6" s="1"/>
  <c r="C594" i="6"/>
  <c r="B594" i="6"/>
  <c r="J594" i="6"/>
  <c r="P594" i="6"/>
  <c r="L594" i="6"/>
  <c r="G523" i="6"/>
  <c r="F523" i="6"/>
  <c r="Q523" i="6"/>
  <c r="D523" i="6"/>
  <c r="H523" i="6" s="1"/>
  <c r="I523" i="6" s="1"/>
  <c r="P523" i="6"/>
  <c r="C523" i="6"/>
  <c r="B523" i="6"/>
  <c r="L523" i="6"/>
  <c r="J523" i="6"/>
  <c r="Q522" i="6"/>
  <c r="L522" i="6"/>
  <c r="B522" i="6"/>
  <c r="J522" i="6"/>
  <c r="G522" i="6"/>
  <c r="F522" i="6"/>
  <c r="P522" i="6"/>
  <c r="D522" i="6"/>
  <c r="H522" i="6" s="1"/>
  <c r="I522" i="6" s="1"/>
  <c r="C522" i="6"/>
  <c r="Q450" i="6"/>
  <c r="P450" i="6"/>
  <c r="D450" i="6"/>
  <c r="H450" i="6" s="1"/>
  <c r="I450" i="6" s="1"/>
  <c r="L450" i="6"/>
  <c r="C450" i="6"/>
  <c r="J450" i="6"/>
  <c r="B450" i="6"/>
  <c r="G450" i="6"/>
  <c r="F450" i="6"/>
  <c r="G454" i="6"/>
  <c r="Q454" i="6"/>
  <c r="C454" i="6"/>
  <c r="P454" i="6"/>
  <c r="B454" i="6"/>
  <c r="L454" i="6"/>
  <c r="J454" i="6"/>
  <c r="F454" i="6"/>
  <c r="D454" i="6"/>
  <c r="H454" i="6" s="1"/>
  <c r="I454" i="6" s="1"/>
  <c r="Q383" i="6"/>
  <c r="D383" i="6"/>
  <c r="H383" i="6" s="1"/>
  <c r="I383" i="6" s="1"/>
  <c r="P383" i="6"/>
  <c r="C383" i="6"/>
  <c r="L383" i="6"/>
  <c r="B383" i="6"/>
  <c r="J383" i="6"/>
  <c r="G383" i="6"/>
  <c r="F383" i="6"/>
  <c r="L384" i="6"/>
  <c r="C384" i="6"/>
  <c r="J384" i="6"/>
  <c r="G384" i="6"/>
  <c r="F384" i="6"/>
  <c r="D384" i="6"/>
  <c r="H384" i="6" s="1"/>
  <c r="I384" i="6" s="1"/>
  <c r="B384" i="6"/>
  <c r="P384" i="6"/>
  <c r="Q384" i="6"/>
  <c r="Q319" i="6"/>
  <c r="D319" i="6"/>
  <c r="H319" i="6" s="1"/>
  <c r="I319" i="6" s="1"/>
  <c r="P319" i="6"/>
  <c r="C319" i="6"/>
  <c r="L319" i="6"/>
  <c r="B319" i="6"/>
  <c r="J319" i="6"/>
  <c r="G319" i="6"/>
  <c r="F319" i="6"/>
  <c r="L320" i="6"/>
  <c r="C320" i="6"/>
  <c r="J320" i="6"/>
  <c r="G320" i="6"/>
  <c r="F320" i="6"/>
  <c r="D320" i="6"/>
  <c r="H320" i="6" s="1"/>
  <c r="I320" i="6" s="1"/>
  <c r="B320" i="6"/>
  <c r="P320" i="6"/>
  <c r="Q320" i="6"/>
  <c r="F249" i="6"/>
  <c r="L249" i="6"/>
  <c r="B249" i="6"/>
  <c r="D249" i="6"/>
  <c r="H249" i="6" s="1"/>
  <c r="I249" i="6" s="1"/>
  <c r="Q249" i="6"/>
  <c r="C249" i="6"/>
  <c r="P249" i="6"/>
  <c r="J249" i="6"/>
  <c r="G249" i="6"/>
  <c r="P258" i="6"/>
  <c r="C258" i="6"/>
  <c r="G258" i="6"/>
  <c r="F258" i="6"/>
  <c r="D258" i="6"/>
  <c r="H258" i="6" s="1"/>
  <c r="I258" i="6" s="1"/>
  <c r="B258" i="6"/>
  <c r="Q258" i="6"/>
  <c r="L258" i="6"/>
  <c r="J258" i="6"/>
  <c r="P187" i="6"/>
  <c r="D187" i="6"/>
  <c r="H187" i="6" s="1"/>
  <c r="I187" i="6" s="1"/>
  <c r="J187" i="6"/>
  <c r="G187" i="6"/>
  <c r="F187" i="6"/>
  <c r="B187" i="6"/>
  <c r="Q187" i="6"/>
  <c r="L187" i="6"/>
  <c r="C187" i="6"/>
  <c r="J109" i="6"/>
  <c r="B109" i="6"/>
  <c r="P109" i="6"/>
  <c r="C109" i="6"/>
  <c r="L109" i="6"/>
  <c r="G109" i="6"/>
  <c r="Q109" i="6"/>
  <c r="F109" i="6"/>
  <c r="D109" i="6"/>
  <c r="H109" i="6" s="1"/>
  <c r="I109" i="6" s="1"/>
  <c r="P54" i="6"/>
  <c r="C54" i="6"/>
  <c r="B54" i="6"/>
  <c r="Q54" i="6"/>
  <c r="G54" i="6"/>
  <c r="F54" i="6"/>
  <c r="G1113" i="6"/>
  <c r="F1113" i="6"/>
  <c r="D1113" i="6"/>
  <c r="H1113" i="6" s="1"/>
  <c r="I1113" i="6" s="1"/>
  <c r="C1113" i="6"/>
  <c r="Q1113" i="6"/>
  <c r="B1113" i="6"/>
  <c r="P1113" i="6"/>
  <c r="L1113" i="6"/>
  <c r="J1113" i="6"/>
  <c r="J1127" i="6"/>
  <c r="B1127" i="6"/>
  <c r="F1127" i="6"/>
  <c r="D1127" i="6"/>
  <c r="H1127" i="6" s="1"/>
  <c r="I1127" i="6" s="1"/>
  <c r="C1127" i="6"/>
  <c r="Q1127" i="6"/>
  <c r="P1127" i="6"/>
  <c r="L1127" i="6"/>
  <c r="G1127" i="6"/>
  <c r="G1095" i="6"/>
  <c r="F1095" i="6"/>
  <c r="Q1095" i="6"/>
  <c r="P1095" i="6"/>
  <c r="D1095" i="6"/>
  <c r="H1095" i="6" s="1"/>
  <c r="I1095" i="6" s="1"/>
  <c r="J1095" i="6"/>
  <c r="C1095" i="6"/>
  <c r="L1095" i="6"/>
  <c r="B1095" i="6"/>
  <c r="Q1102" i="6"/>
  <c r="P1102" i="6"/>
  <c r="D1102" i="6"/>
  <c r="H1102" i="6" s="1"/>
  <c r="I1102" i="6" s="1"/>
  <c r="L1102" i="6"/>
  <c r="C1102" i="6"/>
  <c r="J1102" i="6"/>
  <c r="B1102" i="6"/>
  <c r="G1102" i="6"/>
  <c r="F1102" i="6"/>
  <c r="G1108" i="6"/>
  <c r="J1108" i="6"/>
  <c r="F1108" i="6"/>
  <c r="D1108" i="6"/>
  <c r="H1108" i="6" s="1"/>
  <c r="I1108" i="6" s="1"/>
  <c r="C1108" i="6"/>
  <c r="Q1108" i="6"/>
  <c r="P1108" i="6"/>
  <c r="L1108" i="6"/>
  <c r="B1108" i="6"/>
  <c r="F1073" i="6"/>
  <c r="Q1073" i="6"/>
  <c r="P1073" i="6"/>
  <c r="D1073" i="6"/>
  <c r="H1073" i="6" s="1"/>
  <c r="I1073" i="6" s="1"/>
  <c r="J1073" i="6"/>
  <c r="B1073" i="6"/>
  <c r="L1073" i="6"/>
  <c r="G1073" i="6"/>
  <c r="C1073" i="6"/>
  <c r="J1069" i="6"/>
  <c r="B1069" i="6"/>
  <c r="P1069" i="6"/>
  <c r="C1069" i="6"/>
  <c r="L1069" i="6"/>
  <c r="D1069" i="6"/>
  <c r="H1069" i="6" s="1"/>
  <c r="I1069" i="6" s="1"/>
  <c r="G1069" i="6"/>
  <c r="F1069" i="6"/>
  <c r="Q1069" i="6"/>
  <c r="J365" i="6"/>
  <c r="B365" i="6"/>
  <c r="Q365" i="6"/>
  <c r="D365" i="6"/>
  <c r="H365" i="6" s="1"/>
  <c r="I365" i="6" s="1"/>
  <c r="P365" i="6"/>
  <c r="C365" i="6"/>
  <c r="L365" i="6"/>
  <c r="F365" i="6"/>
  <c r="G365" i="6"/>
  <c r="P370" i="6"/>
  <c r="C370" i="6"/>
  <c r="L370" i="6"/>
  <c r="B370" i="6"/>
  <c r="J370" i="6"/>
  <c r="G370" i="6"/>
  <c r="Q370" i="6"/>
  <c r="F370" i="6"/>
  <c r="D370" i="6"/>
  <c r="H370" i="6" s="1"/>
  <c r="I370" i="6" s="1"/>
  <c r="F68" i="6"/>
  <c r="Q68" i="6"/>
  <c r="P68" i="6"/>
  <c r="C68" i="6"/>
  <c r="B68" i="6"/>
  <c r="G68" i="6"/>
  <c r="C67" i="6"/>
  <c r="B67" i="6"/>
  <c r="G67" i="6"/>
  <c r="Q67" i="6"/>
  <c r="P67" i="6"/>
  <c r="F67" i="6"/>
  <c r="P267" i="6"/>
  <c r="D267" i="6"/>
  <c r="H267" i="6" s="1"/>
  <c r="I267" i="6" s="1"/>
  <c r="Q267" i="6"/>
  <c r="C267" i="6"/>
  <c r="B267" i="6"/>
  <c r="L267" i="6"/>
  <c r="J267" i="6"/>
  <c r="F267" i="6"/>
  <c r="G267" i="6"/>
  <c r="L272" i="6"/>
  <c r="C272" i="6"/>
  <c r="J272" i="6"/>
  <c r="G272" i="6"/>
  <c r="F272" i="6"/>
  <c r="D272" i="6"/>
  <c r="H272" i="6" s="1"/>
  <c r="I272" i="6" s="1"/>
  <c r="B272" i="6"/>
  <c r="Q272" i="6"/>
  <c r="P272" i="6"/>
  <c r="P143" i="6"/>
  <c r="C143" i="6"/>
  <c r="L143" i="6"/>
  <c r="B143" i="6"/>
  <c r="J143" i="6"/>
  <c r="G143" i="6"/>
  <c r="Q143" i="6"/>
  <c r="F143" i="6"/>
  <c r="D143" i="6"/>
  <c r="H143" i="6" s="1"/>
  <c r="I143" i="6" s="1"/>
  <c r="P22" i="6"/>
  <c r="C22" i="6"/>
  <c r="B22" i="6"/>
  <c r="Q22" i="6"/>
  <c r="G22" i="6"/>
  <c r="F22" i="6"/>
  <c r="B16" i="6"/>
  <c r="G16" i="6"/>
  <c r="F16" i="6"/>
  <c r="Q16" i="6"/>
  <c r="P16" i="6"/>
  <c r="C16" i="6"/>
  <c r="G743" i="6"/>
  <c r="F743" i="6"/>
  <c r="Q743" i="6"/>
  <c r="D743" i="6"/>
  <c r="H743" i="6" s="1"/>
  <c r="I743" i="6" s="1"/>
  <c r="P743" i="6"/>
  <c r="L743" i="6"/>
  <c r="J743" i="6"/>
  <c r="B743" i="6"/>
  <c r="C743" i="6"/>
  <c r="P747" i="6"/>
  <c r="D747" i="6"/>
  <c r="H747" i="6" s="1"/>
  <c r="I747" i="6" s="1"/>
  <c r="L747" i="6"/>
  <c r="B747" i="6"/>
  <c r="J747" i="6"/>
  <c r="G747" i="6"/>
  <c r="F747" i="6"/>
  <c r="C747" i="6"/>
  <c r="Q747" i="6"/>
  <c r="G308" i="6"/>
  <c r="Q308" i="6"/>
  <c r="D308" i="6"/>
  <c r="H308" i="6" s="1"/>
  <c r="I308" i="6" s="1"/>
  <c r="P308" i="6"/>
  <c r="C308" i="6"/>
  <c r="L308" i="6"/>
  <c r="B308" i="6"/>
  <c r="J308" i="6"/>
  <c r="F308" i="6"/>
  <c r="P306" i="6"/>
  <c r="C306" i="6"/>
  <c r="L306" i="6"/>
  <c r="B306" i="6"/>
  <c r="J306" i="6"/>
  <c r="G306" i="6"/>
  <c r="Q306" i="6"/>
  <c r="F306" i="6"/>
  <c r="D306" i="6"/>
  <c r="H306" i="6" s="1"/>
  <c r="I306" i="6" s="1"/>
  <c r="P1533" i="6"/>
  <c r="D1533" i="6"/>
  <c r="H1533" i="6" s="1"/>
  <c r="I1533" i="6" s="1"/>
  <c r="G1533" i="6"/>
  <c r="F1533" i="6"/>
  <c r="Q1533" i="6"/>
  <c r="C1533" i="6"/>
  <c r="B1533" i="6"/>
  <c r="L1533" i="6"/>
  <c r="J1533" i="6"/>
  <c r="P1525" i="6"/>
  <c r="D1525" i="6"/>
  <c r="H1525" i="6" s="1"/>
  <c r="I1525" i="6" s="1"/>
  <c r="Q1525" i="6"/>
  <c r="C1525" i="6"/>
  <c r="L1525" i="6"/>
  <c r="B1525" i="6"/>
  <c r="J1525" i="6"/>
  <c r="F1525" i="6"/>
  <c r="G1525" i="6"/>
  <c r="Q25" i="6"/>
  <c r="P25" i="6"/>
  <c r="C25" i="6"/>
  <c r="B25" i="6"/>
  <c r="G25" i="6"/>
  <c r="F25" i="6"/>
  <c r="G29" i="6"/>
  <c r="F29" i="6"/>
  <c r="Q29" i="6"/>
  <c r="P29" i="6"/>
  <c r="C29" i="6"/>
  <c r="B29" i="6"/>
  <c r="G875" i="6"/>
  <c r="F875" i="6"/>
  <c r="Q875" i="6"/>
  <c r="P875" i="6"/>
  <c r="D875" i="6"/>
  <c r="H875" i="6" s="1"/>
  <c r="I875" i="6" s="1"/>
  <c r="C875" i="6"/>
  <c r="B875" i="6"/>
  <c r="L875" i="6"/>
  <c r="J875" i="6"/>
  <c r="L884" i="6"/>
  <c r="C884" i="6"/>
  <c r="J884" i="6"/>
  <c r="B884" i="6"/>
  <c r="G884" i="6"/>
  <c r="Q884" i="6"/>
  <c r="P884" i="6"/>
  <c r="D884" i="6"/>
  <c r="H884" i="6" s="1"/>
  <c r="I884" i="6" s="1"/>
  <c r="F884" i="6"/>
  <c r="F840" i="6"/>
  <c r="P840" i="6"/>
  <c r="D840" i="6"/>
  <c r="H840" i="6" s="1"/>
  <c r="I840" i="6" s="1"/>
  <c r="L840" i="6"/>
  <c r="C840" i="6"/>
  <c r="G840" i="6"/>
  <c r="B840" i="6"/>
  <c r="J840" i="6"/>
  <c r="Q840" i="6"/>
  <c r="Q853" i="6"/>
  <c r="P853" i="6"/>
  <c r="D853" i="6"/>
  <c r="H853" i="6" s="1"/>
  <c r="I853" i="6" s="1"/>
  <c r="L853" i="6"/>
  <c r="C853" i="6"/>
  <c r="J853" i="6"/>
  <c r="B853" i="6"/>
  <c r="G853" i="6"/>
  <c r="F853" i="6"/>
  <c r="G849" i="6"/>
  <c r="F849" i="6"/>
  <c r="Q849" i="6"/>
  <c r="B849" i="6"/>
  <c r="P849" i="6"/>
  <c r="L849" i="6"/>
  <c r="J849" i="6"/>
  <c r="C849" i="6"/>
  <c r="D849" i="6"/>
  <c r="H849" i="6" s="1"/>
  <c r="I849" i="6" s="1"/>
  <c r="G612" i="6"/>
  <c r="F612" i="6"/>
  <c r="D612" i="6"/>
  <c r="H612" i="6" s="1"/>
  <c r="I612" i="6" s="1"/>
  <c r="Q612" i="6"/>
  <c r="C612" i="6"/>
  <c r="P612" i="6"/>
  <c r="B612" i="6"/>
  <c r="L612" i="6"/>
  <c r="J612" i="6"/>
  <c r="F617" i="6"/>
  <c r="P617" i="6"/>
  <c r="C617" i="6"/>
  <c r="L617" i="6"/>
  <c r="B617" i="6"/>
  <c r="J617" i="6"/>
  <c r="Q617" i="6"/>
  <c r="G617" i="6"/>
  <c r="D617" i="6"/>
  <c r="H617" i="6" s="1"/>
  <c r="I617" i="6" s="1"/>
  <c r="G568" i="6"/>
  <c r="Q568" i="6"/>
  <c r="D568" i="6"/>
  <c r="H568" i="6" s="1"/>
  <c r="I568" i="6" s="1"/>
  <c r="P568" i="6"/>
  <c r="C568" i="6"/>
  <c r="L568" i="6"/>
  <c r="B568" i="6"/>
  <c r="J568" i="6"/>
  <c r="F568" i="6"/>
  <c r="P582" i="6"/>
  <c r="C582" i="6"/>
  <c r="L582" i="6"/>
  <c r="B582" i="6"/>
  <c r="J582" i="6"/>
  <c r="G582" i="6"/>
  <c r="Q582" i="6"/>
  <c r="F582" i="6"/>
  <c r="D582" i="6"/>
  <c r="H582" i="6" s="1"/>
  <c r="I582" i="6" s="1"/>
  <c r="G1395" i="6"/>
  <c r="Q1395" i="6"/>
  <c r="D1395" i="6"/>
  <c r="H1395" i="6" s="1"/>
  <c r="I1395" i="6" s="1"/>
  <c r="P1395" i="6"/>
  <c r="C1395" i="6"/>
  <c r="L1395" i="6"/>
  <c r="B1395" i="6"/>
  <c r="J1395" i="6"/>
  <c r="F1395" i="6"/>
  <c r="G1385" i="6"/>
  <c r="F1385" i="6"/>
  <c r="Q1385" i="6"/>
  <c r="D1385" i="6"/>
  <c r="H1385" i="6" s="1"/>
  <c r="I1385" i="6" s="1"/>
  <c r="P1385" i="6"/>
  <c r="B1385" i="6"/>
  <c r="L1385" i="6"/>
  <c r="J1385" i="6"/>
  <c r="C1385" i="6"/>
  <c r="P475" i="6"/>
  <c r="C475" i="6"/>
  <c r="L475" i="6"/>
  <c r="B475" i="6"/>
  <c r="J475" i="6"/>
  <c r="G475" i="6"/>
  <c r="Q475" i="6"/>
  <c r="F475" i="6"/>
  <c r="D475" i="6"/>
  <c r="H475" i="6" s="1"/>
  <c r="I475" i="6" s="1"/>
  <c r="P478" i="6"/>
  <c r="C478" i="6"/>
  <c r="D478" i="6"/>
  <c r="H478" i="6" s="1"/>
  <c r="I478" i="6" s="1"/>
  <c r="Q478" i="6"/>
  <c r="B478" i="6"/>
  <c r="L478" i="6"/>
  <c r="J478" i="6"/>
  <c r="G478" i="6"/>
  <c r="F478" i="6"/>
  <c r="F1539" i="6"/>
  <c r="L1539" i="6"/>
  <c r="B1539" i="6"/>
  <c r="J1539" i="6"/>
  <c r="G1539" i="6"/>
  <c r="P1539" i="6"/>
  <c r="D1539" i="6"/>
  <c r="H1539" i="6" s="1"/>
  <c r="I1539" i="6" s="1"/>
  <c r="C1539" i="6"/>
  <c r="Q1539" i="6"/>
  <c r="G1550" i="6"/>
  <c r="P1550" i="6"/>
  <c r="C1550" i="6"/>
  <c r="L1550" i="6"/>
  <c r="B1550" i="6"/>
  <c r="J1550" i="6"/>
  <c r="F1550" i="6"/>
  <c r="D1550" i="6"/>
  <c r="H1550" i="6" s="1"/>
  <c r="I1550" i="6" s="1"/>
  <c r="Q1550" i="6"/>
  <c r="F1187" i="6"/>
  <c r="Q1187" i="6"/>
  <c r="P1187" i="6"/>
  <c r="D1187" i="6"/>
  <c r="H1187" i="6" s="1"/>
  <c r="I1187" i="6" s="1"/>
  <c r="G1187" i="6"/>
  <c r="C1187" i="6"/>
  <c r="L1187" i="6"/>
  <c r="J1187" i="6"/>
  <c r="B1187" i="6"/>
  <c r="F1195" i="6"/>
  <c r="Q1195" i="6"/>
  <c r="P1195" i="6"/>
  <c r="D1195" i="6"/>
  <c r="H1195" i="6" s="1"/>
  <c r="I1195" i="6" s="1"/>
  <c r="C1195" i="6"/>
  <c r="B1195" i="6"/>
  <c r="L1195" i="6"/>
  <c r="J1195" i="6"/>
  <c r="G1195" i="6"/>
  <c r="G1188" i="6"/>
  <c r="J1188" i="6"/>
  <c r="F1188" i="6"/>
  <c r="D1188" i="6"/>
  <c r="H1188" i="6" s="1"/>
  <c r="I1188" i="6" s="1"/>
  <c r="C1188" i="6"/>
  <c r="L1188" i="6"/>
  <c r="B1188" i="6"/>
  <c r="Q1188" i="6"/>
  <c r="P1188" i="6"/>
  <c r="J989" i="6"/>
  <c r="B989" i="6"/>
  <c r="G989" i="6"/>
  <c r="F989" i="6"/>
  <c r="Q989" i="6"/>
  <c r="D989" i="6"/>
  <c r="H989" i="6" s="1"/>
  <c r="I989" i="6" s="1"/>
  <c r="P989" i="6"/>
  <c r="C989" i="6"/>
  <c r="L989" i="6"/>
  <c r="J981" i="6"/>
  <c r="B981" i="6"/>
  <c r="P981" i="6"/>
  <c r="C981" i="6"/>
  <c r="L981" i="6"/>
  <c r="G981" i="6"/>
  <c r="F981" i="6"/>
  <c r="D981" i="6"/>
  <c r="H981" i="6" s="1"/>
  <c r="I981" i="6" s="1"/>
  <c r="Q981" i="6"/>
  <c r="P507" i="6"/>
  <c r="C507" i="6"/>
  <c r="L507" i="6"/>
  <c r="B507" i="6"/>
  <c r="J507" i="6"/>
  <c r="G507" i="6"/>
  <c r="F507" i="6"/>
  <c r="D507" i="6"/>
  <c r="H507" i="6" s="1"/>
  <c r="I507" i="6" s="1"/>
  <c r="Q507" i="6"/>
  <c r="P510" i="6"/>
  <c r="C510" i="6"/>
  <c r="D510" i="6"/>
  <c r="H510" i="6" s="1"/>
  <c r="I510" i="6" s="1"/>
  <c r="Q510" i="6"/>
  <c r="B510" i="6"/>
  <c r="L510" i="6"/>
  <c r="J510" i="6"/>
  <c r="G510" i="6"/>
  <c r="F510" i="6"/>
  <c r="G172" i="6"/>
  <c r="F172" i="6"/>
  <c r="Q172" i="6"/>
  <c r="D172" i="6"/>
  <c r="H172" i="6" s="1"/>
  <c r="I172" i="6" s="1"/>
  <c r="P172" i="6"/>
  <c r="C172" i="6"/>
  <c r="L172" i="6"/>
  <c r="B172" i="6"/>
  <c r="J172" i="6"/>
  <c r="G164" i="6"/>
  <c r="L164" i="6"/>
  <c r="B164" i="6"/>
  <c r="J164" i="6"/>
  <c r="F164" i="6"/>
  <c r="C164" i="6"/>
  <c r="Q164" i="6"/>
  <c r="P164" i="6"/>
  <c r="D164" i="6"/>
  <c r="H164" i="6" s="1"/>
  <c r="I164" i="6" s="1"/>
  <c r="J1305" i="6"/>
  <c r="B1305" i="6"/>
  <c r="G1305" i="6"/>
  <c r="P1305" i="6"/>
  <c r="L1305" i="6"/>
  <c r="F1305" i="6"/>
  <c r="Q1305" i="6"/>
  <c r="D1305" i="6"/>
  <c r="H1305" i="6" s="1"/>
  <c r="I1305" i="6" s="1"/>
  <c r="C1305" i="6"/>
  <c r="L1300" i="6"/>
  <c r="C1300" i="6"/>
  <c r="J1300" i="6"/>
  <c r="D1300" i="6"/>
  <c r="H1300" i="6" s="1"/>
  <c r="I1300" i="6" s="1"/>
  <c r="B1300" i="6"/>
  <c r="Q1300" i="6"/>
  <c r="P1300" i="6"/>
  <c r="G1300" i="6"/>
  <c r="F1300" i="6"/>
  <c r="L1276" i="6"/>
  <c r="C1276" i="6"/>
  <c r="F1276" i="6"/>
  <c r="Q1276" i="6"/>
  <c r="D1276" i="6"/>
  <c r="H1276" i="6" s="1"/>
  <c r="I1276" i="6" s="1"/>
  <c r="P1276" i="6"/>
  <c r="J1276" i="6"/>
  <c r="G1276" i="6"/>
  <c r="B1276" i="6"/>
  <c r="P1270" i="6"/>
  <c r="C1270" i="6"/>
  <c r="J1270" i="6"/>
  <c r="G1270" i="6"/>
  <c r="F1270" i="6"/>
  <c r="B1270" i="6"/>
  <c r="Q1270" i="6"/>
  <c r="L1270" i="6"/>
  <c r="D1270" i="6"/>
  <c r="H1270" i="6" s="1"/>
  <c r="I1270" i="6" s="1"/>
  <c r="P439" i="6"/>
  <c r="D439" i="6"/>
  <c r="H439" i="6" s="1"/>
  <c r="I439" i="6" s="1"/>
  <c r="Q439" i="6"/>
  <c r="C439" i="6"/>
  <c r="F439" i="6"/>
  <c r="B439" i="6"/>
  <c r="L439" i="6"/>
  <c r="J439" i="6"/>
  <c r="G439" i="6"/>
  <c r="L444" i="6"/>
  <c r="C444" i="6"/>
  <c r="J444" i="6"/>
  <c r="G444" i="6"/>
  <c r="F444" i="6"/>
  <c r="B444" i="6"/>
  <c r="Q444" i="6"/>
  <c r="P444" i="6"/>
  <c r="D444" i="6"/>
  <c r="H444" i="6" s="1"/>
  <c r="I444" i="6" s="1"/>
  <c r="L360" i="6"/>
  <c r="C360" i="6"/>
  <c r="F360" i="6"/>
  <c r="Q360" i="6"/>
  <c r="D360" i="6"/>
  <c r="H360" i="6" s="1"/>
  <c r="I360" i="6" s="1"/>
  <c r="P360" i="6"/>
  <c r="B360" i="6"/>
  <c r="J360" i="6"/>
  <c r="G360" i="6"/>
  <c r="G346" i="6"/>
  <c r="F346" i="6"/>
  <c r="Q346" i="6"/>
  <c r="D346" i="6"/>
  <c r="H346" i="6" s="1"/>
  <c r="I346" i="6" s="1"/>
  <c r="P346" i="6"/>
  <c r="C346" i="6"/>
  <c r="L346" i="6"/>
  <c r="J346" i="6"/>
  <c r="B346" i="6"/>
  <c r="F233" i="6"/>
  <c r="L233" i="6"/>
  <c r="B233" i="6"/>
  <c r="G233" i="6"/>
  <c r="D233" i="6"/>
  <c r="H233" i="6" s="1"/>
  <c r="I233" i="6" s="1"/>
  <c r="C233" i="6"/>
  <c r="Q233" i="6"/>
  <c r="P233" i="6"/>
  <c r="J233" i="6"/>
  <c r="L232" i="6"/>
  <c r="C232" i="6"/>
  <c r="F232" i="6"/>
  <c r="P232" i="6"/>
  <c r="J232" i="6"/>
  <c r="G232" i="6"/>
  <c r="Q232" i="6"/>
  <c r="D232" i="6"/>
  <c r="H232" i="6" s="1"/>
  <c r="I232" i="6" s="1"/>
  <c r="B232" i="6"/>
  <c r="L1570" i="6"/>
  <c r="C1570" i="6"/>
  <c r="Q1570" i="6"/>
  <c r="D1570" i="6"/>
  <c r="H1570" i="6" s="1"/>
  <c r="I1570" i="6" s="1"/>
  <c r="P1570" i="6"/>
  <c r="B1570" i="6"/>
  <c r="J1570" i="6"/>
  <c r="G1570" i="6"/>
  <c r="F1570" i="6"/>
  <c r="F1572" i="6"/>
  <c r="Q1572" i="6"/>
  <c r="D1572" i="6"/>
  <c r="H1572" i="6" s="1"/>
  <c r="I1572" i="6" s="1"/>
  <c r="P1572" i="6"/>
  <c r="C1572" i="6"/>
  <c r="B1572" i="6"/>
  <c r="L1572" i="6"/>
  <c r="J1572" i="6"/>
  <c r="G1572" i="6"/>
  <c r="Q198" i="6"/>
  <c r="L198" i="6"/>
  <c r="C198" i="6"/>
  <c r="J198" i="6"/>
  <c r="B198" i="6"/>
  <c r="G198" i="6"/>
  <c r="F198" i="6"/>
  <c r="D198" i="6"/>
  <c r="H198" i="6" s="1"/>
  <c r="I198" i="6" s="1"/>
  <c r="P198" i="6"/>
  <c r="F1505" i="6"/>
  <c r="Q1505" i="6"/>
  <c r="D1505" i="6"/>
  <c r="H1505" i="6" s="1"/>
  <c r="I1505" i="6" s="1"/>
  <c r="P1505" i="6"/>
  <c r="C1505" i="6"/>
  <c r="L1505" i="6"/>
  <c r="J1505" i="6"/>
  <c r="G1505" i="6"/>
  <c r="B1505" i="6"/>
  <c r="G1502" i="6"/>
  <c r="J1502" i="6"/>
  <c r="F1502" i="6"/>
  <c r="C1502" i="6"/>
  <c r="B1502" i="6"/>
  <c r="Q1502" i="6"/>
  <c r="P1502" i="6"/>
  <c r="L1502" i="6"/>
  <c r="D1502" i="6"/>
  <c r="H1502" i="6" s="1"/>
  <c r="I1502" i="6" s="1"/>
  <c r="P1516" i="6"/>
  <c r="C1516" i="6"/>
  <c r="L1516" i="6"/>
  <c r="B1516" i="6"/>
  <c r="J1516" i="6"/>
  <c r="G1516" i="6"/>
  <c r="Q1516" i="6"/>
  <c r="F1516" i="6"/>
  <c r="D1516" i="6"/>
  <c r="H1516" i="6" s="1"/>
  <c r="I1516" i="6" s="1"/>
  <c r="Q782" i="6"/>
  <c r="G782" i="6"/>
  <c r="F782" i="6"/>
  <c r="P782" i="6"/>
  <c r="D782" i="6"/>
  <c r="H782" i="6" s="1"/>
  <c r="I782" i="6" s="1"/>
  <c r="L782" i="6"/>
  <c r="J782" i="6"/>
  <c r="C782" i="6"/>
  <c r="B782" i="6"/>
  <c r="Q783" i="6"/>
  <c r="D783" i="6"/>
  <c r="H783" i="6" s="1"/>
  <c r="I783" i="6" s="1"/>
  <c r="P783" i="6"/>
  <c r="C783" i="6"/>
  <c r="L783" i="6"/>
  <c r="B783" i="6"/>
  <c r="J783" i="6"/>
  <c r="G783" i="6"/>
  <c r="F783" i="6"/>
  <c r="Q1456" i="6"/>
  <c r="J1456" i="6"/>
  <c r="B1456" i="6"/>
  <c r="D1456" i="6"/>
  <c r="H1456" i="6" s="1"/>
  <c r="I1456" i="6" s="1"/>
  <c r="P1456" i="6"/>
  <c r="C1456" i="6"/>
  <c r="L1456" i="6"/>
  <c r="G1456" i="6"/>
  <c r="F1456" i="6"/>
  <c r="D1452" i="6"/>
  <c r="H1452" i="6" s="1"/>
  <c r="I1452" i="6" s="1"/>
  <c r="Q1452" i="6"/>
  <c r="C1452" i="6"/>
  <c r="P1452" i="6"/>
  <c r="B1452" i="6"/>
  <c r="L1452" i="6"/>
  <c r="J1452" i="6"/>
  <c r="F1452" i="6"/>
  <c r="G1452" i="6"/>
  <c r="Q950" i="6"/>
  <c r="G950" i="6"/>
  <c r="F950" i="6"/>
  <c r="P950" i="6"/>
  <c r="D950" i="6"/>
  <c r="H950" i="6" s="1"/>
  <c r="I950" i="6" s="1"/>
  <c r="L950" i="6"/>
  <c r="C950" i="6"/>
  <c r="B950" i="6"/>
  <c r="J950" i="6"/>
  <c r="G956" i="6"/>
  <c r="L956" i="6"/>
  <c r="B956" i="6"/>
  <c r="J956" i="6"/>
  <c r="F956" i="6"/>
  <c r="Q956" i="6"/>
  <c r="P956" i="6"/>
  <c r="D956" i="6"/>
  <c r="H956" i="6" s="1"/>
  <c r="I956" i="6" s="1"/>
  <c r="C956" i="6"/>
  <c r="Q918" i="6"/>
  <c r="G918" i="6"/>
  <c r="F918" i="6"/>
  <c r="P918" i="6"/>
  <c r="D918" i="6"/>
  <c r="H918" i="6" s="1"/>
  <c r="I918" i="6" s="1"/>
  <c r="L918" i="6"/>
  <c r="C918" i="6"/>
  <c r="J918" i="6"/>
  <c r="B918" i="6"/>
  <c r="L912" i="6"/>
  <c r="C912" i="6"/>
  <c r="Q912" i="6"/>
  <c r="D912" i="6"/>
  <c r="H912" i="6" s="1"/>
  <c r="I912" i="6" s="1"/>
  <c r="P912" i="6"/>
  <c r="B912" i="6"/>
  <c r="J912" i="6"/>
  <c r="G912" i="6"/>
  <c r="F912" i="6"/>
  <c r="F681" i="6"/>
  <c r="G681" i="6"/>
  <c r="Q681" i="6"/>
  <c r="D681" i="6"/>
  <c r="H681" i="6" s="1"/>
  <c r="I681" i="6" s="1"/>
  <c r="P681" i="6"/>
  <c r="C681" i="6"/>
  <c r="L681" i="6"/>
  <c r="J681" i="6"/>
  <c r="B681" i="6"/>
  <c r="Q679" i="6"/>
  <c r="D679" i="6"/>
  <c r="H679" i="6" s="1"/>
  <c r="I679" i="6" s="1"/>
  <c r="C679" i="6"/>
  <c r="P679" i="6"/>
  <c r="B679" i="6"/>
  <c r="L679" i="6"/>
  <c r="J679" i="6"/>
  <c r="G679" i="6"/>
  <c r="F679" i="6"/>
  <c r="L682" i="6"/>
  <c r="B682" i="6"/>
  <c r="D682" i="6"/>
  <c r="H682" i="6" s="1"/>
  <c r="I682" i="6" s="1"/>
  <c r="Q682" i="6"/>
  <c r="C682" i="6"/>
  <c r="P682" i="6"/>
  <c r="J682" i="6"/>
  <c r="F682" i="6"/>
  <c r="G682" i="6"/>
  <c r="G644" i="6"/>
  <c r="J644" i="6"/>
  <c r="F644" i="6"/>
  <c r="D644" i="6"/>
  <c r="H644" i="6" s="1"/>
  <c r="I644" i="6" s="1"/>
  <c r="P644" i="6"/>
  <c r="L644" i="6"/>
  <c r="C644" i="6"/>
  <c r="B644" i="6"/>
  <c r="Q644" i="6"/>
  <c r="Q638" i="6"/>
  <c r="P638" i="6"/>
  <c r="D638" i="6"/>
  <c r="H638" i="6" s="1"/>
  <c r="I638" i="6" s="1"/>
  <c r="F638" i="6"/>
  <c r="C638" i="6"/>
  <c r="L638" i="6"/>
  <c r="B638" i="6"/>
  <c r="J638" i="6"/>
  <c r="G638" i="6"/>
  <c r="Q647" i="6"/>
  <c r="D647" i="6"/>
  <c r="H647" i="6" s="1"/>
  <c r="I647" i="6" s="1"/>
  <c r="L647" i="6"/>
  <c r="J647" i="6"/>
  <c r="G647" i="6"/>
  <c r="F647" i="6"/>
  <c r="P647" i="6"/>
  <c r="B647" i="6"/>
  <c r="C647" i="6"/>
  <c r="G404" i="6"/>
  <c r="Q404" i="6"/>
  <c r="D404" i="6"/>
  <c r="H404" i="6" s="1"/>
  <c r="I404" i="6" s="1"/>
  <c r="P404" i="6"/>
  <c r="C404" i="6"/>
  <c r="L404" i="6"/>
  <c r="B404" i="6"/>
  <c r="J404" i="6"/>
  <c r="F404" i="6"/>
  <c r="L412" i="6"/>
  <c r="C412" i="6"/>
  <c r="J412" i="6"/>
  <c r="G412" i="6"/>
  <c r="F412" i="6"/>
  <c r="D412" i="6"/>
  <c r="H412" i="6" s="1"/>
  <c r="I412" i="6" s="1"/>
  <c r="B412" i="6"/>
  <c r="Q412" i="6"/>
  <c r="P412" i="6"/>
  <c r="L136" i="6"/>
  <c r="C136" i="6"/>
  <c r="Q136" i="6"/>
  <c r="D136" i="6"/>
  <c r="H136" i="6" s="1"/>
  <c r="I136" i="6" s="1"/>
  <c r="P136" i="6"/>
  <c r="B136" i="6"/>
  <c r="J136" i="6"/>
  <c r="G136" i="6"/>
  <c r="F136" i="6"/>
  <c r="G82" i="6"/>
  <c r="F82" i="6"/>
  <c r="Q82" i="6"/>
  <c r="P82" i="6"/>
  <c r="D82" i="6"/>
  <c r="H82" i="6" s="1"/>
  <c r="I82" i="6" s="1"/>
  <c r="C82" i="6"/>
  <c r="B82" i="6"/>
  <c r="L82" i="6"/>
  <c r="J82" i="6"/>
  <c r="L83" i="6"/>
  <c r="C83" i="6"/>
  <c r="J83" i="6"/>
  <c r="B83" i="6"/>
  <c r="G83" i="6"/>
  <c r="Q83" i="6"/>
  <c r="P83" i="6"/>
  <c r="F83" i="6"/>
  <c r="D83" i="6"/>
  <c r="H83" i="6" s="1"/>
  <c r="I83" i="6" s="1"/>
  <c r="J1644" i="6"/>
  <c r="B1644" i="6"/>
  <c r="G1644" i="6"/>
  <c r="F1644" i="6"/>
  <c r="Q1644" i="6"/>
  <c r="D1644" i="6"/>
  <c r="H1644" i="6" s="1"/>
  <c r="I1644" i="6" s="1"/>
  <c r="C1644" i="6"/>
  <c r="P1644" i="6"/>
  <c r="L1644" i="6"/>
  <c r="J1654" i="6"/>
  <c r="B1654" i="6"/>
  <c r="G1654" i="6"/>
  <c r="Q1654" i="6"/>
  <c r="C1654" i="6"/>
  <c r="D1654" i="6"/>
  <c r="H1654" i="6" s="1"/>
  <c r="I1654" i="6" s="1"/>
  <c r="P1654" i="6"/>
  <c r="L1654" i="6"/>
  <c r="F1654" i="6"/>
  <c r="Q1604" i="6"/>
  <c r="L1604" i="6"/>
  <c r="C1604" i="6"/>
  <c r="J1604" i="6"/>
  <c r="B1604" i="6"/>
  <c r="D1604" i="6"/>
  <c r="H1604" i="6" s="1"/>
  <c r="I1604" i="6" s="1"/>
  <c r="G1604" i="6"/>
  <c r="F1604" i="6"/>
  <c r="P1604" i="6"/>
  <c r="G1617" i="6"/>
  <c r="P1617" i="6"/>
  <c r="B1617" i="6"/>
  <c r="L1617" i="6"/>
  <c r="J1617" i="6"/>
  <c r="F1617" i="6"/>
  <c r="D1617" i="6"/>
  <c r="H1617" i="6" s="1"/>
  <c r="I1617" i="6" s="1"/>
  <c r="C1617" i="6"/>
  <c r="Q1617" i="6"/>
  <c r="G1340" i="6"/>
  <c r="F1340" i="6"/>
  <c r="Q1340" i="6"/>
  <c r="P1340" i="6"/>
  <c r="D1340" i="6"/>
  <c r="H1340" i="6" s="1"/>
  <c r="I1340" i="6" s="1"/>
  <c r="L1340" i="6"/>
  <c r="C1340" i="6"/>
  <c r="J1340" i="6"/>
  <c r="B1340" i="6"/>
  <c r="Q1342" i="6"/>
  <c r="P1342" i="6"/>
  <c r="D1342" i="6"/>
  <c r="H1342" i="6" s="1"/>
  <c r="I1342" i="6" s="1"/>
  <c r="L1342" i="6"/>
  <c r="C1342" i="6"/>
  <c r="J1342" i="6"/>
  <c r="B1342" i="6"/>
  <c r="F1342" i="6"/>
  <c r="G1342" i="6"/>
  <c r="G1346" i="6"/>
  <c r="F1346" i="6"/>
  <c r="Q1346" i="6"/>
  <c r="J1346" i="6"/>
  <c r="D1346" i="6"/>
  <c r="H1346" i="6" s="1"/>
  <c r="I1346" i="6" s="1"/>
  <c r="P1346" i="6"/>
  <c r="L1346" i="6"/>
  <c r="C1346" i="6"/>
  <c r="B1346" i="6"/>
  <c r="J1029" i="6"/>
  <c r="B1029" i="6"/>
  <c r="Q1029" i="6"/>
  <c r="D1029" i="6"/>
  <c r="H1029" i="6" s="1"/>
  <c r="I1029" i="6" s="1"/>
  <c r="G1029" i="6"/>
  <c r="F1029" i="6"/>
  <c r="C1029" i="6"/>
  <c r="P1029" i="6"/>
  <c r="L1029" i="6"/>
  <c r="P1035" i="6"/>
  <c r="D1035" i="6"/>
  <c r="H1035" i="6" s="1"/>
  <c r="I1035" i="6" s="1"/>
  <c r="G1035" i="6"/>
  <c r="L1035" i="6"/>
  <c r="J1035" i="6"/>
  <c r="F1035" i="6"/>
  <c r="Q1035" i="6"/>
  <c r="C1035" i="6"/>
  <c r="B1035" i="6"/>
  <c r="P1003" i="6"/>
  <c r="D1003" i="6"/>
  <c r="H1003" i="6" s="1"/>
  <c r="I1003" i="6" s="1"/>
  <c r="F1003" i="6"/>
  <c r="Q1003" i="6"/>
  <c r="C1003" i="6"/>
  <c r="L1003" i="6"/>
  <c r="B1003" i="6"/>
  <c r="J1003" i="6"/>
  <c r="G1003" i="6"/>
  <c r="P995" i="6"/>
  <c r="D995" i="6"/>
  <c r="H995" i="6" s="1"/>
  <c r="I995" i="6" s="1"/>
  <c r="J995" i="6"/>
  <c r="G995" i="6"/>
  <c r="F995" i="6"/>
  <c r="Q995" i="6"/>
  <c r="L995" i="6"/>
  <c r="C995" i="6"/>
  <c r="B995" i="6"/>
  <c r="D1411" i="6"/>
  <c r="H1411" i="6" s="1"/>
  <c r="I1411" i="6" s="1"/>
  <c r="Q1411" i="6"/>
  <c r="C1411" i="6"/>
  <c r="P1411" i="6"/>
  <c r="B1411" i="6"/>
  <c r="L1411" i="6"/>
  <c r="J1411" i="6"/>
  <c r="G1411" i="6"/>
  <c r="F1411" i="6"/>
  <c r="G1403" i="6"/>
  <c r="J1403" i="6"/>
  <c r="F1403" i="6"/>
  <c r="Q1403" i="6"/>
  <c r="P1403" i="6"/>
  <c r="L1403" i="6"/>
  <c r="B1403" i="6"/>
  <c r="D1403" i="6"/>
  <c r="H1403" i="6" s="1"/>
  <c r="I1403" i="6" s="1"/>
  <c r="C1403" i="6"/>
  <c r="G332" i="6"/>
  <c r="F332" i="6"/>
  <c r="Q332" i="6"/>
  <c r="D332" i="6"/>
  <c r="H332" i="6" s="1"/>
  <c r="I332" i="6" s="1"/>
  <c r="P332" i="6"/>
  <c r="L332" i="6"/>
  <c r="J332" i="6"/>
  <c r="C332" i="6"/>
  <c r="B332" i="6"/>
  <c r="Q342" i="6"/>
  <c r="P342" i="6"/>
  <c r="D342" i="6"/>
  <c r="H342" i="6" s="1"/>
  <c r="I342" i="6" s="1"/>
  <c r="L342" i="6"/>
  <c r="C342" i="6"/>
  <c r="J342" i="6"/>
  <c r="B342" i="6"/>
  <c r="G342" i="6"/>
  <c r="F342" i="6"/>
  <c r="L336" i="6"/>
  <c r="C336" i="6"/>
  <c r="J336" i="6"/>
  <c r="G336" i="6"/>
  <c r="F336" i="6"/>
  <c r="D336" i="6"/>
  <c r="H336" i="6" s="1"/>
  <c r="I336" i="6" s="1"/>
  <c r="B336" i="6"/>
  <c r="P336" i="6"/>
  <c r="Q336" i="6"/>
  <c r="L216" i="6"/>
  <c r="C216" i="6"/>
  <c r="F216" i="6"/>
  <c r="G216" i="6"/>
  <c r="D216" i="6"/>
  <c r="H216" i="6" s="1"/>
  <c r="I216" i="6" s="1"/>
  <c r="Q216" i="6"/>
  <c r="B216" i="6"/>
  <c r="P216" i="6"/>
  <c r="J216" i="6"/>
  <c r="Q222" i="6"/>
  <c r="J222" i="6"/>
  <c r="G222" i="6"/>
  <c r="F222" i="6"/>
  <c r="D222" i="6"/>
  <c r="H222" i="6" s="1"/>
  <c r="I222" i="6" s="1"/>
  <c r="C222" i="6"/>
  <c r="B222" i="6"/>
  <c r="P222" i="6"/>
  <c r="L222" i="6"/>
  <c r="F97" i="6"/>
  <c r="Q97" i="6"/>
  <c r="D97" i="6"/>
  <c r="H97" i="6" s="1"/>
  <c r="I97" i="6" s="1"/>
  <c r="P97" i="6"/>
  <c r="C97" i="6"/>
  <c r="L97" i="6"/>
  <c r="B97" i="6"/>
  <c r="J97" i="6"/>
  <c r="G97" i="6"/>
  <c r="J98" i="6"/>
  <c r="G98" i="6"/>
  <c r="F98" i="6"/>
  <c r="D98" i="6"/>
  <c r="H98" i="6" s="1"/>
  <c r="I98" i="6" s="1"/>
  <c r="C98" i="6"/>
  <c r="B98" i="6"/>
  <c r="Q98" i="6"/>
  <c r="P98" i="6"/>
  <c r="L98" i="6"/>
  <c r="G199" i="6"/>
  <c r="F199" i="6"/>
  <c r="Q199" i="6"/>
  <c r="D199" i="6"/>
  <c r="H199" i="6" s="1"/>
  <c r="I199" i="6" s="1"/>
  <c r="P199" i="6"/>
  <c r="C199" i="6"/>
  <c r="L199" i="6"/>
  <c r="J199" i="6"/>
  <c r="B199" i="6"/>
  <c r="G708" i="6"/>
  <c r="P708" i="6"/>
  <c r="L708" i="6"/>
  <c r="B708" i="6"/>
  <c r="F708" i="6"/>
  <c r="D708" i="6"/>
  <c r="H708" i="6" s="1"/>
  <c r="I708" i="6" s="1"/>
  <c r="C708" i="6"/>
  <c r="Q708" i="6"/>
  <c r="J708" i="6"/>
  <c r="Q710" i="6"/>
  <c r="P710" i="6"/>
  <c r="D710" i="6"/>
  <c r="H710" i="6" s="1"/>
  <c r="I710" i="6" s="1"/>
  <c r="L710" i="6"/>
  <c r="C710" i="6"/>
  <c r="J710" i="6"/>
  <c r="G710" i="6"/>
  <c r="F710" i="6"/>
  <c r="B710" i="6"/>
  <c r="G1238" i="6"/>
  <c r="F1238" i="6"/>
  <c r="D1238" i="6"/>
  <c r="H1238" i="6" s="1"/>
  <c r="I1238" i="6" s="1"/>
  <c r="C1238" i="6"/>
  <c r="Q1238" i="6"/>
  <c r="B1238" i="6"/>
  <c r="P1238" i="6"/>
  <c r="L1238" i="6"/>
  <c r="J1238" i="6"/>
  <c r="L1234" i="6"/>
  <c r="C1234" i="6"/>
  <c r="J1234" i="6"/>
  <c r="B1234" i="6"/>
  <c r="P1234" i="6"/>
  <c r="G1234" i="6"/>
  <c r="F1234" i="6"/>
  <c r="Q1234" i="6"/>
  <c r="D1234" i="6"/>
  <c r="H1234" i="6" s="1"/>
  <c r="I1234" i="6" s="1"/>
  <c r="J1662" i="6"/>
  <c r="B1662" i="6"/>
  <c r="G1662" i="6"/>
  <c r="Q1662" i="6"/>
  <c r="C1662" i="6"/>
  <c r="P1662" i="6"/>
  <c r="L1662" i="6"/>
  <c r="F1662" i="6"/>
  <c r="D1662" i="6"/>
  <c r="H1662" i="6" s="1"/>
  <c r="I1662" i="6" s="1"/>
  <c r="J1670" i="6"/>
  <c r="B1670" i="6"/>
  <c r="G1670" i="6"/>
  <c r="Q1670" i="6"/>
  <c r="C1670" i="6"/>
  <c r="L1670" i="6"/>
  <c r="D1670" i="6"/>
  <c r="H1670" i="6" s="1"/>
  <c r="I1670" i="6" s="1"/>
  <c r="P1670" i="6"/>
  <c r="F1670" i="6"/>
  <c r="F1667" i="6"/>
  <c r="J1667" i="6"/>
  <c r="D1667" i="6"/>
  <c r="H1667" i="6" s="1"/>
  <c r="I1667" i="6" s="1"/>
  <c r="Q1667" i="6"/>
  <c r="P1667" i="6"/>
  <c r="L1667" i="6"/>
  <c r="B1667" i="6"/>
  <c r="C1667" i="6"/>
  <c r="G1667" i="6"/>
  <c r="J821" i="6"/>
  <c r="B821" i="6"/>
  <c r="G821" i="6"/>
  <c r="F821" i="6"/>
  <c r="Q821" i="6"/>
  <c r="D821" i="6"/>
  <c r="H821" i="6" s="1"/>
  <c r="I821" i="6" s="1"/>
  <c r="P821" i="6"/>
  <c r="L821" i="6"/>
  <c r="C821" i="6"/>
  <c r="J805" i="6"/>
  <c r="B805" i="6"/>
  <c r="G805" i="6"/>
  <c r="F805" i="6"/>
  <c r="Q805" i="6"/>
  <c r="D805" i="6"/>
  <c r="H805" i="6" s="1"/>
  <c r="I805" i="6" s="1"/>
  <c r="P805" i="6"/>
  <c r="L805" i="6"/>
  <c r="C805" i="6"/>
  <c r="L808" i="6"/>
  <c r="C808" i="6"/>
  <c r="Q808" i="6"/>
  <c r="D808" i="6"/>
  <c r="H808" i="6" s="1"/>
  <c r="I808" i="6" s="1"/>
  <c r="P808" i="6"/>
  <c r="B808" i="6"/>
  <c r="J808" i="6"/>
  <c r="G808" i="6"/>
  <c r="F808" i="6"/>
  <c r="L540" i="6"/>
  <c r="C540" i="6"/>
  <c r="F540" i="6"/>
  <c r="Q540" i="6"/>
  <c r="D540" i="6"/>
  <c r="H540" i="6" s="1"/>
  <c r="I540" i="6" s="1"/>
  <c r="P540" i="6"/>
  <c r="B540" i="6"/>
  <c r="J540" i="6"/>
  <c r="G540" i="6"/>
  <c r="L548" i="6"/>
  <c r="C548" i="6"/>
  <c r="J548" i="6"/>
  <c r="G548" i="6"/>
  <c r="F548" i="6"/>
  <c r="B548" i="6"/>
  <c r="Q548" i="6"/>
  <c r="P548" i="6"/>
  <c r="D548" i="6"/>
  <c r="H548" i="6" s="1"/>
  <c r="I548" i="6" s="1"/>
  <c r="J285" i="6"/>
  <c r="B285" i="6"/>
  <c r="Q285" i="6"/>
  <c r="D285" i="6"/>
  <c r="H285" i="6" s="1"/>
  <c r="I285" i="6" s="1"/>
  <c r="P285" i="6"/>
  <c r="C285" i="6"/>
  <c r="L285" i="6"/>
  <c r="F285" i="6"/>
  <c r="G285" i="6"/>
  <c r="P290" i="6"/>
  <c r="C290" i="6"/>
  <c r="L290" i="6"/>
  <c r="B290" i="6"/>
  <c r="J290" i="6"/>
  <c r="G290" i="6"/>
  <c r="Q290" i="6"/>
  <c r="F290" i="6"/>
  <c r="D290" i="6"/>
  <c r="H290" i="6" s="1"/>
  <c r="I290" i="6" s="1"/>
  <c r="U6" i="5"/>
  <c r="Q1705" i="6"/>
  <c r="P1705" i="6"/>
  <c r="D1705" i="6"/>
  <c r="H1705" i="6" s="1"/>
  <c r="I1705" i="6" s="1"/>
  <c r="L1705" i="6"/>
  <c r="C1705" i="6"/>
  <c r="J1705" i="6"/>
  <c r="B1705" i="6"/>
  <c r="G1705" i="6"/>
  <c r="F1705" i="6"/>
  <c r="G1569" i="6"/>
  <c r="F1569" i="6"/>
  <c r="L1569" i="6"/>
  <c r="J1569" i="6"/>
  <c r="D1569" i="6"/>
  <c r="H1569" i="6" s="1"/>
  <c r="I1569" i="6" s="1"/>
  <c r="C1569" i="6"/>
  <c r="Q1569" i="6"/>
  <c r="P1569" i="6"/>
  <c r="B1569" i="6"/>
  <c r="P1485" i="6"/>
  <c r="D1485" i="6"/>
  <c r="H1485" i="6" s="1"/>
  <c r="I1485" i="6" s="1"/>
  <c r="Q1485" i="6"/>
  <c r="C1485" i="6"/>
  <c r="L1485" i="6"/>
  <c r="B1485" i="6"/>
  <c r="J1485" i="6"/>
  <c r="G1485" i="6"/>
  <c r="F1485" i="6"/>
  <c r="L1422" i="6"/>
  <c r="B1422" i="6"/>
  <c r="D1422" i="6"/>
  <c r="H1422" i="6" s="1"/>
  <c r="I1422" i="6" s="1"/>
  <c r="Q1422" i="6"/>
  <c r="C1422" i="6"/>
  <c r="P1422" i="6"/>
  <c r="J1422" i="6"/>
  <c r="G1422" i="6"/>
  <c r="F1422" i="6"/>
  <c r="J1289" i="6"/>
  <c r="B1289" i="6"/>
  <c r="G1289" i="6"/>
  <c r="F1289" i="6"/>
  <c r="C1289" i="6"/>
  <c r="D1289" i="6"/>
  <c r="H1289" i="6" s="1"/>
  <c r="I1289" i="6" s="1"/>
  <c r="Q1289" i="6"/>
  <c r="P1289" i="6"/>
  <c r="L1289" i="6"/>
  <c r="L1218" i="6"/>
  <c r="C1218" i="6"/>
  <c r="J1218" i="6"/>
  <c r="B1218" i="6"/>
  <c r="P1218" i="6"/>
  <c r="G1218" i="6"/>
  <c r="F1218" i="6"/>
  <c r="Q1218" i="6"/>
  <c r="D1218" i="6"/>
  <c r="H1218" i="6" s="1"/>
  <c r="I1218" i="6" s="1"/>
  <c r="G1092" i="6"/>
  <c r="F1092" i="6"/>
  <c r="Q1092" i="6"/>
  <c r="P1092" i="6"/>
  <c r="D1092" i="6"/>
  <c r="H1092" i="6" s="1"/>
  <c r="I1092" i="6" s="1"/>
  <c r="L1092" i="6"/>
  <c r="C1092" i="6"/>
  <c r="J1092" i="6"/>
  <c r="B1092" i="6"/>
  <c r="G1020" i="6"/>
  <c r="P1020" i="6"/>
  <c r="C1020" i="6"/>
  <c r="Q1020" i="6"/>
  <c r="B1020" i="6"/>
  <c r="L1020" i="6"/>
  <c r="J1020" i="6"/>
  <c r="D1020" i="6"/>
  <c r="H1020" i="6" s="1"/>
  <c r="I1020" i="6" s="1"/>
  <c r="F1020" i="6"/>
  <c r="G1594" i="6"/>
  <c r="F1594" i="6"/>
  <c r="Q1594" i="6"/>
  <c r="D1594" i="6"/>
  <c r="H1594" i="6" s="1"/>
  <c r="I1594" i="6" s="1"/>
  <c r="P1594" i="6"/>
  <c r="C1594" i="6"/>
  <c r="L1594" i="6"/>
  <c r="J1594" i="6"/>
  <c r="B1594" i="6"/>
  <c r="G1478" i="6"/>
  <c r="Q1478" i="6"/>
  <c r="D1478" i="6"/>
  <c r="H1478" i="6" s="1"/>
  <c r="I1478" i="6" s="1"/>
  <c r="P1478" i="6"/>
  <c r="C1478" i="6"/>
  <c r="L1478" i="6"/>
  <c r="B1478" i="6"/>
  <c r="J1478" i="6"/>
  <c r="F1478" i="6"/>
  <c r="Q1168" i="6"/>
  <c r="P1168" i="6"/>
  <c r="D1168" i="6"/>
  <c r="H1168" i="6" s="1"/>
  <c r="I1168" i="6" s="1"/>
  <c r="L1168" i="6"/>
  <c r="C1168" i="6"/>
  <c r="J1168" i="6"/>
  <c r="G1168" i="6"/>
  <c r="F1168" i="6"/>
  <c r="B1168" i="6"/>
  <c r="P971" i="6"/>
  <c r="D971" i="6"/>
  <c r="H971" i="6" s="1"/>
  <c r="I971" i="6" s="1"/>
  <c r="F971" i="6"/>
  <c r="Q971" i="6"/>
  <c r="C971" i="6"/>
  <c r="L971" i="6"/>
  <c r="B971" i="6"/>
  <c r="J971" i="6"/>
  <c r="G971" i="6"/>
  <c r="J897" i="6"/>
  <c r="B897" i="6"/>
  <c r="G897" i="6"/>
  <c r="F897" i="6"/>
  <c r="C897" i="6"/>
  <c r="Q897" i="6"/>
  <c r="P897" i="6"/>
  <c r="L897" i="6"/>
  <c r="D897" i="6"/>
  <c r="H897" i="6" s="1"/>
  <c r="I897" i="6" s="1"/>
  <c r="P755" i="6"/>
  <c r="D755" i="6"/>
  <c r="H755" i="6" s="1"/>
  <c r="I755" i="6" s="1"/>
  <c r="G755" i="6"/>
  <c r="F755" i="6"/>
  <c r="Q755" i="6"/>
  <c r="C755" i="6"/>
  <c r="L755" i="6"/>
  <c r="B755" i="6"/>
  <c r="J755" i="6"/>
  <c r="G695" i="6"/>
  <c r="Q695" i="6"/>
  <c r="D695" i="6"/>
  <c r="H695" i="6" s="1"/>
  <c r="I695" i="6" s="1"/>
  <c r="P695" i="6"/>
  <c r="L695" i="6"/>
  <c r="J695" i="6"/>
  <c r="F695" i="6"/>
  <c r="C695" i="6"/>
  <c r="B695" i="6"/>
  <c r="J553" i="6"/>
  <c r="B553" i="6"/>
  <c r="G553" i="6"/>
  <c r="F553" i="6"/>
  <c r="C553" i="6"/>
  <c r="Q553" i="6"/>
  <c r="P553" i="6"/>
  <c r="D553" i="6"/>
  <c r="H553" i="6" s="1"/>
  <c r="I553" i="6" s="1"/>
  <c r="L553" i="6"/>
  <c r="G416" i="6"/>
  <c r="Q416" i="6"/>
  <c r="D416" i="6"/>
  <c r="H416" i="6" s="1"/>
  <c r="I416" i="6" s="1"/>
  <c r="J416" i="6"/>
  <c r="F416" i="6"/>
  <c r="P416" i="6"/>
  <c r="L416" i="6"/>
  <c r="C416" i="6"/>
  <c r="B416" i="6"/>
  <c r="P1378" i="6"/>
  <c r="D1378" i="6"/>
  <c r="H1378" i="6" s="1"/>
  <c r="I1378" i="6" s="1"/>
  <c r="G1378" i="6"/>
  <c r="F1378" i="6"/>
  <c r="C1378" i="6"/>
  <c r="B1378" i="6"/>
  <c r="Q1378" i="6"/>
  <c r="L1378" i="6"/>
  <c r="J1378" i="6"/>
  <c r="L1252" i="6"/>
  <c r="C1252" i="6"/>
  <c r="J1252" i="6"/>
  <c r="F1252" i="6"/>
  <c r="D1252" i="6"/>
  <c r="H1252" i="6" s="1"/>
  <c r="I1252" i="6" s="1"/>
  <c r="Q1252" i="6"/>
  <c r="P1252" i="6"/>
  <c r="G1252" i="6"/>
  <c r="B1252" i="6"/>
  <c r="G1134" i="6"/>
  <c r="F1134" i="6"/>
  <c r="Q1134" i="6"/>
  <c r="P1134" i="6"/>
  <c r="B1134" i="6"/>
  <c r="L1134" i="6"/>
  <c r="J1134" i="6"/>
  <c r="D1134" i="6"/>
  <c r="H1134" i="6" s="1"/>
  <c r="I1134" i="6" s="1"/>
  <c r="C1134" i="6"/>
  <c r="G252" i="6"/>
  <c r="F252" i="6"/>
  <c r="D252" i="6"/>
  <c r="H252" i="6" s="1"/>
  <c r="I252" i="6" s="1"/>
  <c r="Q252" i="6"/>
  <c r="C252" i="6"/>
  <c r="P252" i="6"/>
  <c r="B252" i="6"/>
  <c r="L252" i="6"/>
  <c r="J252" i="6"/>
  <c r="P1445" i="6"/>
  <c r="D1445" i="6"/>
  <c r="H1445" i="6" s="1"/>
  <c r="I1445" i="6" s="1"/>
  <c r="Q1445" i="6"/>
  <c r="B1445" i="6"/>
  <c r="L1445" i="6"/>
  <c r="J1445" i="6"/>
  <c r="C1445" i="6"/>
  <c r="G1445" i="6"/>
  <c r="F1445" i="6"/>
  <c r="F1325" i="6"/>
  <c r="L1325" i="6"/>
  <c r="B1325" i="6"/>
  <c r="J1325" i="6"/>
  <c r="D1325" i="6"/>
  <c r="H1325" i="6" s="1"/>
  <c r="I1325" i="6" s="1"/>
  <c r="C1325" i="6"/>
  <c r="Q1325" i="6"/>
  <c r="P1325" i="6"/>
  <c r="G1325" i="6"/>
  <c r="J1199" i="6"/>
  <c r="B1199" i="6"/>
  <c r="Q1199" i="6"/>
  <c r="P1199" i="6"/>
  <c r="L1199" i="6"/>
  <c r="G1199" i="6"/>
  <c r="F1199" i="6"/>
  <c r="D1199" i="6"/>
  <c r="H1199" i="6" s="1"/>
  <c r="I1199" i="6" s="1"/>
  <c r="C1199" i="6"/>
  <c r="P935" i="6"/>
  <c r="C935" i="6"/>
  <c r="L935" i="6"/>
  <c r="B935" i="6"/>
  <c r="J935" i="6"/>
  <c r="G935" i="6"/>
  <c r="F935" i="6"/>
  <c r="D935" i="6"/>
  <c r="H935" i="6" s="1"/>
  <c r="I935" i="6" s="1"/>
  <c r="Q935" i="6"/>
  <c r="G791" i="6"/>
  <c r="F791" i="6"/>
  <c r="Q791" i="6"/>
  <c r="D791" i="6"/>
  <c r="H791" i="6" s="1"/>
  <c r="I791" i="6" s="1"/>
  <c r="C791" i="6"/>
  <c r="B791" i="6"/>
  <c r="L791" i="6"/>
  <c r="J791" i="6"/>
  <c r="P791" i="6"/>
  <c r="P659" i="6"/>
  <c r="D659" i="6"/>
  <c r="H659" i="6" s="1"/>
  <c r="I659" i="6" s="1"/>
  <c r="L659" i="6"/>
  <c r="B659" i="6"/>
  <c r="G659" i="6"/>
  <c r="F659" i="6"/>
  <c r="C659" i="6"/>
  <c r="Q659" i="6"/>
  <c r="J659" i="6"/>
  <c r="G590" i="6"/>
  <c r="F590" i="6"/>
  <c r="Q590" i="6"/>
  <c r="D590" i="6"/>
  <c r="H590" i="6" s="1"/>
  <c r="I590" i="6" s="1"/>
  <c r="P590" i="6"/>
  <c r="C590" i="6"/>
  <c r="L590" i="6"/>
  <c r="J590" i="6"/>
  <c r="B590" i="6"/>
  <c r="Q186" i="6"/>
  <c r="D186" i="6"/>
  <c r="H186" i="6" s="1"/>
  <c r="I186" i="6" s="1"/>
  <c r="P186" i="6"/>
  <c r="C186" i="6"/>
  <c r="L186" i="6"/>
  <c r="B186" i="6"/>
  <c r="J186" i="6"/>
  <c r="G186" i="6"/>
  <c r="F186" i="6"/>
  <c r="P274" i="6"/>
  <c r="C274" i="6"/>
  <c r="D274" i="6"/>
  <c r="H274" i="6" s="1"/>
  <c r="I274" i="6" s="1"/>
  <c r="Q274" i="6"/>
  <c r="B274" i="6"/>
  <c r="L274" i="6"/>
  <c r="J274" i="6"/>
  <c r="F274" i="6"/>
  <c r="G274" i="6"/>
  <c r="Q142" i="6"/>
  <c r="G142" i="6"/>
  <c r="F142" i="6"/>
  <c r="P142" i="6"/>
  <c r="D142" i="6"/>
  <c r="H142" i="6" s="1"/>
  <c r="I142" i="6" s="1"/>
  <c r="L142" i="6"/>
  <c r="C142" i="6"/>
  <c r="B142" i="6"/>
  <c r="J142" i="6"/>
  <c r="Q9" i="6"/>
  <c r="P9" i="6"/>
  <c r="C9" i="6"/>
  <c r="B9" i="6"/>
  <c r="G9" i="6"/>
  <c r="F9" i="6"/>
  <c r="J1521" i="6"/>
  <c r="G1521" i="6"/>
  <c r="F1521" i="6"/>
  <c r="P1521" i="6"/>
  <c r="L1521" i="6"/>
  <c r="D1521" i="6"/>
  <c r="H1521" i="6" s="1"/>
  <c r="I1521" i="6" s="1"/>
  <c r="Q1521" i="6"/>
  <c r="B1521" i="6"/>
  <c r="C1521" i="6"/>
  <c r="G31" i="6"/>
  <c r="F31" i="6"/>
  <c r="Q31" i="6"/>
  <c r="P31" i="6"/>
  <c r="C31" i="6"/>
  <c r="B31" i="6"/>
  <c r="J881" i="6"/>
  <c r="B881" i="6"/>
  <c r="G881" i="6"/>
  <c r="F881" i="6"/>
  <c r="C881" i="6"/>
  <c r="Q881" i="6"/>
  <c r="P881" i="6"/>
  <c r="D881" i="6"/>
  <c r="H881" i="6" s="1"/>
  <c r="I881" i="6" s="1"/>
  <c r="L881" i="6"/>
  <c r="J844" i="6"/>
  <c r="B844" i="6"/>
  <c r="G844" i="6"/>
  <c r="D844" i="6"/>
  <c r="H844" i="6" s="1"/>
  <c r="I844" i="6" s="1"/>
  <c r="C844" i="6"/>
  <c r="Q844" i="6"/>
  <c r="P844" i="6"/>
  <c r="F844" i="6"/>
  <c r="L844" i="6"/>
  <c r="Q602" i="6"/>
  <c r="P602" i="6"/>
  <c r="D602" i="6"/>
  <c r="H602" i="6" s="1"/>
  <c r="I602" i="6" s="1"/>
  <c r="L602" i="6"/>
  <c r="C602" i="6"/>
  <c r="J602" i="6"/>
  <c r="B602" i="6"/>
  <c r="G602" i="6"/>
  <c r="F602" i="6"/>
  <c r="P1394" i="6"/>
  <c r="D1394" i="6"/>
  <c r="H1394" i="6" s="1"/>
  <c r="I1394" i="6" s="1"/>
  <c r="G1394" i="6"/>
  <c r="F1394" i="6"/>
  <c r="C1394" i="6"/>
  <c r="B1394" i="6"/>
  <c r="Q1394" i="6"/>
  <c r="L1394" i="6"/>
  <c r="J1394" i="6"/>
  <c r="L1548" i="6"/>
  <c r="B1548" i="6"/>
  <c r="J1548" i="6"/>
  <c r="G1548" i="6"/>
  <c r="D1548" i="6"/>
  <c r="H1548" i="6" s="1"/>
  <c r="I1548" i="6" s="1"/>
  <c r="C1548" i="6"/>
  <c r="Q1548" i="6"/>
  <c r="P1548" i="6"/>
  <c r="F1548" i="6"/>
  <c r="Q1314" i="6"/>
  <c r="G1314" i="6"/>
  <c r="L1314" i="6"/>
  <c r="J1314" i="6"/>
  <c r="F1314" i="6"/>
  <c r="D1314" i="6"/>
  <c r="H1314" i="6" s="1"/>
  <c r="I1314" i="6" s="1"/>
  <c r="P1314" i="6"/>
  <c r="C1314" i="6"/>
  <c r="B1314" i="6"/>
  <c r="F241" i="6"/>
  <c r="G241" i="6"/>
  <c r="D241" i="6"/>
  <c r="H241" i="6" s="1"/>
  <c r="I241" i="6" s="1"/>
  <c r="Q241" i="6"/>
  <c r="C241" i="6"/>
  <c r="P241" i="6"/>
  <c r="B241" i="6"/>
  <c r="L241" i="6"/>
  <c r="J241" i="6"/>
  <c r="F1586" i="6"/>
  <c r="Q1586" i="6"/>
  <c r="P1586" i="6"/>
  <c r="D1586" i="6"/>
  <c r="H1586" i="6" s="1"/>
  <c r="I1586" i="6" s="1"/>
  <c r="L1586" i="6"/>
  <c r="C1586" i="6"/>
  <c r="G1586" i="6"/>
  <c r="B1586" i="6"/>
  <c r="J1586" i="6"/>
  <c r="P207" i="6"/>
  <c r="C207" i="6"/>
  <c r="L207" i="6"/>
  <c r="B207" i="6"/>
  <c r="J207" i="6"/>
  <c r="G207" i="6"/>
  <c r="Q207" i="6"/>
  <c r="F207" i="6"/>
  <c r="D207" i="6"/>
  <c r="H207" i="6" s="1"/>
  <c r="I207" i="6" s="1"/>
  <c r="Q1513" i="6"/>
  <c r="D1513" i="6"/>
  <c r="H1513" i="6" s="1"/>
  <c r="I1513" i="6" s="1"/>
  <c r="P1513" i="6"/>
  <c r="C1513" i="6"/>
  <c r="L1513" i="6"/>
  <c r="B1513" i="6"/>
  <c r="J1513" i="6"/>
  <c r="G1513" i="6"/>
  <c r="F1513" i="6"/>
  <c r="G908" i="6"/>
  <c r="L908" i="6"/>
  <c r="B908" i="6"/>
  <c r="J908" i="6"/>
  <c r="F908" i="6"/>
  <c r="Q908" i="6"/>
  <c r="P908" i="6"/>
  <c r="D908" i="6"/>
  <c r="H908" i="6" s="1"/>
  <c r="I908" i="6" s="1"/>
  <c r="C908" i="6"/>
  <c r="Q126" i="6"/>
  <c r="G126" i="6"/>
  <c r="F126" i="6"/>
  <c r="P126" i="6"/>
  <c r="D126" i="6"/>
  <c r="H126" i="6" s="1"/>
  <c r="I126" i="6" s="1"/>
  <c r="L126" i="6"/>
  <c r="C126" i="6"/>
  <c r="B126" i="6"/>
  <c r="J126" i="6"/>
  <c r="F1607" i="6"/>
  <c r="G1607" i="6"/>
  <c r="P1607" i="6"/>
  <c r="L1607" i="6"/>
  <c r="J1607" i="6"/>
  <c r="Q1607" i="6"/>
  <c r="C1607" i="6"/>
  <c r="B1607" i="6"/>
  <c r="D1607" i="6"/>
  <c r="H1607" i="6" s="1"/>
  <c r="I1607" i="6" s="1"/>
  <c r="J333" i="6"/>
  <c r="B333" i="6"/>
  <c r="Q333" i="6"/>
  <c r="D333" i="6"/>
  <c r="H333" i="6" s="1"/>
  <c r="I333" i="6" s="1"/>
  <c r="P333" i="6"/>
  <c r="C333" i="6"/>
  <c r="L333" i="6"/>
  <c r="F333" i="6"/>
  <c r="G333" i="6"/>
  <c r="Q1626" i="6"/>
  <c r="P1626" i="6"/>
  <c r="D1626" i="6"/>
  <c r="H1626" i="6" s="1"/>
  <c r="I1626" i="6" s="1"/>
  <c r="L1626" i="6"/>
  <c r="C1626" i="6"/>
  <c r="J1626" i="6"/>
  <c r="B1626" i="6"/>
  <c r="G1626" i="6"/>
  <c r="F1626" i="6"/>
  <c r="J1487" i="6"/>
  <c r="B1487" i="6"/>
  <c r="F1487" i="6"/>
  <c r="Q1487" i="6"/>
  <c r="D1487" i="6"/>
  <c r="H1487" i="6" s="1"/>
  <c r="I1487" i="6" s="1"/>
  <c r="P1487" i="6"/>
  <c r="C1487" i="6"/>
  <c r="L1487" i="6"/>
  <c r="G1487" i="6"/>
  <c r="J1431" i="6"/>
  <c r="B1431" i="6"/>
  <c r="L1431" i="6"/>
  <c r="G1431" i="6"/>
  <c r="F1431" i="6"/>
  <c r="D1431" i="6"/>
  <c r="H1431" i="6" s="1"/>
  <c r="I1431" i="6" s="1"/>
  <c r="C1431" i="6"/>
  <c r="Q1431" i="6"/>
  <c r="P1431" i="6"/>
  <c r="L1284" i="6"/>
  <c r="C1284" i="6"/>
  <c r="J1284" i="6"/>
  <c r="Q1284" i="6"/>
  <c r="P1284" i="6"/>
  <c r="F1284" i="6"/>
  <c r="D1284" i="6"/>
  <c r="H1284" i="6" s="1"/>
  <c r="I1284" i="6" s="1"/>
  <c r="B1284" i="6"/>
  <c r="G1284" i="6"/>
  <c r="J1013" i="6"/>
  <c r="B1013" i="6"/>
  <c r="Q1013" i="6"/>
  <c r="D1013" i="6"/>
  <c r="H1013" i="6" s="1"/>
  <c r="I1013" i="6" s="1"/>
  <c r="P1013" i="6"/>
  <c r="L1013" i="6"/>
  <c r="G1013" i="6"/>
  <c r="C1013" i="6"/>
  <c r="F1013" i="6"/>
  <c r="P1165" i="6"/>
  <c r="D1165" i="6"/>
  <c r="H1165" i="6" s="1"/>
  <c r="I1165" i="6" s="1"/>
  <c r="L1165" i="6"/>
  <c r="C1165" i="6"/>
  <c r="J1165" i="6"/>
  <c r="B1165" i="6"/>
  <c r="Q1165" i="6"/>
  <c r="G1165" i="6"/>
  <c r="F1165" i="6"/>
  <c r="J1058" i="6"/>
  <c r="G1058" i="6"/>
  <c r="F1058" i="6"/>
  <c r="B1058" i="6"/>
  <c r="Q1058" i="6"/>
  <c r="P1058" i="6"/>
  <c r="L1058" i="6"/>
  <c r="D1058" i="6"/>
  <c r="H1058" i="6" s="1"/>
  <c r="I1058" i="6" s="1"/>
  <c r="C1058" i="6"/>
  <c r="G894" i="6"/>
  <c r="F894" i="6"/>
  <c r="Q894" i="6"/>
  <c r="C894" i="6"/>
  <c r="B894" i="6"/>
  <c r="P894" i="6"/>
  <c r="L894" i="6"/>
  <c r="D894" i="6"/>
  <c r="H894" i="6" s="1"/>
  <c r="I894" i="6" s="1"/>
  <c r="J894" i="6"/>
  <c r="F697" i="6"/>
  <c r="G697" i="6"/>
  <c r="L697" i="6"/>
  <c r="J697" i="6"/>
  <c r="D697" i="6"/>
  <c r="H697" i="6" s="1"/>
  <c r="I697" i="6" s="1"/>
  <c r="C697" i="6"/>
  <c r="B697" i="6"/>
  <c r="Q697" i="6"/>
  <c r="P697" i="6"/>
  <c r="Q554" i="6"/>
  <c r="P554" i="6"/>
  <c r="D554" i="6"/>
  <c r="H554" i="6" s="1"/>
  <c r="I554" i="6" s="1"/>
  <c r="L554" i="6"/>
  <c r="C554" i="6"/>
  <c r="J554" i="6"/>
  <c r="B554" i="6"/>
  <c r="G554" i="6"/>
  <c r="F554" i="6"/>
  <c r="L428" i="6"/>
  <c r="C428" i="6"/>
  <c r="J428" i="6"/>
  <c r="D428" i="6"/>
  <c r="H428" i="6" s="1"/>
  <c r="I428" i="6" s="1"/>
  <c r="Q428" i="6"/>
  <c r="B428" i="6"/>
  <c r="P428" i="6"/>
  <c r="G428" i="6"/>
  <c r="F428" i="6"/>
  <c r="L1375" i="6"/>
  <c r="C1375" i="6"/>
  <c r="P1375" i="6"/>
  <c r="B1375" i="6"/>
  <c r="J1375" i="6"/>
  <c r="G1375" i="6"/>
  <c r="D1375" i="6"/>
  <c r="H1375" i="6" s="1"/>
  <c r="I1375" i="6" s="1"/>
  <c r="Q1375" i="6"/>
  <c r="F1375" i="6"/>
  <c r="P1133" i="6"/>
  <c r="D1133" i="6"/>
  <c r="H1133" i="6" s="1"/>
  <c r="I1133" i="6" s="1"/>
  <c r="L1133" i="6"/>
  <c r="C1133" i="6"/>
  <c r="J1133" i="6"/>
  <c r="B1133" i="6"/>
  <c r="Q1133" i="6"/>
  <c r="G1133" i="6"/>
  <c r="F1133" i="6"/>
  <c r="G1446" i="6"/>
  <c r="L1446" i="6"/>
  <c r="B1446" i="6"/>
  <c r="J1446" i="6"/>
  <c r="F1446" i="6"/>
  <c r="P1446" i="6"/>
  <c r="D1446" i="6"/>
  <c r="H1446" i="6" s="1"/>
  <c r="I1446" i="6" s="1"/>
  <c r="C1446" i="6"/>
  <c r="Q1446" i="6"/>
  <c r="G924" i="6"/>
  <c r="L924" i="6"/>
  <c r="B924" i="6"/>
  <c r="J924" i="6"/>
  <c r="F924" i="6"/>
  <c r="C924" i="6"/>
  <c r="Q924" i="6"/>
  <c r="D924" i="6"/>
  <c r="H924" i="6" s="1"/>
  <c r="I924" i="6" s="1"/>
  <c r="P924" i="6"/>
  <c r="G796" i="6"/>
  <c r="F796" i="6"/>
  <c r="Q796" i="6"/>
  <c r="D796" i="6"/>
  <c r="H796" i="6" s="1"/>
  <c r="I796" i="6" s="1"/>
  <c r="P796" i="6"/>
  <c r="C796" i="6"/>
  <c r="B796" i="6"/>
  <c r="L796" i="6"/>
  <c r="J796" i="6"/>
  <c r="P598" i="6"/>
  <c r="C598" i="6"/>
  <c r="L598" i="6"/>
  <c r="B598" i="6"/>
  <c r="J598" i="6"/>
  <c r="G598" i="6"/>
  <c r="Q598" i="6"/>
  <c r="F598" i="6"/>
  <c r="D598" i="6"/>
  <c r="H598" i="6" s="1"/>
  <c r="I598" i="6" s="1"/>
  <c r="P322" i="6"/>
  <c r="C322" i="6"/>
  <c r="L322" i="6"/>
  <c r="B322" i="6"/>
  <c r="J322" i="6"/>
  <c r="G322" i="6"/>
  <c r="Q322" i="6"/>
  <c r="F322" i="6"/>
  <c r="D322" i="6"/>
  <c r="H322" i="6" s="1"/>
  <c r="I322" i="6" s="1"/>
  <c r="B40" i="6"/>
  <c r="G40" i="6"/>
  <c r="F40" i="6"/>
  <c r="C40" i="6"/>
  <c r="Q40" i="6"/>
  <c r="P40" i="6"/>
  <c r="G1121" i="6"/>
  <c r="F1121" i="6"/>
  <c r="L1121" i="6"/>
  <c r="J1121" i="6"/>
  <c r="D1121" i="6"/>
  <c r="H1121" i="6" s="1"/>
  <c r="I1121" i="6" s="1"/>
  <c r="Q1121" i="6"/>
  <c r="P1121" i="6"/>
  <c r="C1121" i="6"/>
  <c r="B1121" i="6"/>
  <c r="G1068" i="6"/>
  <c r="F1068" i="6"/>
  <c r="Q1068" i="6"/>
  <c r="D1068" i="6"/>
  <c r="H1068" i="6" s="1"/>
  <c r="I1068" i="6" s="1"/>
  <c r="P1068" i="6"/>
  <c r="C1068" i="6"/>
  <c r="L1068" i="6"/>
  <c r="J1068" i="6"/>
  <c r="B1068" i="6"/>
  <c r="P379" i="6"/>
  <c r="D379" i="6"/>
  <c r="H379" i="6" s="1"/>
  <c r="I379" i="6" s="1"/>
  <c r="Q379" i="6"/>
  <c r="C379" i="6"/>
  <c r="L379" i="6"/>
  <c r="B379" i="6"/>
  <c r="J379" i="6"/>
  <c r="G379" i="6"/>
  <c r="F379" i="6"/>
  <c r="Q65" i="6"/>
  <c r="P65" i="6"/>
  <c r="C65" i="6"/>
  <c r="B65" i="6"/>
  <c r="F65" i="6"/>
  <c r="G65" i="6"/>
  <c r="F265" i="6"/>
  <c r="L265" i="6"/>
  <c r="B265" i="6"/>
  <c r="G265" i="6"/>
  <c r="D265" i="6"/>
  <c r="H265" i="6" s="1"/>
  <c r="I265" i="6" s="1"/>
  <c r="J265" i="6"/>
  <c r="C265" i="6"/>
  <c r="P265" i="6"/>
  <c r="Q265" i="6"/>
  <c r="C11" i="6"/>
  <c r="B11" i="6"/>
  <c r="G11" i="6"/>
  <c r="P11" i="6"/>
  <c r="Q11" i="6"/>
  <c r="F11" i="6"/>
  <c r="J309" i="6"/>
  <c r="B309" i="6"/>
  <c r="G309" i="6"/>
  <c r="F309" i="6"/>
  <c r="D309" i="6"/>
  <c r="H309" i="6" s="1"/>
  <c r="I309" i="6" s="1"/>
  <c r="C309" i="6"/>
  <c r="Q309" i="6"/>
  <c r="P309" i="6"/>
  <c r="L309" i="6"/>
  <c r="J197" i="6"/>
  <c r="B197" i="6"/>
  <c r="G197" i="6"/>
  <c r="F197" i="6"/>
  <c r="Q197" i="6"/>
  <c r="D197" i="6"/>
  <c r="H197" i="6" s="1"/>
  <c r="I197" i="6" s="1"/>
  <c r="P197" i="6"/>
  <c r="C197" i="6"/>
  <c r="L197" i="6"/>
  <c r="Q874" i="6"/>
  <c r="P874" i="6"/>
  <c r="D874" i="6"/>
  <c r="H874" i="6" s="1"/>
  <c r="I874" i="6" s="1"/>
  <c r="L874" i="6"/>
  <c r="C874" i="6"/>
  <c r="J874" i="6"/>
  <c r="B874" i="6"/>
  <c r="G874" i="6"/>
  <c r="F874" i="6"/>
  <c r="Q845" i="6"/>
  <c r="L845" i="6"/>
  <c r="C845" i="6"/>
  <c r="J845" i="6"/>
  <c r="B845" i="6"/>
  <c r="D845" i="6"/>
  <c r="H845" i="6" s="1"/>
  <c r="I845" i="6" s="1"/>
  <c r="P845" i="6"/>
  <c r="G845" i="6"/>
  <c r="F845" i="6"/>
  <c r="L604" i="6"/>
  <c r="C604" i="6"/>
  <c r="F604" i="6"/>
  <c r="Q604" i="6"/>
  <c r="D604" i="6"/>
  <c r="H604" i="6" s="1"/>
  <c r="I604" i="6" s="1"/>
  <c r="P604" i="6"/>
  <c r="B604" i="6"/>
  <c r="J604" i="6"/>
  <c r="G604" i="6"/>
  <c r="F1390" i="6"/>
  <c r="Q1390" i="6"/>
  <c r="D1390" i="6"/>
  <c r="H1390" i="6" s="1"/>
  <c r="I1390" i="6" s="1"/>
  <c r="P1390" i="6"/>
  <c r="C1390" i="6"/>
  <c r="L1390" i="6"/>
  <c r="B1390" i="6"/>
  <c r="J1390" i="6"/>
  <c r="G1390" i="6"/>
  <c r="J513" i="6"/>
  <c r="B513" i="6"/>
  <c r="G513" i="6"/>
  <c r="F513" i="6"/>
  <c r="D513" i="6"/>
  <c r="H513" i="6" s="1"/>
  <c r="I513" i="6" s="1"/>
  <c r="Q513" i="6"/>
  <c r="C513" i="6"/>
  <c r="P513" i="6"/>
  <c r="L513" i="6"/>
  <c r="F1301" i="6"/>
  <c r="G1301" i="6"/>
  <c r="Q1301" i="6"/>
  <c r="D1301" i="6"/>
  <c r="H1301" i="6" s="1"/>
  <c r="I1301" i="6" s="1"/>
  <c r="B1301" i="6"/>
  <c r="P1301" i="6"/>
  <c r="L1301" i="6"/>
  <c r="J1301" i="6"/>
  <c r="C1301" i="6"/>
  <c r="J433" i="6"/>
  <c r="B433" i="6"/>
  <c r="Q433" i="6"/>
  <c r="C433" i="6"/>
  <c r="P433" i="6"/>
  <c r="L433" i="6"/>
  <c r="G433" i="6"/>
  <c r="F433" i="6"/>
  <c r="D433" i="6"/>
  <c r="H433" i="6" s="1"/>
  <c r="I433" i="6" s="1"/>
  <c r="G228" i="6"/>
  <c r="Q228" i="6"/>
  <c r="D228" i="6"/>
  <c r="H228" i="6" s="1"/>
  <c r="I228" i="6" s="1"/>
  <c r="C228" i="6"/>
  <c r="P228" i="6"/>
  <c r="B228" i="6"/>
  <c r="L228" i="6"/>
  <c r="J228" i="6"/>
  <c r="F228" i="6"/>
  <c r="G196" i="6"/>
  <c r="L196" i="6"/>
  <c r="B196" i="6"/>
  <c r="J196" i="6"/>
  <c r="F196" i="6"/>
  <c r="Q196" i="6"/>
  <c r="P196" i="6"/>
  <c r="D196" i="6"/>
  <c r="H196" i="6" s="1"/>
  <c r="I196" i="6" s="1"/>
  <c r="C196" i="6"/>
  <c r="L1458" i="6"/>
  <c r="C1458" i="6"/>
  <c r="P1458" i="6"/>
  <c r="B1458" i="6"/>
  <c r="G1458" i="6"/>
  <c r="F1458" i="6"/>
  <c r="D1458" i="6"/>
  <c r="H1458" i="6" s="1"/>
  <c r="I1458" i="6" s="1"/>
  <c r="Q1458" i="6"/>
  <c r="J1458" i="6"/>
  <c r="J941" i="6"/>
  <c r="B941" i="6"/>
  <c r="G941" i="6"/>
  <c r="F941" i="6"/>
  <c r="Q941" i="6"/>
  <c r="D941" i="6"/>
  <c r="H941" i="6" s="1"/>
  <c r="I941" i="6" s="1"/>
  <c r="P941" i="6"/>
  <c r="C941" i="6"/>
  <c r="L941" i="6"/>
  <c r="G911" i="6"/>
  <c r="F911" i="6"/>
  <c r="Q911" i="6"/>
  <c r="D911" i="6"/>
  <c r="H911" i="6" s="1"/>
  <c r="I911" i="6" s="1"/>
  <c r="P911" i="6"/>
  <c r="C911" i="6"/>
  <c r="L911" i="6"/>
  <c r="J911" i="6"/>
  <c r="B911" i="6"/>
  <c r="Q646" i="6"/>
  <c r="D646" i="6"/>
  <c r="H646" i="6" s="1"/>
  <c r="I646" i="6" s="1"/>
  <c r="P646" i="6"/>
  <c r="C646" i="6"/>
  <c r="L646" i="6"/>
  <c r="B646" i="6"/>
  <c r="J646" i="6"/>
  <c r="G646" i="6"/>
  <c r="F646" i="6"/>
  <c r="P411" i="6"/>
  <c r="C411" i="6"/>
  <c r="L411" i="6"/>
  <c r="B411" i="6"/>
  <c r="J411" i="6"/>
  <c r="G411" i="6"/>
  <c r="Q411" i="6"/>
  <c r="F411" i="6"/>
  <c r="D411" i="6"/>
  <c r="H411" i="6" s="1"/>
  <c r="I411" i="6" s="1"/>
  <c r="J141" i="6"/>
  <c r="B141" i="6"/>
  <c r="P141" i="6"/>
  <c r="C141" i="6"/>
  <c r="L141" i="6"/>
  <c r="G141" i="6"/>
  <c r="D141" i="6"/>
  <c r="H141" i="6" s="1"/>
  <c r="I141" i="6" s="1"/>
  <c r="Q141" i="6"/>
  <c r="F141" i="6"/>
  <c r="G87" i="6"/>
  <c r="F87" i="6"/>
  <c r="Q87" i="6"/>
  <c r="D87" i="6"/>
  <c r="H87" i="6" s="1"/>
  <c r="I87" i="6" s="1"/>
  <c r="P87" i="6"/>
  <c r="C87" i="6"/>
  <c r="L87" i="6"/>
  <c r="J87" i="6"/>
  <c r="B87" i="6"/>
  <c r="L1336" i="6"/>
  <c r="C1336" i="6"/>
  <c r="J1336" i="6"/>
  <c r="B1336" i="6"/>
  <c r="G1336" i="6"/>
  <c r="F1336" i="6"/>
  <c r="D1336" i="6"/>
  <c r="H1336" i="6" s="1"/>
  <c r="I1336" i="6" s="1"/>
  <c r="Q1336" i="6"/>
  <c r="P1336" i="6"/>
  <c r="J1037" i="6"/>
  <c r="B1037" i="6"/>
  <c r="F1037" i="6"/>
  <c r="D1037" i="6"/>
  <c r="H1037" i="6" s="1"/>
  <c r="I1037" i="6" s="1"/>
  <c r="Q1037" i="6"/>
  <c r="C1037" i="6"/>
  <c r="P1037" i="6"/>
  <c r="L1037" i="6"/>
  <c r="G1037" i="6"/>
  <c r="L992" i="6"/>
  <c r="C992" i="6"/>
  <c r="Q992" i="6"/>
  <c r="D992" i="6"/>
  <c r="H992" i="6" s="1"/>
  <c r="I992" i="6" s="1"/>
  <c r="P992" i="6"/>
  <c r="B992" i="6"/>
  <c r="J992" i="6"/>
  <c r="G992" i="6"/>
  <c r="F992" i="6"/>
  <c r="G1408" i="6"/>
  <c r="P1408" i="6"/>
  <c r="C1408" i="6"/>
  <c r="D1408" i="6"/>
  <c r="H1408" i="6" s="1"/>
  <c r="I1408" i="6" s="1"/>
  <c r="Q1408" i="6"/>
  <c r="B1408" i="6"/>
  <c r="L1408" i="6"/>
  <c r="J1408" i="6"/>
  <c r="F1408" i="6"/>
  <c r="P338" i="6"/>
  <c r="C338" i="6"/>
  <c r="L338" i="6"/>
  <c r="B338" i="6"/>
  <c r="J338" i="6"/>
  <c r="G338" i="6"/>
  <c r="Q338" i="6"/>
  <c r="F338" i="6"/>
  <c r="D338" i="6"/>
  <c r="H338" i="6" s="1"/>
  <c r="I338" i="6" s="1"/>
  <c r="L1628" i="6"/>
  <c r="C1628" i="6"/>
  <c r="J1628" i="6"/>
  <c r="B1628" i="6"/>
  <c r="D1628" i="6"/>
  <c r="H1628" i="6" s="1"/>
  <c r="I1628" i="6" s="1"/>
  <c r="Q1628" i="6"/>
  <c r="F1628" i="6"/>
  <c r="P1628" i="6"/>
  <c r="G1628" i="6"/>
  <c r="F1421" i="6"/>
  <c r="G1421" i="6"/>
  <c r="Q1421" i="6"/>
  <c r="D1421" i="6"/>
  <c r="H1421" i="6" s="1"/>
  <c r="I1421" i="6" s="1"/>
  <c r="P1421" i="6"/>
  <c r="C1421" i="6"/>
  <c r="L1421" i="6"/>
  <c r="J1421" i="6"/>
  <c r="B1421" i="6"/>
  <c r="G1354" i="6"/>
  <c r="F1354" i="6"/>
  <c r="Q1354" i="6"/>
  <c r="B1354" i="6"/>
  <c r="P1354" i="6"/>
  <c r="C1354" i="6"/>
  <c r="L1354" i="6"/>
  <c r="J1354" i="6"/>
  <c r="D1354" i="6"/>
  <c r="H1354" i="6" s="1"/>
  <c r="I1354" i="6" s="1"/>
  <c r="J1215" i="6"/>
  <c r="B1215" i="6"/>
  <c r="Q1215" i="6"/>
  <c r="P1215" i="6"/>
  <c r="L1215" i="6"/>
  <c r="G1215" i="6"/>
  <c r="F1215" i="6"/>
  <c r="D1215" i="6"/>
  <c r="H1215" i="6" s="1"/>
  <c r="I1215" i="6" s="1"/>
  <c r="C1215" i="6"/>
  <c r="P1011" i="6"/>
  <c r="D1011" i="6"/>
  <c r="H1011" i="6" s="1"/>
  <c r="I1011" i="6" s="1"/>
  <c r="L1011" i="6"/>
  <c r="B1011" i="6"/>
  <c r="G1011" i="6"/>
  <c r="F1011" i="6"/>
  <c r="C1011" i="6"/>
  <c r="Q1011" i="6"/>
  <c r="J1011" i="6"/>
  <c r="P1597" i="6"/>
  <c r="C1597" i="6"/>
  <c r="L1597" i="6"/>
  <c r="B1597" i="6"/>
  <c r="J1597" i="6"/>
  <c r="G1597" i="6"/>
  <c r="F1597" i="6"/>
  <c r="D1597" i="6"/>
  <c r="H1597" i="6" s="1"/>
  <c r="I1597" i="6" s="1"/>
  <c r="Q1597" i="6"/>
  <c r="J970" i="6"/>
  <c r="G970" i="6"/>
  <c r="F970" i="6"/>
  <c r="C970" i="6"/>
  <c r="B970" i="6"/>
  <c r="Q970" i="6"/>
  <c r="P970" i="6"/>
  <c r="L970" i="6"/>
  <c r="D970" i="6"/>
  <c r="H970" i="6" s="1"/>
  <c r="I970" i="6" s="1"/>
  <c r="G759" i="6"/>
  <c r="F759" i="6"/>
  <c r="Q759" i="6"/>
  <c r="D759" i="6"/>
  <c r="H759" i="6" s="1"/>
  <c r="I759" i="6" s="1"/>
  <c r="B759" i="6"/>
  <c r="P759" i="6"/>
  <c r="L759" i="6"/>
  <c r="J759" i="6"/>
  <c r="C759" i="6"/>
  <c r="F625" i="6"/>
  <c r="J625" i="6"/>
  <c r="L625" i="6"/>
  <c r="G625" i="6"/>
  <c r="B625" i="6"/>
  <c r="Q625" i="6"/>
  <c r="P625" i="6"/>
  <c r="D625" i="6"/>
  <c r="H625" i="6" s="1"/>
  <c r="I625" i="6" s="1"/>
  <c r="C625" i="6"/>
  <c r="L564" i="6"/>
  <c r="C564" i="6"/>
  <c r="J564" i="6"/>
  <c r="G564" i="6"/>
  <c r="F564" i="6"/>
  <c r="B564" i="6"/>
  <c r="Q564" i="6"/>
  <c r="P564" i="6"/>
  <c r="D564" i="6"/>
  <c r="H564" i="6" s="1"/>
  <c r="I564" i="6" s="1"/>
  <c r="P414" i="6"/>
  <c r="C414" i="6"/>
  <c r="D414" i="6"/>
  <c r="H414" i="6" s="1"/>
  <c r="I414" i="6" s="1"/>
  <c r="Q414" i="6"/>
  <c r="B414" i="6"/>
  <c r="L414" i="6"/>
  <c r="J414" i="6"/>
  <c r="G414" i="6"/>
  <c r="F414" i="6"/>
  <c r="G1685" i="6"/>
  <c r="P1685" i="6"/>
  <c r="D1685" i="6"/>
  <c r="H1685" i="6" s="1"/>
  <c r="I1685" i="6" s="1"/>
  <c r="Q1685" i="6"/>
  <c r="J1685" i="6"/>
  <c r="F1685" i="6"/>
  <c r="C1685" i="6"/>
  <c r="B1685" i="6"/>
  <c r="L1685" i="6"/>
  <c r="P1255" i="6"/>
  <c r="D1255" i="6"/>
  <c r="H1255" i="6" s="1"/>
  <c r="I1255" i="6" s="1"/>
  <c r="F1255" i="6"/>
  <c r="C1255" i="6"/>
  <c r="B1255" i="6"/>
  <c r="Q1255" i="6"/>
  <c r="J1255" i="6"/>
  <c r="L1255" i="6"/>
  <c r="G1255" i="6"/>
  <c r="Q190" i="6"/>
  <c r="G190" i="6"/>
  <c r="F190" i="6"/>
  <c r="P190" i="6"/>
  <c r="D190" i="6"/>
  <c r="H190" i="6" s="1"/>
  <c r="I190" i="6" s="1"/>
  <c r="L190" i="6"/>
  <c r="C190" i="6"/>
  <c r="B190" i="6"/>
  <c r="J190" i="6"/>
  <c r="G119" i="6"/>
  <c r="F119" i="6"/>
  <c r="Q119" i="6"/>
  <c r="D119" i="6"/>
  <c r="H119" i="6" s="1"/>
  <c r="I119" i="6" s="1"/>
  <c r="P119" i="6"/>
  <c r="C119" i="6"/>
  <c r="J119" i="6"/>
  <c r="B119" i="6"/>
  <c r="L119" i="6"/>
  <c r="J1321" i="6"/>
  <c r="B1321" i="6"/>
  <c r="G1321" i="6"/>
  <c r="D1321" i="6"/>
  <c r="H1321" i="6" s="1"/>
  <c r="I1321" i="6" s="1"/>
  <c r="C1321" i="6"/>
  <c r="Q1321" i="6"/>
  <c r="P1321" i="6"/>
  <c r="L1321" i="6"/>
  <c r="F1321" i="6"/>
  <c r="G1209" i="6"/>
  <c r="F1209" i="6"/>
  <c r="D1209" i="6"/>
  <c r="H1209" i="6" s="1"/>
  <c r="I1209" i="6" s="1"/>
  <c r="C1209" i="6"/>
  <c r="Q1209" i="6"/>
  <c r="B1209" i="6"/>
  <c r="P1209" i="6"/>
  <c r="L1209" i="6"/>
  <c r="J1209" i="6"/>
  <c r="J933" i="6"/>
  <c r="B933" i="6"/>
  <c r="P933" i="6"/>
  <c r="C933" i="6"/>
  <c r="L933" i="6"/>
  <c r="G933" i="6"/>
  <c r="Q933" i="6"/>
  <c r="F933" i="6"/>
  <c r="D933" i="6"/>
  <c r="H933" i="6" s="1"/>
  <c r="I933" i="6" s="1"/>
  <c r="Q798" i="6"/>
  <c r="G798" i="6"/>
  <c r="F798" i="6"/>
  <c r="P798" i="6"/>
  <c r="D798" i="6"/>
  <c r="H798" i="6" s="1"/>
  <c r="I798" i="6" s="1"/>
  <c r="L798" i="6"/>
  <c r="J798" i="6"/>
  <c r="C798" i="6"/>
  <c r="B798" i="6"/>
  <c r="L728" i="6"/>
  <c r="C728" i="6"/>
  <c r="Q728" i="6"/>
  <c r="D728" i="6"/>
  <c r="H728" i="6" s="1"/>
  <c r="I728" i="6" s="1"/>
  <c r="P728" i="6"/>
  <c r="B728" i="6"/>
  <c r="J728" i="6"/>
  <c r="G728" i="6"/>
  <c r="F728" i="6"/>
  <c r="G600" i="6"/>
  <c r="Q600" i="6"/>
  <c r="D600" i="6"/>
  <c r="H600" i="6" s="1"/>
  <c r="I600" i="6" s="1"/>
  <c r="P600" i="6"/>
  <c r="C600" i="6"/>
  <c r="L600" i="6"/>
  <c r="B600" i="6"/>
  <c r="J600" i="6"/>
  <c r="F600" i="6"/>
  <c r="L452" i="6"/>
  <c r="C452" i="6"/>
  <c r="F452" i="6"/>
  <c r="G452" i="6"/>
  <c r="D452" i="6"/>
  <c r="H452" i="6" s="1"/>
  <c r="I452" i="6" s="1"/>
  <c r="Q452" i="6"/>
  <c r="B452" i="6"/>
  <c r="J452" i="6"/>
  <c r="P452" i="6"/>
  <c r="G388" i="6"/>
  <c r="Q388" i="6"/>
  <c r="D388" i="6"/>
  <c r="H388" i="6" s="1"/>
  <c r="I388" i="6" s="1"/>
  <c r="P388" i="6"/>
  <c r="C388" i="6"/>
  <c r="L388" i="6"/>
  <c r="B388" i="6"/>
  <c r="J388" i="6"/>
  <c r="F388" i="6"/>
  <c r="J247" i="6"/>
  <c r="G247" i="6"/>
  <c r="F247" i="6"/>
  <c r="D247" i="6"/>
  <c r="H247" i="6" s="1"/>
  <c r="I247" i="6" s="1"/>
  <c r="C247" i="6"/>
  <c r="B247" i="6"/>
  <c r="Q247" i="6"/>
  <c r="P247" i="6"/>
  <c r="L247" i="6"/>
  <c r="B48" i="6"/>
  <c r="G48" i="6"/>
  <c r="F48" i="6"/>
  <c r="Q48" i="6"/>
  <c r="P48" i="6"/>
  <c r="C48" i="6"/>
  <c r="Q1120" i="6"/>
  <c r="P1120" i="6"/>
  <c r="D1120" i="6"/>
  <c r="H1120" i="6" s="1"/>
  <c r="I1120" i="6" s="1"/>
  <c r="L1120" i="6"/>
  <c r="C1120" i="6"/>
  <c r="J1120" i="6"/>
  <c r="G1120" i="6"/>
  <c r="F1120" i="6"/>
  <c r="B1120" i="6"/>
  <c r="F1107" i="6"/>
  <c r="Q1107" i="6"/>
  <c r="P1107" i="6"/>
  <c r="D1107" i="6"/>
  <c r="H1107" i="6" s="1"/>
  <c r="I1107" i="6" s="1"/>
  <c r="G1107" i="6"/>
  <c r="C1107" i="6"/>
  <c r="B1107" i="6"/>
  <c r="J1107" i="6"/>
  <c r="L1107" i="6"/>
  <c r="Q1066" i="6"/>
  <c r="D1066" i="6"/>
  <c r="H1066" i="6" s="1"/>
  <c r="I1066" i="6" s="1"/>
  <c r="P1066" i="6"/>
  <c r="C1066" i="6"/>
  <c r="L1066" i="6"/>
  <c r="B1066" i="6"/>
  <c r="G1066" i="6"/>
  <c r="F1066" i="6"/>
  <c r="J1066" i="6"/>
  <c r="J373" i="6"/>
  <c r="B373" i="6"/>
  <c r="G373" i="6"/>
  <c r="F373" i="6"/>
  <c r="D373" i="6"/>
  <c r="H373" i="6" s="1"/>
  <c r="I373" i="6" s="1"/>
  <c r="C373" i="6"/>
  <c r="Q373" i="6"/>
  <c r="P373" i="6"/>
  <c r="L373" i="6"/>
  <c r="G69" i="6"/>
  <c r="F69" i="6"/>
  <c r="Q69" i="6"/>
  <c r="C69" i="6"/>
  <c r="B69" i="6"/>
  <c r="P69" i="6"/>
  <c r="L264" i="6"/>
  <c r="C264" i="6"/>
  <c r="F264" i="6"/>
  <c r="P264" i="6"/>
  <c r="J264" i="6"/>
  <c r="G264" i="6"/>
  <c r="Q264" i="6"/>
  <c r="D264" i="6"/>
  <c r="H264" i="6" s="1"/>
  <c r="I264" i="6" s="1"/>
  <c r="B264" i="6"/>
  <c r="J157" i="6"/>
  <c r="B157" i="6"/>
  <c r="P157" i="6"/>
  <c r="C157" i="6"/>
  <c r="L157" i="6"/>
  <c r="G157" i="6"/>
  <c r="F157" i="6"/>
  <c r="D157" i="6"/>
  <c r="H157" i="6" s="1"/>
  <c r="I157" i="6" s="1"/>
  <c r="Q157" i="6"/>
  <c r="G7" i="6"/>
  <c r="F7" i="6"/>
  <c r="Q7" i="6"/>
  <c r="P7" i="6"/>
  <c r="C7" i="6"/>
  <c r="B7" i="6"/>
  <c r="G21" i="6"/>
  <c r="F21" i="6"/>
  <c r="Q21" i="6"/>
  <c r="C21" i="6"/>
  <c r="B21" i="6"/>
  <c r="P21" i="6"/>
  <c r="L744" i="6"/>
  <c r="C744" i="6"/>
  <c r="Q744" i="6"/>
  <c r="D744" i="6"/>
  <c r="H744" i="6" s="1"/>
  <c r="I744" i="6" s="1"/>
  <c r="P744" i="6"/>
  <c r="B744" i="6"/>
  <c r="J744" i="6"/>
  <c r="F744" i="6"/>
  <c r="G744" i="6"/>
  <c r="Q302" i="6"/>
  <c r="G302" i="6"/>
  <c r="F302" i="6"/>
  <c r="J302" i="6"/>
  <c r="D302" i="6"/>
  <c r="H302" i="6" s="1"/>
  <c r="I302" i="6" s="1"/>
  <c r="C302" i="6"/>
  <c r="B302" i="6"/>
  <c r="P302" i="6"/>
  <c r="L302" i="6"/>
  <c r="L1522" i="6"/>
  <c r="C1522" i="6"/>
  <c r="F1522" i="6"/>
  <c r="Q1522" i="6"/>
  <c r="D1522" i="6"/>
  <c r="H1522" i="6" s="1"/>
  <c r="I1522" i="6" s="1"/>
  <c r="P1522" i="6"/>
  <c r="B1522" i="6"/>
  <c r="J1522" i="6"/>
  <c r="G1522" i="6"/>
  <c r="G878" i="6"/>
  <c r="F878" i="6"/>
  <c r="Q878" i="6"/>
  <c r="C878" i="6"/>
  <c r="B878" i="6"/>
  <c r="P878" i="6"/>
  <c r="L878" i="6"/>
  <c r="D878" i="6"/>
  <c r="H878" i="6" s="1"/>
  <c r="I878" i="6" s="1"/>
  <c r="J878" i="6"/>
  <c r="J569" i="6"/>
  <c r="B569" i="6"/>
  <c r="G569" i="6"/>
  <c r="F569" i="6"/>
  <c r="C569" i="6"/>
  <c r="Q569" i="6"/>
  <c r="P569" i="6"/>
  <c r="D569" i="6"/>
  <c r="H569" i="6" s="1"/>
  <c r="I569" i="6" s="1"/>
  <c r="L569" i="6"/>
  <c r="J467" i="6"/>
  <c r="D467" i="6"/>
  <c r="H467" i="6" s="1"/>
  <c r="I467" i="6" s="1"/>
  <c r="Q467" i="6"/>
  <c r="C467" i="6"/>
  <c r="P467" i="6"/>
  <c r="B467" i="6"/>
  <c r="L467" i="6"/>
  <c r="F467" i="6"/>
  <c r="G467" i="6"/>
  <c r="Q982" i="6"/>
  <c r="G982" i="6"/>
  <c r="F982" i="6"/>
  <c r="P982" i="6"/>
  <c r="D982" i="6"/>
  <c r="H982" i="6" s="1"/>
  <c r="I982" i="6" s="1"/>
  <c r="L982" i="6"/>
  <c r="C982" i="6"/>
  <c r="J982" i="6"/>
  <c r="B982" i="6"/>
  <c r="P159" i="6"/>
  <c r="C159" i="6"/>
  <c r="L159" i="6"/>
  <c r="B159" i="6"/>
  <c r="J159" i="6"/>
  <c r="G159" i="6"/>
  <c r="D159" i="6"/>
  <c r="H159" i="6" s="1"/>
  <c r="I159" i="6" s="1"/>
  <c r="Q159" i="6"/>
  <c r="F159" i="6"/>
  <c r="F1277" i="6"/>
  <c r="L1277" i="6"/>
  <c r="B1277" i="6"/>
  <c r="P1277" i="6"/>
  <c r="J1277" i="6"/>
  <c r="Q1277" i="6"/>
  <c r="G1277" i="6"/>
  <c r="D1277" i="6"/>
  <c r="H1277" i="6" s="1"/>
  <c r="I1277" i="6" s="1"/>
  <c r="C1277" i="6"/>
  <c r="L240" i="6"/>
  <c r="C240" i="6"/>
  <c r="J240" i="6"/>
  <c r="G240" i="6"/>
  <c r="F240" i="6"/>
  <c r="D240" i="6"/>
  <c r="H240" i="6" s="1"/>
  <c r="I240" i="6" s="1"/>
  <c r="B240" i="6"/>
  <c r="Q240" i="6"/>
  <c r="P240" i="6"/>
  <c r="G1574" i="6"/>
  <c r="F1574" i="6"/>
  <c r="Q1574" i="6"/>
  <c r="D1574" i="6"/>
  <c r="H1574" i="6" s="1"/>
  <c r="I1574" i="6" s="1"/>
  <c r="L1574" i="6"/>
  <c r="J1574" i="6"/>
  <c r="C1574" i="6"/>
  <c r="P1574" i="6"/>
  <c r="B1574" i="6"/>
  <c r="J205" i="6"/>
  <c r="B205" i="6"/>
  <c r="P205" i="6"/>
  <c r="C205" i="6"/>
  <c r="L205" i="6"/>
  <c r="G205" i="6"/>
  <c r="D205" i="6"/>
  <c r="H205" i="6" s="1"/>
  <c r="I205" i="6" s="1"/>
  <c r="Q205" i="6"/>
  <c r="F205" i="6"/>
  <c r="Q1504" i="6"/>
  <c r="J1504" i="6"/>
  <c r="B1504" i="6"/>
  <c r="G1504" i="6"/>
  <c r="L1504" i="6"/>
  <c r="F1504" i="6"/>
  <c r="D1504" i="6"/>
  <c r="H1504" i="6" s="1"/>
  <c r="I1504" i="6" s="1"/>
  <c r="C1504" i="6"/>
  <c r="P1504" i="6"/>
  <c r="G1518" i="6"/>
  <c r="Q1518" i="6"/>
  <c r="D1518" i="6"/>
  <c r="H1518" i="6" s="1"/>
  <c r="I1518" i="6" s="1"/>
  <c r="P1518" i="6"/>
  <c r="C1518" i="6"/>
  <c r="L1518" i="6"/>
  <c r="B1518" i="6"/>
  <c r="J1518" i="6"/>
  <c r="F1518" i="6"/>
  <c r="G1462" i="6"/>
  <c r="F1462" i="6"/>
  <c r="Q1462" i="6"/>
  <c r="D1462" i="6"/>
  <c r="H1462" i="6" s="1"/>
  <c r="I1462" i="6" s="1"/>
  <c r="P1462" i="6"/>
  <c r="C1462" i="6"/>
  <c r="J1462" i="6"/>
  <c r="B1462" i="6"/>
  <c r="L1462" i="6"/>
  <c r="Q398" i="6"/>
  <c r="G398" i="6"/>
  <c r="F398" i="6"/>
  <c r="J398" i="6"/>
  <c r="D398" i="6"/>
  <c r="H398" i="6" s="1"/>
  <c r="I398" i="6" s="1"/>
  <c r="C398" i="6"/>
  <c r="B398" i="6"/>
  <c r="P398" i="6"/>
  <c r="L398" i="6"/>
  <c r="P131" i="6"/>
  <c r="D131" i="6"/>
  <c r="H131" i="6" s="1"/>
  <c r="I131" i="6" s="1"/>
  <c r="F131" i="6"/>
  <c r="Q131" i="6"/>
  <c r="C131" i="6"/>
  <c r="L131" i="6"/>
  <c r="B131" i="6"/>
  <c r="J131" i="6"/>
  <c r="G131" i="6"/>
  <c r="G85" i="6"/>
  <c r="F85" i="6"/>
  <c r="Q85" i="6"/>
  <c r="D85" i="6"/>
  <c r="H85" i="6" s="1"/>
  <c r="I85" i="6" s="1"/>
  <c r="C85" i="6"/>
  <c r="B85" i="6"/>
  <c r="P85" i="6"/>
  <c r="L85" i="6"/>
  <c r="J85" i="6"/>
  <c r="G1007" i="6"/>
  <c r="F1007" i="6"/>
  <c r="D1007" i="6"/>
  <c r="H1007" i="6" s="1"/>
  <c r="I1007" i="6" s="1"/>
  <c r="Q1007" i="6"/>
  <c r="C1007" i="6"/>
  <c r="L1007" i="6"/>
  <c r="J1007" i="6"/>
  <c r="B1007" i="6"/>
  <c r="P1007" i="6"/>
  <c r="F337" i="6"/>
  <c r="G337" i="6"/>
  <c r="Q337" i="6"/>
  <c r="D337" i="6"/>
  <c r="H337" i="6" s="1"/>
  <c r="I337" i="6" s="1"/>
  <c r="P337" i="6"/>
  <c r="C337" i="6"/>
  <c r="L337" i="6"/>
  <c r="B337" i="6"/>
  <c r="J337" i="6"/>
  <c r="J93" i="6"/>
  <c r="B93" i="6"/>
  <c r="P93" i="6"/>
  <c r="C93" i="6"/>
  <c r="L93" i="6"/>
  <c r="G93" i="6"/>
  <c r="F93" i="6"/>
  <c r="D93" i="6"/>
  <c r="H93" i="6" s="1"/>
  <c r="I93" i="6" s="1"/>
  <c r="Q93" i="6"/>
  <c r="G711" i="6"/>
  <c r="Q711" i="6"/>
  <c r="D711" i="6"/>
  <c r="H711" i="6" s="1"/>
  <c r="I711" i="6" s="1"/>
  <c r="B711" i="6"/>
  <c r="P711" i="6"/>
  <c r="L711" i="6"/>
  <c r="J711" i="6"/>
  <c r="F711" i="6"/>
  <c r="C711" i="6"/>
  <c r="Q1243" i="6"/>
  <c r="D1243" i="6"/>
  <c r="H1243" i="6" s="1"/>
  <c r="I1243" i="6" s="1"/>
  <c r="P1243" i="6"/>
  <c r="C1243" i="6"/>
  <c r="J1243" i="6"/>
  <c r="G1243" i="6"/>
  <c r="F1243" i="6"/>
  <c r="L1243" i="6"/>
  <c r="B1243" i="6"/>
  <c r="G1661" i="6"/>
  <c r="P1661" i="6"/>
  <c r="D1661" i="6"/>
  <c r="H1661" i="6" s="1"/>
  <c r="I1661" i="6" s="1"/>
  <c r="J1661" i="6"/>
  <c r="L1661" i="6"/>
  <c r="F1661" i="6"/>
  <c r="B1661" i="6"/>
  <c r="C1661" i="6"/>
  <c r="Q1661" i="6"/>
  <c r="F549" i="6"/>
  <c r="G549" i="6"/>
  <c r="Q549" i="6"/>
  <c r="D549" i="6"/>
  <c r="H549" i="6" s="1"/>
  <c r="I549" i="6" s="1"/>
  <c r="P549" i="6"/>
  <c r="C549" i="6"/>
  <c r="L549" i="6"/>
  <c r="B549" i="6"/>
  <c r="J549" i="6"/>
  <c r="P543" i="6"/>
  <c r="D543" i="6"/>
  <c r="H543" i="6" s="1"/>
  <c r="I543" i="6" s="1"/>
  <c r="Q543" i="6"/>
  <c r="C543" i="6"/>
  <c r="L543" i="6"/>
  <c r="B543" i="6"/>
  <c r="J543" i="6"/>
  <c r="F543" i="6"/>
  <c r="G543" i="6"/>
  <c r="G284" i="6"/>
  <c r="F284" i="6"/>
  <c r="Q284" i="6"/>
  <c r="D284" i="6"/>
  <c r="H284" i="6" s="1"/>
  <c r="I284" i="6" s="1"/>
  <c r="P284" i="6"/>
  <c r="L284" i="6"/>
  <c r="J284" i="6"/>
  <c r="C284" i="6"/>
  <c r="B284" i="6"/>
  <c r="L280" i="6"/>
  <c r="C280" i="6"/>
  <c r="F280" i="6"/>
  <c r="J280" i="6"/>
  <c r="D280" i="6"/>
  <c r="H280" i="6" s="1"/>
  <c r="I280" i="6" s="1"/>
  <c r="B280" i="6"/>
  <c r="Q280" i="6"/>
  <c r="P280" i="6"/>
  <c r="G280" i="6"/>
  <c r="J279" i="6"/>
  <c r="D279" i="6"/>
  <c r="H279" i="6" s="1"/>
  <c r="I279" i="6" s="1"/>
  <c r="C279" i="6"/>
  <c r="Q279" i="6"/>
  <c r="B279" i="6"/>
  <c r="P279" i="6"/>
  <c r="L279" i="6"/>
  <c r="G279" i="6"/>
  <c r="F279" i="6"/>
  <c r="L1699" i="6"/>
  <c r="C1699" i="6"/>
  <c r="F1699" i="6"/>
  <c r="Q1699" i="6"/>
  <c r="P1699" i="6"/>
  <c r="J1699" i="6"/>
  <c r="G1699" i="6"/>
  <c r="D1699" i="6"/>
  <c r="H1699" i="6" s="1"/>
  <c r="I1699" i="6" s="1"/>
  <c r="B1699" i="6"/>
  <c r="G1553" i="6"/>
  <c r="F1553" i="6"/>
  <c r="C1553" i="6"/>
  <c r="B1553" i="6"/>
  <c r="Q1553" i="6"/>
  <c r="P1553" i="6"/>
  <c r="L1553" i="6"/>
  <c r="J1553" i="6"/>
  <c r="D1553" i="6"/>
  <c r="H1553" i="6" s="1"/>
  <c r="I1553" i="6" s="1"/>
  <c r="Q1488" i="6"/>
  <c r="J1488" i="6"/>
  <c r="B1488" i="6"/>
  <c r="G1488" i="6"/>
  <c r="C1488" i="6"/>
  <c r="P1488" i="6"/>
  <c r="L1488" i="6"/>
  <c r="F1488" i="6"/>
  <c r="D1488" i="6"/>
  <c r="H1488" i="6" s="1"/>
  <c r="I1488" i="6" s="1"/>
  <c r="P1355" i="6"/>
  <c r="D1355" i="6"/>
  <c r="H1355" i="6" s="1"/>
  <c r="I1355" i="6" s="1"/>
  <c r="L1355" i="6"/>
  <c r="C1355" i="6"/>
  <c r="J1355" i="6"/>
  <c r="B1355" i="6"/>
  <c r="F1355" i="6"/>
  <c r="Q1355" i="6"/>
  <c r="G1355" i="6"/>
  <c r="G1225" i="6"/>
  <c r="F1225" i="6"/>
  <c r="D1225" i="6"/>
  <c r="H1225" i="6" s="1"/>
  <c r="I1225" i="6" s="1"/>
  <c r="C1225" i="6"/>
  <c r="Q1225" i="6"/>
  <c r="B1225" i="6"/>
  <c r="P1225" i="6"/>
  <c r="L1225" i="6"/>
  <c r="J1225" i="6"/>
  <c r="G1084" i="6"/>
  <c r="F1084" i="6"/>
  <c r="Q1084" i="6"/>
  <c r="P1084" i="6"/>
  <c r="D1084" i="6"/>
  <c r="H1084" i="6" s="1"/>
  <c r="I1084" i="6" s="1"/>
  <c r="L1084" i="6"/>
  <c r="C1084" i="6"/>
  <c r="B1084" i="6"/>
  <c r="J1084" i="6"/>
  <c r="Q110" i="6"/>
  <c r="G110" i="6"/>
  <c r="F110" i="6"/>
  <c r="P110" i="6"/>
  <c r="D110" i="6"/>
  <c r="H110" i="6" s="1"/>
  <c r="I110" i="6" s="1"/>
  <c r="L110" i="6"/>
  <c r="C110" i="6"/>
  <c r="J110" i="6"/>
  <c r="B110" i="6"/>
  <c r="F1475" i="6"/>
  <c r="G1475" i="6"/>
  <c r="Q1475" i="6"/>
  <c r="D1475" i="6"/>
  <c r="H1475" i="6" s="1"/>
  <c r="I1475" i="6" s="1"/>
  <c r="C1475" i="6"/>
  <c r="B1475" i="6"/>
  <c r="P1475" i="6"/>
  <c r="L1475" i="6"/>
  <c r="J1475" i="6"/>
  <c r="L1170" i="6"/>
  <c r="C1170" i="6"/>
  <c r="J1170" i="6"/>
  <c r="B1170" i="6"/>
  <c r="P1170" i="6"/>
  <c r="G1170" i="6"/>
  <c r="F1170" i="6"/>
  <c r="Q1170" i="6"/>
  <c r="D1170" i="6"/>
  <c r="H1170" i="6" s="1"/>
  <c r="I1170" i="6" s="1"/>
  <c r="L960" i="6"/>
  <c r="C960" i="6"/>
  <c r="Q960" i="6"/>
  <c r="D960" i="6"/>
  <c r="H960" i="6" s="1"/>
  <c r="I960" i="6" s="1"/>
  <c r="P960" i="6"/>
  <c r="B960" i="6"/>
  <c r="J960" i="6"/>
  <c r="G960" i="6"/>
  <c r="F960" i="6"/>
  <c r="F833" i="6"/>
  <c r="Q833" i="6"/>
  <c r="D833" i="6"/>
  <c r="H833" i="6" s="1"/>
  <c r="I833" i="6" s="1"/>
  <c r="P833" i="6"/>
  <c r="C833" i="6"/>
  <c r="L833" i="6"/>
  <c r="B833" i="6"/>
  <c r="J833" i="6"/>
  <c r="G833" i="6"/>
  <c r="Q686" i="6"/>
  <c r="P686" i="6"/>
  <c r="D686" i="6"/>
  <c r="H686" i="6" s="1"/>
  <c r="I686" i="6" s="1"/>
  <c r="C686" i="6"/>
  <c r="L686" i="6"/>
  <c r="B686" i="6"/>
  <c r="J686" i="6"/>
  <c r="F686" i="6"/>
  <c r="G686" i="6"/>
  <c r="L618" i="6"/>
  <c r="B618" i="6"/>
  <c r="J618" i="6"/>
  <c r="G618" i="6"/>
  <c r="F618" i="6"/>
  <c r="Q618" i="6"/>
  <c r="P618" i="6"/>
  <c r="D618" i="6"/>
  <c r="H618" i="6" s="1"/>
  <c r="I618" i="6" s="1"/>
  <c r="C618" i="6"/>
  <c r="G486" i="6"/>
  <c r="Q486" i="6"/>
  <c r="C486" i="6"/>
  <c r="P486" i="6"/>
  <c r="B486" i="6"/>
  <c r="L486" i="6"/>
  <c r="J486" i="6"/>
  <c r="D486" i="6"/>
  <c r="H486" i="6" s="1"/>
  <c r="I486" i="6" s="1"/>
  <c r="F486" i="6"/>
  <c r="F1674" i="6"/>
  <c r="L1674" i="6"/>
  <c r="C1674" i="6"/>
  <c r="P1674" i="6"/>
  <c r="G1674" i="6"/>
  <c r="Q1674" i="6"/>
  <c r="J1674" i="6"/>
  <c r="B1674" i="6"/>
  <c r="D1674" i="6"/>
  <c r="H1674" i="6" s="1"/>
  <c r="I1674" i="6" s="1"/>
  <c r="G1248" i="6"/>
  <c r="F1248" i="6"/>
  <c r="D1248" i="6"/>
  <c r="H1248" i="6" s="1"/>
  <c r="I1248" i="6" s="1"/>
  <c r="P1248" i="6"/>
  <c r="B1248" i="6"/>
  <c r="L1248" i="6"/>
  <c r="J1248" i="6"/>
  <c r="C1248" i="6"/>
  <c r="Q1248" i="6"/>
  <c r="L1138" i="6"/>
  <c r="C1138" i="6"/>
  <c r="J1138" i="6"/>
  <c r="B1138" i="6"/>
  <c r="P1138" i="6"/>
  <c r="G1138" i="6"/>
  <c r="F1138" i="6"/>
  <c r="Q1138" i="6"/>
  <c r="D1138" i="6"/>
  <c r="H1138" i="6" s="1"/>
  <c r="I1138" i="6" s="1"/>
  <c r="L1434" i="6"/>
  <c r="C1434" i="6"/>
  <c r="G1434" i="6"/>
  <c r="B1434" i="6"/>
  <c r="Q1434" i="6"/>
  <c r="P1434" i="6"/>
  <c r="J1434" i="6"/>
  <c r="F1434" i="6"/>
  <c r="D1434" i="6"/>
  <c r="H1434" i="6" s="1"/>
  <c r="I1434" i="6" s="1"/>
  <c r="G1204" i="6"/>
  <c r="J1204" i="6"/>
  <c r="F1204" i="6"/>
  <c r="D1204" i="6"/>
  <c r="H1204" i="6" s="1"/>
  <c r="I1204" i="6" s="1"/>
  <c r="C1204" i="6"/>
  <c r="Q1204" i="6"/>
  <c r="P1204" i="6"/>
  <c r="L1204" i="6"/>
  <c r="B1204" i="6"/>
  <c r="G940" i="6"/>
  <c r="L940" i="6"/>
  <c r="B940" i="6"/>
  <c r="J940" i="6"/>
  <c r="F940" i="6"/>
  <c r="D940" i="6"/>
  <c r="H940" i="6" s="1"/>
  <c r="I940" i="6" s="1"/>
  <c r="C940" i="6"/>
  <c r="Q940" i="6"/>
  <c r="P940" i="6"/>
  <c r="F801" i="6"/>
  <c r="Q801" i="6"/>
  <c r="D801" i="6"/>
  <c r="H801" i="6" s="1"/>
  <c r="I801" i="6" s="1"/>
  <c r="P801" i="6"/>
  <c r="C801" i="6"/>
  <c r="L801" i="6"/>
  <c r="B801" i="6"/>
  <c r="J801" i="6"/>
  <c r="G801" i="6"/>
  <c r="Q735" i="6"/>
  <c r="D735" i="6"/>
  <c r="H735" i="6" s="1"/>
  <c r="I735" i="6" s="1"/>
  <c r="P735" i="6"/>
  <c r="C735" i="6"/>
  <c r="L735" i="6"/>
  <c r="B735" i="6"/>
  <c r="J735" i="6"/>
  <c r="G735" i="6"/>
  <c r="F735" i="6"/>
  <c r="F657" i="6"/>
  <c r="J657" i="6"/>
  <c r="Q657" i="6"/>
  <c r="C657" i="6"/>
  <c r="P657" i="6"/>
  <c r="B657" i="6"/>
  <c r="L657" i="6"/>
  <c r="D657" i="6"/>
  <c r="H657" i="6" s="1"/>
  <c r="I657" i="6" s="1"/>
  <c r="G657" i="6"/>
  <c r="F525" i="6"/>
  <c r="G525" i="6"/>
  <c r="P525" i="6"/>
  <c r="B525" i="6"/>
  <c r="L525" i="6"/>
  <c r="J525" i="6"/>
  <c r="D525" i="6"/>
  <c r="H525" i="6" s="1"/>
  <c r="I525" i="6" s="1"/>
  <c r="C525" i="6"/>
  <c r="Q525" i="6"/>
  <c r="G456" i="6"/>
  <c r="F456" i="6"/>
  <c r="D456" i="6"/>
  <c r="H456" i="6" s="1"/>
  <c r="I456" i="6" s="1"/>
  <c r="Q456" i="6"/>
  <c r="C456" i="6"/>
  <c r="J456" i="6"/>
  <c r="B456" i="6"/>
  <c r="L456" i="6"/>
  <c r="P456" i="6"/>
  <c r="P323" i="6"/>
  <c r="D323" i="6"/>
  <c r="H323" i="6" s="1"/>
  <c r="I323" i="6" s="1"/>
  <c r="G323" i="6"/>
  <c r="F323" i="6"/>
  <c r="Q323" i="6"/>
  <c r="C323" i="6"/>
  <c r="B323" i="6"/>
  <c r="L323" i="6"/>
  <c r="J323" i="6"/>
  <c r="P191" i="6"/>
  <c r="C191" i="6"/>
  <c r="L191" i="6"/>
  <c r="B191" i="6"/>
  <c r="J191" i="6"/>
  <c r="G191" i="6"/>
  <c r="Q191" i="6"/>
  <c r="F191" i="6"/>
  <c r="D191" i="6"/>
  <c r="H191" i="6" s="1"/>
  <c r="I191" i="6" s="1"/>
  <c r="Q1014" i="6"/>
  <c r="G1014" i="6"/>
  <c r="F1014" i="6"/>
  <c r="D1014" i="6"/>
  <c r="H1014" i="6" s="1"/>
  <c r="I1014" i="6" s="1"/>
  <c r="P1014" i="6"/>
  <c r="L1014" i="6"/>
  <c r="J1014" i="6"/>
  <c r="C1014" i="6"/>
  <c r="B1014" i="6"/>
  <c r="J1636" i="6"/>
  <c r="B1636" i="6"/>
  <c r="P1636" i="6"/>
  <c r="C1636" i="6"/>
  <c r="L1636" i="6"/>
  <c r="Q1636" i="6"/>
  <c r="G1636" i="6"/>
  <c r="F1636" i="6"/>
  <c r="D1636" i="6"/>
  <c r="H1636" i="6" s="1"/>
  <c r="I1636" i="6" s="1"/>
  <c r="L1490" i="6"/>
  <c r="C1490" i="6"/>
  <c r="P1490" i="6"/>
  <c r="B1490" i="6"/>
  <c r="J1490" i="6"/>
  <c r="G1490" i="6"/>
  <c r="F1490" i="6"/>
  <c r="D1490" i="6"/>
  <c r="H1490" i="6" s="1"/>
  <c r="I1490" i="6" s="1"/>
  <c r="Q1490" i="6"/>
  <c r="P1363" i="6"/>
  <c r="D1363" i="6"/>
  <c r="H1363" i="6" s="1"/>
  <c r="I1363" i="6" s="1"/>
  <c r="L1363" i="6"/>
  <c r="C1363" i="6"/>
  <c r="J1363" i="6"/>
  <c r="B1363" i="6"/>
  <c r="Q1363" i="6"/>
  <c r="G1363" i="6"/>
  <c r="F1363" i="6"/>
  <c r="F1227" i="6"/>
  <c r="Q1227" i="6"/>
  <c r="P1227" i="6"/>
  <c r="D1227" i="6"/>
  <c r="H1227" i="6" s="1"/>
  <c r="I1227" i="6" s="1"/>
  <c r="C1227" i="6"/>
  <c r="B1227" i="6"/>
  <c r="L1227" i="6"/>
  <c r="J1227" i="6"/>
  <c r="G1227" i="6"/>
  <c r="G1087" i="6"/>
  <c r="F1087" i="6"/>
  <c r="Q1087" i="6"/>
  <c r="P1087" i="6"/>
  <c r="D1087" i="6"/>
  <c r="H1087" i="6" s="1"/>
  <c r="I1087" i="6" s="1"/>
  <c r="B1087" i="6"/>
  <c r="L1087" i="6"/>
  <c r="J1087" i="6"/>
  <c r="C1087" i="6"/>
  <c r="G55" i="6"/>
  <c r="F55" i="6"/>
  <c r="Q55" i="6"/>
  <c r="P55" i="6"/>
  <c r="C55" i="6"/>
  <c r="B55" i="6"/>
  <c r="G1484" i="6"/>
  <c r="F1484" i="6"/>
  <c r="D1484" i="6"/>
  <c r="H1484" i="6" s="1"/>
  <c r="I1484" i="6" s="1"/>
  <c r="C1484" i="6"/>
  <c r="B1484" i="6"/>
  <c r="Q1484" i="6"/>
  <c r="P1484" i="6"/>
  <c r="L1484" i="6"/>
  <c r="J1484" i="6"/>
  <c r="P967" i="6"/>
  <c r="C967" i="6"/>
  <c r="L967" i="6"/>
  <c r="B967" i="6"/>
  <c r="J967" i="6"/>
  <c r="G967" i="6"/>
  <c r="Q967" i="6"/>
  <c r="F967" i="6"/>
  <c r="D967" i="6"/>
  <c r="H967" i="6" s="1"/>
  <c r="I967" i="6" s="1"/>
  <c r="Q822" i="6"/>
  <c r="P822" i="6"/>
  <c r="D822" i="6"/>
  <c r="H822" i="6" s="1"/>
  <c r="I822" i="6" s="1"/>
  <c r="L822" i="6"/>
  <c r="C822" i="6"/>
  <c r="J822" i="6"/>
  <c r="B822" i="6"/>
  <c r="G822" i="6"/>
  <c r="F822" i="6"/>
  <c r="F762" i="6"/>
  <c r="Q762" i="6"/>
  <c r="D762" i="6"/>
  <c r="H762" i="6" s="1"/>
  <c r="I762" i="6" s="1"/>
  <c r="P762" i="6"/>
  <c r="C762" i="6"/>
  <c r="L762" i="6"/>
  <c r="B762" i="6"/>
  <c r="J762" i="6"/>
  <c r="G762" i="6"/>
  <c r="F626" i="6"/>
  <c r="G626" i="6"/>
  <c r="D626" i="6"/>
  <c r="H626" i="6" s="1"/>
  <c r="I626" i="6" s="1"/>
  <c r="Q626" i="6"/>
  <c r="C626" i="6"/>
  <c r="J626" i="6"/>
  <c r="B626" i="6"/>
  <c r="P626" i="6"/>
  <c r="L626" i="6"/>
  <c r="P494" i="6"/>
  <c r="C494" i="6"/>
  <c r="J494" i="6"/>
  <c r="G494" i="6"/>
  <c r="F494" i="6"/>
  <c r="Q494" i="6"/>
  <c r="L494" i="6"/>
  <c r="D494" i="6"/>
  <c r="H494" i="6" s="1"/>
  <c r="I494" i="6" s="1"/>
  <c r="B494" i="6"/>
  <c r="F1682" i="6"/>
  <c r="L1682" i="6"/>
  <c r="C1682" i="6"/>
  <c r="Q1682" i="6"/>
  <c r="J1682" i="6"/>
  <c r="G1682" i="6"/>
  <c r="B1682" i="6"/>
  <c r="D1682" i="6"/>
  <c r="H1682" i="6" s="1"/>
  <c r="I1682" i="6" s="1"/>
  <c r="P1682" i="6"/>
  <c r="G1256" i="6"/>
  <c r="Q1256" i="6"/>
  <c r="D1256" i="6"/>
  <c r="H1256" i="6" s="1"/>
  <c r="I1256" i="6" s="1"/>
  <c r="L1256" i="6"/>
  <c r="B1256" i="6"/>
  <c r="C1256" i="6"/>
  <c r="P1256" i="6"/>
  <c r="F1256" i="6"/>
  <c r="J1256" i="6"/>
  <c r="P455" i="6"/>
  <c r="D455" i="6"/>
  <c r="H455" i="6" s="1"/>
  <c r="I455" i="6" s="1"/>
  <c r="Q455" i="6"/>
  <c r="C455" i="6"/>
  <c r="J455" i="6"/>
  <c r="G455" i="6"/>
  <c r="F455" i="6"/>
  <c r="L455" i="6"/>
  <c r="B455" i="6"/>
  <c r="P1318" i="6"/>
  <c r="C1318" i="6"/>
  <c r="L1318" i="6"/>
  <c r="B1318" i="6"/>
  <c r="J1318" i="6"/>
  <c r="Q1318" i="6"/>
  <c r="G1318" i="6"/>
  <c r="F1318" i="6"/>
  <c r="D1318" i="6"/>
  <c r="H1318" i="6" s="1"/>
  <c r="I1318" i="6" s="1"/>
  <c r="P939" i="6"/>
  <c r="D939" i="6"/>
  <c r="H939" i="6" s="1"/>
  <c r="I939" i="6" s="1"/>
  <c r="F939" i="6"/>
  <c r="Q939" i="6"/>
  <c r="C939" i="6"/>
  <c r="L939" i="6"/>
  <c r="B939" i="6"/>
  <c r="J939" i="6"/>
  <c r="G939" i="6"/>
  <c r="J733" i="6"/>
  <c r="B733" i="6"/>
  <c r="Q733" i="6"/>
  <c r="D733" i="6"/>
  <c r="H733" i="6" s="1"/>
  <c r="I733" i="6" s="1"/>
  <c r="P733" i="6"/>
  <c r="C733" i="6"/>
  <c r="L733" i="6"/>
  <c r="G733" i="6"/>
  <c r="F733" i="6"/>
  <c r="J585" i="6"/>
  <c r="B585" i="6"/>
  <c r="G585" i="6"/>
  <c r="F585" i="6"/>
  <c r="C585" i="6"/>
  <c r="Q585" i="6"/>
  <c r="P585" i="6"/>
  <c r="D585" i="6"/>
  <c r="H585" i="6" s="1"/>
  <c r="I585" i="6" s="1"/>
  <c r="L585" i="6"/>
  <c r="G518" i="6"/>
  <c r="Q518" i="6"/>
  <c r="C518" i="6"/>
  <c r="P518" i="6"/>
  <c r="B518" i="6"/>
  <c r="L518" i="6"/>
  <c r="J518" i="6"/>
  <c r="D518" i="6"/>
  <c r="H518" i="6" s="1"/>
  <c r="I518" i="6" s="1"/>
  <c r="F518" i="6"/>
  <c r="F393" i="6"/>
  <c r="L393" i="6"/>
  <c r="B393" i="6"/>
  <c r="J393" i="6"/>
  <c r="G393" i="6"/>
  <c r="Q393" i="6"/>
  <c r="P393" i="6"/>
  <c r="D393" i="6"/>
  <c r="H393" i="6" s="1"/>
  <c r="I393" i="6" s="1"/>
  <c r="C393" i="6"/>
  <c r="Q49" i="6"/>
  <c r="P49" i="6"/>
  <c r="C49" i="6"/>
  <c r="B49" i="6"/>
  <c r="G49" i="6"/>
  <c r="F49" i="6"/>
  <c r="P1125" i="6"/>
  <c r="D1125" i="6"/>
  <c r="H1125" i="6" s="1"/>
  <c r="I1125" i="6" s="1"/>
  <c r="L1125" i="6"/>
  <c r="C1125" i="6"/>
  <c r="J1125" i="6"/>
  <c r="B1125" i="6"/>
  <c r="G1125" i="6"/>
  <c r="F1125" i="6"/>
  <c r="Q1125" i="6"/>
  <c r="Q374" i="6"/>
  <c r="P374" i="6"/>
  <c r="D374" i="6"/>
  <c r="H374" i="6" s="1"/>
  <c r="I374" i="6" s="1"/>
  <c r="L374" i="6"/>
  <c r="C374" i="6"/>
  <c r="J374" i="6"/>
  <c r="B374" i="6"/>
  <c r="G374" i="6"/>
  <c r="F374" i="6"/>
  <c r="P70" i="6"/>
  <c r="C70" i="6"/>
  <c r="B70" i="6"/>
  <c r="Q70" i="6"/>
  <c r="G70" i="6"/>
  <c r="F70" i="6"/>
  <c r="Q262" i="6"/>
  <c r="G262" i="6"/>
  <c r="F262" i="6"/>
  <c r="P262" i="6"/>
  <c r="D262" i="6"/>
  <c r="H262" i="6" s="1"/>
  <c r="I262" i="6" s="1"/>
  <c r="L262" i="6"/>
  <c r="C262" i="6"/>
  <c r="J262" i="6"/>
  <c r="B262" i="6"/>
  <c r="J146" i="6"/>
  <c r="G146" i="6"/>
  <c r="F146" i="6"/>
  <c r="C146" i="6"/>
  <c r="B146" i="6"/>
  <c r="Q146" i="6"/>
  <c r="P146" i="6"/>
  <c r="D146" i="6"/>
  <c r="H146" i="6" s="1"/>
  <c r="I146" i="6" s="1"/>
  <c r="L146" i="6"/>
  <c r="F1698" i="6"/>
  <c r="L1698" i="6"/>
  <c r="C1698" i="6"/>
  <c r="Q1698" i="6"/>
  <c r="P1698" i="6"/>
  <c r="J1698" i="6"/>
  <c r="G1698" i="6"/>
  <c r="B1698" i="6"/>
  <c r="D1698" i="6"/>
  <c r="H1698" i="6" s="1"/>
  <c r="I1698" i="6" s="1"/>
  <c r="F1563" i="6"/>
  <c r="Q1563" i="6"/>
  <c r="D1563" i="6"/>
  <c r="H1563" i="6" s="1"/>
  <c r="I1563" i="6" s="1"/>
  <c r="P1563" i="6"/>
  <c r="C1563" i="6"/>
  <c r="L1563" i="6"/>
  <c r="B1563" i="6"/>
  <c r="G1563" i="6"/>
  <c r="J1563" i="6"/>
  <c r="Q1418" i="6"/>
  <c r="F1418" i="6"/>
  <c r="D1418" i="6"/>
  <c r="H1418" i="6" s="1"/>
  <c r="I1418" i="6" s="1"/>
  <c r="P1418" i="6"/>
  <c r="C1418" i="6"/>
  <c r="L1418" i="6"/>
  <c r="B1418" i="6"/>
  <c r="J1418" i="6"/>
  <c r="G1418" i="6"/>
  <c r="G1288" i="6"/>
  <c r="Q1288" i="6"/>
  <c r="D1288" i="6"/>
  <c r="H1288" i="6" s="1"/>
  <c r="I1288" i="6" s="1"/>
  <c r="L1288" i="6"/>
  <c r="B1288" i="6"/>
  <c r="F1288" i="6"/>
  <c r="C1288" i="6"/>
  <c r="P1288" i="6"/>
  <c r="J1288" i="6"/>
  <c r="G1228" i="6"/>
  <c r="C1228" i="6"/>
  <c r="Q1228" i="6"/>
  <c r="B1228" i="6"/>
  <c r="P1228" i="6"/>
  <c r="L1228" i="6"/>
  <c r="J1228" i="6"/>
  <c r="F1228" i="6"/>
  <c r="D1228" i="6"/>
  <c r="H1228" i="6" s="1"/>
  <c r="I1228" i="6" s="1"/>
  <c r="Q1078" i="6"/>
  <c r="P1078" i="6"/>
  <c r="D1078" i="6"/>
  <c r="H1078" i="6" s="1"/>
  <c r="I1078" i="6" s="1"/>
  <c r="L1078" i="6"/>
  <c r="C1078" i="6"/>
  <c r="J1078" i="6"/>
  <c r="B1078" i="6"/>
  <c r="F1078" i="6"/>
  <c r="G1078" i="6"/>
  <c r="F52" i="6"/>
  <c r="Q52" i="6"/>
  <c r="P52" i="6"/>
  <c r="C52" i="6"/>
  <c r="B52" i="6"/>
  <c r="G52" i="6"/>
  <c r="F1483" i="6"/>
  <c r="P1483" i="6"/>
  <c r="C1483" i="6"/>
  <c r="L1483" i="6"/>
  <c r="B1483" i="6"/>
  <c r="J1483" i="6"/>
  <c r="Q1483" i="6"/>
  <c r="D1483" i="6"/>
  <c r="H1483" i="6" s="1"/>
  <c r="I1483" i="6" s="1"/>
  <c r="G1483" i="6"/>
  <c r="L824" i="6"/>
  <c r="C824" i="6"/>
  <c r="Q824" i="6"/>
  <c r="D824" i="6"/>
  <c r="H824" i="6" s="1"/>
  <c r="I824" i="6" s="1"/>
  <c r="P824" i="6"/>
  <c r="B824" i="6"/>
  <c r="J824" i="6"/>
  <c r="G824" i="6"/>
  <c r="F824" i="6"/>
  <c r="P1694" i="6"/>
  <c r="D1694" i="6"/>
  <c r="H1694" i="6" s="1"/>
  <c r="I1694" i="6" s="1"/>
  <c r="J1694" i="6"/>
  <c r="B1694" i="6"/>
  <c r="G1694" i="6"/>
  <c r="F1694" i="6"/>
  <c r="C1694" i="6"/>
  <c r="Q1694" i="6"/>
  <c r="L1694" i="6"/>
  <c r="G1701" i="6"/>
  <c r="P1701" i="6"/>
  <c r="D1701" i="6"/>
  <c r="H1701" i="6" s="1"/>
  <c r="I1701" i="6" s="1"/>
  <c r="Q1701" i="6"/>
  <c r="L1701" i="6"/>
  <c r="J1701" i="6"/>
  <c r="F1701" i="6"/>
  <c r="C1701" i="6"/>
  <c r="B1701" i="6"/>
  <c r="P1634" i="6"/>
  <c r="D1634" i="6"/>
  <c r="H1634" i="6" s="1"/>
  <c r="I1634" i="6" s="1"/>
  <c r="J1634" i="6"/>
  <c r="G1634" i="6"/>
  <c r="C1634" i="6"/>
  <c r="B1634" i="6"/>
  <c r="L1634" i="6"/>
  <c r="F1634" i="6"/>
  <c r="Q1634" i="6"/>
  <c r="F1555" i="6"/>
  <c r="J1555" i="6"/>
  <c r="G1555" i="6"/>
  <c r="L1555" i="6"/>
  <c r="D1555" i="6"/>
  <c r="H1555" i="6" s="1"/>
  <c r="I1555" i="6" s="1"/>
  <c r="C1555" i="6"/>
  <c r="B1555" i="6"/>
  <c r="Q1555" i="6"/>
  <c r="P1555" i="6"/>
  <c r="P1429" i="6"/>
  <c r="D1429" i="6"/>
  <c r="H1429" i="6" s="1"/>
  <c r="I1429" i="6" s="1"/>
  <c r="C1429" i="6"/>
  <c r="J1429" i="6"/>
  <c r="G1429" i="6"/>
  <c r="F1429" i="6"/>
  <c r="B1429" i="6"/>
  <c r="Q1429" i="6"/>
  <c r="L1429" i="6"/>
  <c r="G1351" i="6"/>
  <c r="F1351" i="6"/>
  <c r="Q1351" i="6"/>
  <c r="P1351" i="6"/>
  <c r="D1351" i="6"/>
  <c r="H1351" i="6" s="1"/>
  <c r="I1351" i="6" s="1"/>
  <c r="B1351" i="6"/>
  <c r="J1351" i="6"/>
  <c r="C1351" i="6"/>
  <c r="L1351" i="6"/>
  <c r="J1297" i="6"/>
  <c r="B1297" i="6"/>
  <c r="P1297" i="6"/>
  <c r="C1297" i="6"/>
  <c r="G1297" i="6"/>
  <c r="F1297" i="6"/>
  <c r="D1297" i="6"/>
  <c r="H1297" i="6" s="1"/>
  <c r="I1297" i="6" s="1"/>
  <c r="Q1297" i="6"/>
  <c r="L1297" i="6"/>
  <c r="Q1216" i="6"/>
  <c r="P1216" i="6"/>
  <c r="D1216" i="6"/>
  <c r="H1216" i="6" s="1"/>
  <c r="I1216" i="6" s="1"/>
  <c r="L1216" i="6"/>
  <c r="C1216" i="6"/>
  <c r="J1216" i="6"/>
  <c r="G1216" i="6"/>
  <c r="F1216" i="6"/>
  <c r="B1216" i="6"/>
  <c r="G1156" i="6"/>
  <c r="J1156" i="6"/>
  <c r="F1156" i="6"/>
  <c r="D1156" i="6"/>
  <c r="H1156" i="6" s="1"/>
  <c r="I1156" i="6" s="1"/>
  <c r="C1156" i="6"/>
  <c r="L1156" i="6"/>
  <c r="B1156" i="6"/>
  <c r="Q1156" i="6"/>
  <c r="P1156" i="6"/>
  <c r="Q1689" i="6"/>
  <c r="L1689" i="6"/>
  <c r="C1689" i="6"/>
  <c r="G1689" i="6"/>
  <c r="B1689" i="6"/>
  <c r="D1689" i="6"/>
  <c r="H1689" i="6" s="1"/>
  <c r="I1689" i="6" s="1"/>
  <c r="J1689" i="6"/>
  <c r="F1689" i="6"/>
  <c r="P1689" i="6"/>
  <c r="F1700" i="6"/>
  <c r="P1700" i="6"/>
  <c r="D1700" i="6"/>
  <c r="H1700" i="6" s="1"/>
  <c r="I1700" i="6" s="1"/>
  <c r="Q1700" i="6"/>
  <c r="L1700" i="6"/>
  <c r="J1700" i="6"/>
  <c r="G1700" i="6"/>
  <c r="C1700" i="6"/>
  <c r="B1700" i="6"/>
  <c r="Q1637" i="6"/>
  <c r="G1637" i="6"/>
  <c r="F1637" i="6"/>
  <c r="P1637" i="6"/>
  <c r="D1637" i="6"/>
  <c r="H1637" i="6" s="1"/>
  <c r="I1637" i="6" s="1"/>
  <c r="L1637" i="6"/>
  <c r="J1637" i="6"/>
  <c r="C1637" i="6"/>
  <c r="B1637" i="6"/>
  <c r="G1627" i="6"/>
  <c r="F1627" i="6"/>
  <c r="Q1627" i="6"/>
  <c r="B1627" i="6"/>
  <c r="P1627" i="6"/>
  <c r="L1627" i="6"/>
  <c r="J1627" i="6"/>
  <c r="D1627" i="6"/>
  <c r="H1627" i="6" s="1"/>
  <c r="I1627" i="6" s="1"/>
  <c r="C1627" i="6"/>
  <c r="Q1633" i="6"/>
  <c r="D1633" i="6"/>
  <c r="H1633" i="6" s="1"/>
  <c r="I1633" i="6" s="1"/>
  <c r="P1633" i="6"/>
  <c r="C1633" i="6"/>
  <c r="L1633" i="6"/>
  <c r="B1633" i="6"/>
  <c r="J1633" i="6"/>
  <c r="G1633" i="6"/>
  <c r="F1633" i="6"/>
  <c r="L1562" i="6"/>
  <c r="C1562" i="6"/>
  <c r="G1562" i="6"/>
  <c r="F1562" i="6"/>
  <c r="B1562" i="6"/>
  <c r="Q1562" i="6"/>
  <c r="P1562" i="6"/>
  <c r="J1562" i="6"/>
  <c r="D1562" i="6"/>
  <c r="H1562" i="6" s="1"/>
  <c r="I1562" i="6" s="1"/>
  <c r="F1556" i="6"/>
  <c r="Q1556" i="6"/>
  <c r="D1556" i="6"/>
  <c r="H1556" i="6" s="1"/>
  <c r="I1556" i="6" s="1"/>
  <c r="P1556" i="6"/>
  <c r="C1556" i="6"/>
  <c r="L1556" i="6"/>
  <c r="J1556" i="6"/>
  <c r="G1556" i="6"/>
  <c r="B1556" i="6"/>
  <c r="L1498" i="6"/>
  <c r="C1498" i="6"/>
  <c r="G1498" i="6"/>
  <c r="F1498" i="6"/>
  <c r="Q1498" i="6"/>
  <c r="D1498" i="6"/>
  <c r="H1498" i="6" s="1"/>
  <c r="I1498" i="6" s="1"/>
  <c r="B1498" i="6"/>
  <c r="P1498" i="6"/>
  <c r="J1498" i="6"/>
  <c r="J1495" i="6"/>
  <c r="B1495" i="6"/>
  <c r="L1495" i="6"/>
  <c r="G1495" i="6"/>
  <c r="Q1495" i="6"/>
  <c r="P1495" i="6"/>
  <c r="F1495" i="6"/>
  <c r="D1495" i="6"/>
  <c r="H1495" i="6" s="1"/>
  <c r="I1495" i="6" s="1"/>
  <c r="C1495" i="6"/>
  <c r="G1424" i="6"/>
  <c r="P1424" i="6"/>
  <c r="C1424" i="6"/>
  <c r="J1424" i="6"/>
  <c r="F1424" i="6"/>
  <c r="Q1424" i="6"/>
  <c r="L1424" i="6"/>
  <c r="D1424" i="6"/>
  <c r="H1424" i="6" s="1"/>
  <c r="I1424" i="6" s="1"/>
  <c r="B1424" i="6"/>
  <c r="L1433" i="6"/>
  <c r="B1433" i="6"/>
  <c r="P1433" i="6"/>
  <c r="D1433" i="6"/>
  <c r="H1433" i="6" s="1"/>
  <c r="I1433" i="6" s="1"/>
  <c r="C1433" i="6"/>
  <c r="Q1433" i="6"/>
  <c r="J1433" i="6"/>
  <c r="G1433" i="6"/>
  <c r="F1433" i="6"/>
  <c r="F1361" i="6"/>
  <c r="Q1361" i="6"/>
  <c r="P1361" i="6"/>
  <c r="D1361" i="6"/>
  <c r="H1361" i="6" s="1"/>
  <c r="I1361" i="6" s="1"/>
  <c r="L1361" i="6"/>
  <c r="C1361" i="6"/>
  <c r="J1361" i="6"/>
  <c r="B1361" i="6"/>
  <c r="G1361" i="6"/>
  <c r="J1349" i="6"/>
  <c r="B1349" i="6"/>
  <c r="G1349" i="6"/>
  <c r="F1349" i="6"/>
  <c r="L1349" i="6"/>
  <c r="D1349" i="6"/>
  <c r="H1349" i="6" s="1"/>
  <c r="I1349" i="6" s="1"/>
  <c r="P1349" i="6"/>
  <c r="C1349" i="6"/>
  <c r="Q1349" i="6"/>
  <c r="P1287" i="6"/>
  <c r="D1287" i="6"/>
  <c r="H1287" i="6" s="1"/>
  <c r="I1287" i="6" s="1"/>
  <c r="F1287" i="6"/>
  <c r="J1287" i="6"/>
  <c r="G1287" i="6"/>
  <c r="C1287" i="6"/>
  <c r="L1287" i="6"/>
  <c r="B1287" i="6"/>
  <c r="Q1287" i="6"/>
  <c r="P1295" i="6"/>
  <c r="D1295" i="6"/>
  <c r="H1295" i="6" s="1"/>
  <c r="I1295" i="6" s="1"/>
  <c r="Q1295" i="6"/>
  <c r="C1295" i="6"/>
  <c r="J1295" i="6"/>
  <c r="L1295" i="6"/>
  <c r="F1295" i="6"/>
  <c r="G1295" i="6"/>
  <c r="B1295" i="6"/>
  <c r="G1222" i="6"/>
  <c r="F1222" i="6"/>
  <c r="Q1222" i="6"/>
  <c r="D1222" i="6"/>
  <c r="H1222" i="6" s="1"/>
  <c r="I1222" i="6" s="1"/>
  <c r="C1222" i="6"/>
  <c r="P1222" i="6"/>
  <c r="B1222" i="6"/>
  <c r="L1222" i="6"/>
  <c r="J1222" i="6"/>
  <c r="P1229" i="6"/>
  <c r="D1229" i="6"/>
  <c r="H1229" i="6" s="1"/>
  <c r="I1229" i="6" s="1"/>
  <c r="L1229" i="6"/>
  <c r="C1229" i="6"/>
  <c r="J1229" i="6"/>
  <c r="B1229" i="6"/>
  <c r="Q1229" i="6"/>
  <c r="G1229" i="6"/>
  <c r="F1229" i="6"/>
  <c r="Q1152" i="6"/>
  <c r="P1152" i="6"/>
  <c r="D1152" i="6"/>
  <c r="H1152" i="6" s="1"/>
  <c r="I1152" i="6" s="1"/>
  <c r="L1152" i="6"/>
  <c r="C1152" i="6"/>
  <c r="J1152" i="6"/>
  <c r="G1152" i="6"/>
  <c r="F1152" i="6"/>
  <c r="B1152" i="6"/>
  <c r="G1150" i="6"/>
  <c r="F1150" i="6"/>
  <c r="Q1150" i="6"/>
  <c r="P1150" i="6"/>
  <c r="B1150" i="6"/>
  <c r="L1150" i="6"/>
  <c r="J1150" i="6"/>
  <c r="D1150" i="6"/>
  <c r="H1150" i="6" s="1"/>
  <c r="I1150" i="6" s="1"/>
  <c r="C1150" i="6"/>
  <c r="G1079" i="6"/>
  <c r="F1079" i="6"/>
  <c r="Q1079" i="6"/>
  <c r="P1079" i="6"/>
  <c r="D1079" i="6"/>
  <c r="H1079" i="6" s="1"/>
  <c r="I1079" i="6" s="1"/>
  <c r="J1079" i="6"/>
  <c r="C1079" i="6"/>
  <c r="L1079" i="6"/>
  <c r="B1079" i="6"/>
  <c r="P1083" i="6"/>
  <c r="D1083" i="6"/>
  <c r="H1083" i="6" s="1"/>
  <c r="I1083" i="6" s="1"/>
  <c r="L1083" i="6"/>
  <c r="C1083" i="6"/>
  <c r="J1083" i="6"/>
  <c r="B1083" i="6"/>
  <c r="Q1083" i="6"/>
  <c r="G1083" i="6"/>
  <c r="F1083" i="6"/>
  <c r="G1090" i="6"/>
  <c r="F1090" i="6"/>
  <c r="Q1090" i="6"/>
  <c r="B1090" i="6"/>
  <c r="P1090" i="6"/>
  <c r="L1090" i="6"/>
  <c r="J1090" i="6"/>
  <c r="D1090" i="6"/>
  <c r="H1090" i="6" s="1"/>
  <c r="I1090" i="6" s="1"/>
  <c r="C1090" i="6"/>
  <c r="L1016" i="6"/>
  <c r="C1016" i="6"/>
  <c r="D1016" i="6"/>
  <c r="H1016" i="6" s="1"/>
  <c r="I1016" i="6" s="1"/>
  <c r="Q1016" i="6"/>
  <c r="B1016" i="6"/>
  <c r="P1016" i="6"/>
  <c r="J1016" i="6"/>
  <c r="G1016" i="6"/>
  <c r="F1016" i="6"/>
  <c r="L1018" i="6"/>
  <c r="B1018" i="6"/>
  <c r="G1018" i="6"/>
  <c r="F1018" i="6"/>
  <c r="D1018" i="6"/>
  <c r="H1018" i="6" s="1"/>
  <c r="I1018" i="6" s="1"/>
  <c r="Q1018" i="6"/>
  <c r="C1018" i="6"/>
  <c r="P1018" i="6"/>
  <c r="J1018" i="6"/>
  <c r="P1588" i="6"/>
  <c r="D1588" i="6"/>
  <c r="H1588" i="6" s="1"/>
  <c r="I1588" i="6" s="1"/>
  <c r="L1588" i="6"/>
  <c r="C1588" i="6"/>
  <c r="J1588" i="6"/>
  <c r="B1588" i="6"/>
  <c r="Q1588" i="6"/>
  <c r="G1588" i="6"/>
  <c r="F1588" i="6"/>
  <c r="Q1592" i="6"/>
  <c r="D1592" i="6"/>
  <c r="H1592" i="6" s="1"/>
  <c r="I1592" i="6" s="1"/>
  <c r="P1592" i="6"/>
  <c r="C1592" i="6"/>
  <c r="L1592" i="6"/>
  <c r="B1592" i="6"/>
  <c r="G1592" i="6"/>
  <c r="F1592" i="6"/>
  <c r="J1592" i="6"/>
  <c r="Q1472" i="6"/>
  <c r="J1472" i="6"/>
  <c r="B1472" i="6"/>
  <c r="G1472" i="6"/>
  <c r="L1472" i="6"/>
  <c r="F1472" i="6"/>
  <c r="D1472" i="6"/>
  <c r="H1472" i="6" s="1"/>
  <c r="I1472" i="6" s="1"/>
  <c r="C1472" i="6"/>
  <c r="P1472" i="6"/>
  <c r="L1481" i="6"/>
  <c r="B1481" i="6"/>
  <c r="J1481" i="6"/>
  <c r="G1481" i="6"/>
  <c r="P1481" i="6"/>
  <c r="F1481" i="6"/>
  <c r="D1481" i="6"/>
  <c r="H1481" i="6" s="1"/>
  <c r="I1481" i="6" s="1"/>
  <c r="C1481" i="6"/>
  <c r="Q1481" i="6"/>
  <c r="F1163" i="6"/>
  <c r="Q1163" i="6"/>
  <c r="P1163" i="6"/>
  <c r="D1163" i="6"/>
  <c r="H1163" i="6" s="1"/>
  <c r="I1163" i="6" s="1"/>
  <c r="C1163" i="6"/>
  <c r="B1163" i="6"/>
  <c r="L1163" i="6"/>
  <c r="J1163" i="6"/>
  <c r="G1163" i="6"/>
  <c r="G1164" i="6"/>
  <c r="C1164" i="6"/>
  <c r="Q1164" i="6"/>
  <c r="B1164" i="6"/>
  <c r="P1164" i="6"/>
  <c r="L1164" i="6"/>
  <c r="J1164" i="6"/>
  <c r="F1164" i="6"/>
  <c r="D1164" i="6"/>
  <c r="H1164" i="6" s="1"/>
  <c r="I1164" i="6" s="1"/>
  <c r="L1048" i="6"/>
  <c r="C1048" i="6"/>
  <c r="F1048" i="6"/>
  <c r="D1048" i="6"/>
  <c r="H1048" i="6" s="1"/>
  <c r="I1048" i="6" s="1"/>
  <c r="Q1048" i="6"/>
  <c r="B1048" i="6"/>
  <c r="P1048" i="6"/>
  <c r="J1048" i="6"/>
  <c r="G1048" i="6"/>
  <c r="P1055" i="6"/>
  <c r="C1055" i="6"/>
  <c r="J1055" i="6"/>
  <c r="Q1055" i="6"/>
  <c r="L1055" i="6"/>
  <c r="G1055" i="6"/>
  <c r="F1055" i="6"/>
  <c r="B1055" i="6"/>
  <c r="D1055" i="6"/>
  <c r="H1055" i="6" s="1"/>
  <c r="I1055" i="6" s="1"/>
  <c r="J973" i="6"/>
  <c r="B973" i="6"/>
  <c r="G973" i="6"/>
  <c r="F973" i="6"/>
  <c r="Q973" i="6"/>
  <c r="D973" i="6"/>
  <c r="H973" i="6" s="1"/>
  <c r="I973" i="6" s="1"/>
  <c r="P973" i="6"/>
  <c r="C973" i="6"/>
  <c r="L973" i="6"/>
  <c r="G972" i="6"/>
  <c r="L972" i="6"/>
  <c r="B972" i="6"/>
  <c r="J972" i="6"/>
  <c r="F972" i="6"/>
  <c r="Q972" i="6"/>
  <c r="P972" i="6"/>
  <c r="C972" i="6"/>
  <c r="D972" i="6"/>
  <c r="H972" i="6" s="1"/>
  <c r="I972" i="6" s="1"/>
  <c r="F901" i="6"/>
  <c r="Q901" i="6"/>
  <c r="P901" i="6"/>
  <c r="D901" i="6"/>
  <c r="H901" i="6" s="1"/>
  <c r="I901" i="6" s="1"/>
  <c r="L901" i="6"/>
  <c r="C901" i="6"/>
  <c r="J901" i="6"/>
  <c r="B901" i="6"/>
  <c r="G901" i="6"/>
  <c r="L900" i="6"/>
  <c r="C900" i="6"/>
  <c r="J900" i="6"/>
  <c r="B900" i="6"/>
  <c r="G900" i="6"/>
  <c r="Q900" i="6"/>
  <c r="P900" i="6"/>
  <c r="F900" i="6"/>
  <c r="D900" i="6"/>
  <c r="H900" i="6" s="1"/>
  <c r="I900" i="6" s="1"/>
  <c r="Q830" i="6"/>
  <c r="G830" i="6"/>
  <c r="F830" i="6"/>
  <c r="P830" i="6"/>
  <c r="D830" i="6"/>
  <c r="H830" i="6" s="1"/>
  <c r="I830" i="6" s="1"/>
  <c r="C830" i="6"/>
  <c r="B830" i="6"/>
  <c r="L830" i="6"/>
  <c r="J830" i="6"/>
  <c r="J829" i="6"/>
  <c r="B829" i="6"/>
  <c r="Q829" i="6"/>
  <c r="D829" i="6"/>
  <c r="H829" i="6" s="1"/>
  <c r="I829" i="6" s="1"/>
  <c r="P829" i="6"/>
  <c r="C829" i="6"/>
  <c r="L829" i="6"/>
  <c r="G829" i="6"/>
  <c r="F829" i="6"/>
  <c r="L768" i="6"/>
  <c r="C768" i="6"/>
  <c r="G768" i="6"/>
  <c r="F768" i="6"/>
  <c r="J768" i="6"/>
  <c r="D768" i="6"/>
  <c r="H768" i="6" s="1"/>
  <c r="I768" i="6" s="1"/>
  <c r="B768" i="6"/>
  <c r="Q768" i="6"/>
  <c r="P768" i="6"/>
  <c r="G756" i="6"/>
  <c r="P756" i="6"/>
  <c r="C756" i="6"/>
  <c r="L756" i="6"/>
  <c r="B756" i="6"/>
  <c r="J756" i="6"/>
  <c r="Q756" i="6"/>
  <c r="F756" i="6"/>
  <c r="D756" i="6"/>
  <c r="H756" i="6" s="1"/>
  <c r="I756" i="6" s="1"/>
  <c r="G692" i="6"/>
  <c r="F692" i="6"/>
  <c r="D692" i="6"/>
  <c r="H692" i="6" s="1"/>
  <c r="I692" i="6" s="1"/>
  <c r="Q692" i="6"/>
  <c r="C692" i="6"/>
  <c r="P692" i="6"/>
  <c r="L692" i="6"/>
  <c r="J692" i="6"/>
  <c r="B692" i="6"/>
  <c r="Q702" i="6"/>
  <c r="G702" i="6"/>
  <c r="P702" i="6"/>
  <c r="D702" i="6"/>
  <c r="H702" i="6" s="1"/>
  <c r="I702" i="6" s="1"/>
  <c r="B702" i="6"/>
  <c r="L702" i="6"/>
  <c r="J702" i="6"/>
  <c r="C702" i="6"/>
  <c r="F702" i="6"/>
  <c r="J629" i="6"/>
  <c r="B629" i="6"/>
  <c r="Q629" i="6"/>
  <c r="D629" i="6"/>
  <c r="H629" i="6" s="1"/>
  <c r="I629" i="6" s="1"/>
  <c r="L629" i="6"/>
  <c r="G629" i="6"/>
  <c r="F629" i="6"/>
  <c r="P629" i="6"/>
  <c r="C629" i="6"/>
  <c r="G628" i="6"/>
  <c r="Q628" i="6"/>
  <c r="C628" i="6"/>
  <c r="P628" i="6"/>
  <c r="B628" i="6"/>
  <c r="L628" i="6"/>
  <c r="J628" i="6"/>
  <c r="D628" i="6"/>
  <c r="H628" i="6" s="1"/>
  <c r="I628" i="6" s="1"/>
  <c r="F628" i="6"/>
  <c r="P551" i="6"/>
  <c r="D551" i="6"/>
  <c r="H551" i="6" s="1"/>
  <c r="I551" i="6" s="1"/>
  <c r="G551" i="6"/>
  <c r="F551" i="6"/>
  <c r="Q551" i="6"/>
  <c r="C551" i="6"/>
  <c r="B551" i="6"/>
  <c r="L551" i="6"/>
  <c r="J551" i="6"/>
  <c r="F557" i="6"/>
  <c r="L557" i="6"/>
  <c r="B557" i="6"/>
  <c r="J557" i="6"/>
  <c r="G557" i="6"/>
  <c r="P557" i="6"/>
  <c r="D557" i="6"/>
  <c r="H557" i="6" s="1"/>
  <c r="I557" i="6" s="1"/>
  <c r="C557" i="6"/>
  <c r="Q557" i="6"/>
  <c r="L484" i="6"/>
  <c r="C484" i="6"/>
  <c r="F484" i="6"/>
  <c r="G484" i="6"/>
  <c r="D484" i="6"/>
  <c r="H484" i="6" s="1"/>
  <c r="I484" i="6" s="1"/>
  <c r="Q484" i="6"/>
  <c r="B484" i="6"/>
  <c r="J484" i="6"/>
  <c r="P484" i="6"/>
  <c r="J497" i="6"/>
  <c r="B497" i="6"/>
  <c r="Q497" i="6"/>
  <c r="C497" i="6"/>
  <c r="P497" i="6"/>
  <c r="L497" i="6"/>
  <c r="G497" i="6"/>
  <c r="D497" i="6"/>
  <c r="H497" i="6" s="1"/>
  <c r="I497" i="6" s="1"/>
  <c r="F497" i="6"/>
  <c r="J417" i="6"/>
  <c r="B417" i="6"/>
  <c r="G417" i="6"/>
  <c r="F417" i="6"/>
  <c r="D417" i="6"/>
  <c r="H417" i="6" s="1"/>
  <c r="I417" i="6" s="1"/>
  <c r="Q417" i="6"/>
  <c r="C417" i="6"/>
  <c r="P417" i="6"/>
  <c r="L417" i="6"/>
  <c r="J419" i="6"/>
  <c r="L419" i="6"/>
  <c r="G419" i="6"/>
  <c r="F419" i="6"/>
  <c r="D419" i="6"/>
  <c r="H419" i="6" s="1"/>
  <c r="I419" i="6" s="1"/>
  <c r="C419" i="6"/>
  <c r="B419" i="6"/>
  <c r="Q419" i="6"/>
  <c r="P419" i="6"/>
  <c r="G108" i="6"/>
  <c r="F108" i="6"/>
  <c r="Q108" i="6"/>
  <c r="D108" i="6"/>
  <c r="H108" i="6" s="1"/>
  <c r="I108" i="6" s="1"/>
  <c r="P108" i="6"/>
  <c r="C108" i="6"/>
  <c r="L108" i="6"/>
  <c r="B108" i="6"/>
  <c r="J108" i="6"/>
  <c r="G1679" i="6"/>
  <c r="Q1679" i="6"/>
  <c r="J1679" i="6"/>
  <c r="B1679" i="6"/>
  <c r="C1679" i="6"/>
  <c r="L1679" i="6"/>
  <c r="D1679" i="6"/>
  <c r="H1679" i="6" s="1"/>
  <c r="I1679" i="6" s="1"/>
  <c r="F1679" i="6"/>
  <c r="P1679" i="6"/>
  <c r="F1675" i="6"/>
  <c r="J1675" i="6"/>
  <c r="G1675" i="6"/>
  <c r="D1675" i="6"/>
  <c r="H1675" i="6" s="1"/>
  <c r="I1675" i="6" s="1"/>
  <c r="C1675" i="6"/>
  <c r="B1675" i="6"/>
  <c r="Q1675" i="6"/>
  <c r="P1675" i="6"/>
  <c r="L1675" i="6"/>
  <c r="F1374" i="6"/>
  <c r="Q1374" i="6"/>
  <c r="D1374" i="6"/>
  <c r="H1374" i="6" s="1"/>
  <c r="I1374" i="6" s="1"/>
  <c r="P1374" i="6"/>
  <c r="C1374" i="6"/>
  <c r="L1374" i="6"/>
  <c r="B1374" i="6"/>
  <c r="J1374" i="6"/>
  <c r="G1374" i="6"/>
  <c r="F1368" i="6"/>
  <c r="P1368" i="6"/>
  <c r="C1368" i="6"/>
  <c r="L1368" i="6"/>
  <c r="B1368" i="6"/>
  <c r="J1368" i="6"/>
  <c r="G1368" i="6"/>
  <c r="D1368" i="6"/>
  <c r="H1368" i="6" s="1"/>
  <c r="I1368" i="6" s="1"/>
  <c r="Q1368" i="6"/>
  <c r="L1260" i="6"/>
  <c r="C1260" i="6"/>
  <c r="F1260" i="6"/>
  <c r="Q1260" i="6"/>
  <c r="D1260" i="6"/>
  <c r="H1260" i="6" s="1"/>
  <c r="I1260" i="6" s="1"/>
  <c r="G1260" i="6"/>
  <c r="B1260" i="6"/>
  <c r="P1260" i="6"/>
  <c r="J1260" i="6"/>
  <c r="P1247" i="6"/>
  <c r="D1247" i="6"/>
  <c r="H1247" i="6" s="1"/>
  <c r="I1247" i="6" s="1"/>
  <c r="J1247" i="6"/>
  <c r="G1247" i="6"/>
  <c r="F1247" i="6"/>
  <c r="C1247" i="6"/>
  <c r="B1247" i="6"/>
  <c r="Q1247" i="6"/>
  <c r="L1247" i="6"/>
  <c r="G1142" i="6"/>
  <c r="F1142" i="6"/>
  <c r="Q1142" i="6"/>
  <c r="D1142" i="6"/>
  <c r="H1142" i="6" s="1"/>
  <c r="I1142" i="6" s="1"/>
  <c r="C1142" i="6"/>
  <c r="P1142" i="6"/>
  <c r="B1142" i="6"/>
  <c r="L1142" i="6"/>
  <c r="J1142" i="6"/>
  <c r="F1131" i="6"/>
  <c r="Q1131" i="6"/>
  <c r="P1131" i="6"/>
  <c r="D1131" i="6"/>
  <c r="H1131" i="6" s="1"/>
  <c r="I1131" i="6" s="1"/>
  <c r="C1131" i="6"/>
  <c r="B1131" i="6"/>
  <c r="L1131" i="6"/>
  <c r="J1131" i="6"/>
  <c r="G1131" i="6"/>
  <c r="G1140" i="6"/>
  <c r="J1140" i="6"/>
  <c r="F1140" i="6"/>
  <c r="D1140" i="6"/>
  <c r="H1140" i="6" s="1"/>
  <c r="I1140" i="6" s="1"/>
  <c r="C1140" i="6"/>
  <c r="Q1140" i="6"/>
  <c r="P1140" i="6"/>
  <c r="L1140" i="6"/>
  <c r="B1140" i="6"/>
  <c r="F1443" i="6"/>
  <c r="J1443" i="6"/>
  <c r="G1443" i="6"/>
  <c r="D1443" i="6"/>
  <c r="H1443" i="6" s="1"/>
  <c r="I1443" i="6" s="1"/>
  <c r="L1443" i="6"/>
  <c r="C1443" i="6"/>
  <c r="B1443" i="6"/>
  <c r="P1443" i="6"/>
  <c r="Q1443" i="6"/>
  <c r="F1441" i="6"/>
  <c r="L1441" i="6"/>
  <c r="J1441" i="6"/>
  <c r="D1441" i="6"/>
  <c r="H1441" i="6" s="1"/>
  <c r="I1441" i="6" s="1"/>
  <c r="C1441" i="6"/>
  <c r="B1441" i="6"/>
  <c r="Q1441" i="6"/>
  <c r="P1441" i="6"/>
  <c r="G1441" i="6"/>
  <c r="Q1444" i="6"/>
  <c r="D1444" i="6"/>
  <c r="H1444" i="6" s="1"/>
  <c r="I1444" i="6" s="1"/>
  <c r="G1444" i="6"/>
  <c r="C1444" i="6"/>
  <c r="P1444" i="6"/>
  <c r="B1444" i="6"/>
  <c r="L1444" i="6"/>
  <c r="J1444" i="6"/>
  <c r="F1444" i="6"/>
  <c r="G1328" i="6"/>
  <c r="F1328" i="6"/>
  <c r="J1328" i="6"/>
  <c r="D1328" i="6"/>
  <c r="H1328" i="6" s="1"/>
  <c r="I1328" i="6" s="1"/>
  <c r="C1328" i="6"/>
  <c r="B1328" i="6"/>
  <c r="L1328" i="6"/>
  <c r="Q1328" i="6"/>
  <c r="P1328" i="6"/>
  <c r="P1327" i="6"/>
  <c r="D1327" i="6"/>
  <c r="H1327" i="6" s="1"/>
  <c r="I1327" i="6" s="1"/>
  <c r="Q1327" i="6"/>
  <c r="C1327" i="6"/>
  <c r="L1327" i="6"/>
  <c r="B1327" i="6"/>
  <c r="J1327" i="6"/>
  <c r="G1327" i="6"/>
  <c r="F1327" i="6"/>
  <c r="F1203" i="6"/>
  <c r="Q1203" i="6"/>
  <c r="P1203" i="6"/>
  <c r="D1203" i="6"/>
  <c r="H1203" i="6" s="1"/>
  <c r="I1203" i="6" s="1"/>
  <c r="G1203" i="6"/>
  <c r="C1203" i="6"/>
  <c r="J1203" i="6"/>
  <c r="B1203" i="6"/>
  <c r="L1203" i="6"/>
  <c r="L1210" i="6"/>
  <c r="C1210" i="6"/>
  <c r="J1210" i="6"/>
  <c r="B1210" i="6"/>
  <c r="D1210" i="6"/>
  <c r="H1210" i="6" s="1"/>
  <c r="I1210" i="6" s="1"/>
  <c r="Q1210" i="6"/>
  <c r="P1210" i="6"/>
  <c r="G1210" i="6"/>
  <c r="F1210" i="6"/>
  <c r="J925" i="6"/>
  <c r="B925" i="6"/>
  <c r="G925" i="6"/>
  <c r="F925" i="6"/>
  <c r="Q925" i="6"/>
  <c r="D925" i="6"/>
  <c r="H925" i="6" s="1"/>
  <c r="I925" i="6" s="1"/>
  <c r="P925" i="6"/>
  <c r="C925" i="6"/>
  <c r="L925" i="6"/>
  <c r="L928" i="6"/>
  <c r="C928" i="6"/>
  <c r="Q928" i="6"/>
  <c r="D928" i="6"/>
  <c r="H928" i="6" s="1"/>
  <c r="I928" i="6" s="1"/>
  <c r="P928" i="6"/>
  <c r="B928" i="6"/>
  <c r="J928" i="6"/>
  <c r="G928" i="6"/>
  <c r="F928" i="6"/>
  <c r="G872" i="6"/>
  <c r="F872" i="6"/>
  <c r="Q872" i="6"/>
  <c r="P872" i="6"/>
  <c r="D872" i="6"/>
  <c r="H872" i="6" s="1"/>
  <c r="I872" i="6" s="1"/>
  <c r="L872" i="6"/>
  <c r="C872" i="6"/>
  <c r="B872" i="6"/>
  <c r="J872" i="6"/>
  <c r="J865" i="6"/>
  <c r="B865" i="6"/>
  <c r="G865" i="6"/>
  <c r="F865" i="6"/>
  <c r="C865" i="6"/>
  <c r="Q865" i="6"/>
  <c r="P865" i="6"/>
  <c r="L865" i="6"/>
  <c r="D865" i="6"/>
  <c r="H865" i="6" s="1"/>
  <c r="I865" i="6" s="1"/>
  <c r="J789" i="6"/>
  <c r="B789" i="6"/>
  <c r="G789" i="6"/>
  <c r="F789" i="6"/>
  <c r="Q789" i="6"/>
  <c r="D789" i="6"/>
  <c r="H789" i="6" s="1"/>
  <c r="I789" i="6" s="1"/>
  <c r="L789" i="6"/>
  <c r="C789" i="6"/>
  <c r="P789" i="6"/>
  <c r="G788" i="6"/>
  <c r="P788" i="6"/>
  <c r="C788" i="6"/>
  <c r="L788" i="6"/>
  <c r="B788" i="6"/>
  <c r="J788" i="6"/>
  <c r="D788" i="6"/>
  <c r="H788" i="6" s="1"/>
  <c r="I788" i="6" s="1"/>
  <c r="Q788" i="6"/>
  <c r="F788" i="6"/>
  <c r="L720" i="6"/>
  <c r="C720" i="6"/>
  <c r="F720" i="6"/>
  <c r="Q720" i="6"/>
  <c r="P720" i="6"/>
  <c r="J720" i="6"/>
  <c r="G720" i="6"/>
  <c r="D720" i="6"/>
  <c r="H720" i="6" s="1"/>
  <c r="I720" i="6" s="1"/>
  <c r="B720" i="6"/>
  <c r="L722" i="6"/>
  <c r="B722" i="6"/>
  <c r="J722" i="6"/>
  <c r="G722" i="6"/>
  <c r="F722" i="6"/>
  <c r="D722" i="6"/>
  <c r="H722" i="6" s="1"/>
  <c r="I722" i="6" s="1"/>
  <c r="C722" i="6"/>
  <c r="Q722" i="6"/>
  <c r="P722" i="6"/>
  <c r="G652" i="6"/>
  <c r="P652" i="6"/>
  <c r="C652" i="6"/>
  <c r="F652" i="6"/>
  <c r="D652" i="6"/>
  <c r="H652" i="6" s="1"/>
  <c r="I652" i="6" s="1"/>
  <c r="Q652" i="6"/>
  <c r="B652" i="6"/>
  <c r="L652" i="6"/>
  <c r="J652" i="6"/>
  <c r="Q654" i="6"/>
  <c r="P654" i="6"/>
  <c r="D654" i="6"/>
  <c r="H654" i="6" s="1"/>
  <c r="I654" i="6" s="1"/>
  <c r="L654" i="6"/>
  <c r="B654" i="6"/>
  <c r="J654" i="6"/>
  <c r="G654" i="6"/>
  <c r="C654" i="6"/>
  <c r="F654" i="6"/>
  <c r="Q595" i="6"/>
  <c r="D595" i="6"/>
  <c r="H595" i="6" s="1"/>
  <c r="I595" i="6" s="1"/>
  <c r="P595" i="6"/>
  <c r="C595" i="6"/>
  <c r="L595" i="6"/>
  <c r="B595" i="6"/>
  <c r="J595" i="6"/>
  <c r="G595" i="6"/>
  <c r="F595" i="6"/>
  <c r="L596" i="6"/>
  <c r="C596" i="6"/>
  <c r="J596" i="6"/>
  <c r="G596" i="6"/>
  <c r="F596" i="6"/>
  <c r="B596" i="6"/>
  <c r="Q596" i="6"/>
  <c r="P596" i="6"/>
  <c r="D596" i="6"/>
  <c r="H596" i="6" s="1"/>
  <c r="I596" i="6" s="1"/>
  <c r="L516" i="6"/>
  <c r="C516" i="6"/>
  <c r="F516" i="6"/>
  <c r="G516" i="6"/>
  <c r="D516" i="6"/>
  <c r="H516" i="6" s="1"/>
  <c r="I516" i="6" s="1"/>
  <c r="Q516" i="6"/>
  <c r="B516" i="6"/>
  <c r="P516" i="6"/>
  <c r="J516" i="6"/>
  <c r="L524" i="6"/>
  <c r="C524" i="6"/>
  <c r="J524" i="6"/>
  <c r="D524" i="6"/>
  <c r="H524" i="6" s="1"/>
  <c r="I524" i="6" s="1"/>
  <c r="Q524" i="6"/>
  <c r="B524" i="6"/>
  <c r="P524" i="6"/>
  <c r="G524" i="6"/>
  <c r="F524" i="6"/>
  <c r="F453" i="6"/>
  <c r="L453" i="6"/>
  <c r="B453" i="6"/>
  <c r="D453" i="6"/>
  <c r="H453" i="6" s="1"/>
  <c r="I453" i="6" s="1"/>
  <c r="Q453" i="6"/>
  <c r="C453" i="6"/>
  <c r="P453" i="6"/>
  <c r="J453" i="6"/>
  <c r="G453" i="6"/>
  <c r="P462" i="6"/>
  <c r="C462" i="6"/>
  <c r="J462" i="6"/>
  <c r="G462" i="6"/>
  <c r="F462" i="6"/>
  <c r="Q462" i="6"/>
  <c r="L462" i="6"/>
  <c r="D462" i="6"/>
  <c r="H462" i="6" s="1"/>
  <c r="I462" i="6" s="1"/>
  <c r="B462" i="6"/>
  <c r="Q390" i="6"/>
  <c r="P390" i="6"/>
  <c r="D390" i="6"/>
  <c r="H390" i="6" s="1"/>
  <c r="I390" i="6" s="1"/>
  <c r="L390" i="6"/>
  <c r="C390" i="6"/>
  <c r="J390" i="6"/>
  <c r="B390" i="6"/>
  <c r="G390" i="6"/>
  <c r="F390" i="6"/>
  <c r="J391" i="6"/>
  <c r="G391" i="6"/>
  <c r="F391" i="6"/>
  <c r="Q391" i="6"/>
  <c r="P391" i="6"/>
  <c r="L391" i="6"/>
  <c r="D391" i="6"/>
  <c r="H391" i="6" s="1"/>
  <c r="I391" i="6" s="1"/>
  <c r="C391" i="6"/>
  <c r="B391" i="6"/>
  <c r="Q326" i="6"/>
  <c r="P326" i="6"/>
  <c r="D326" i="6"/>
  <c r="H326" i="6" s="1"/>
  <c r="I326" i="6" s="1"/>
  <c r="L326" i="6"/>
  <c r="C326" i="6"/>
  <c r="J326" i="6"/>
  <c r="B326" i="6"/>
  <c r="G326" i="6"/>
  <c r="F326" i="6"/>
  <c r="J327" i="6"/>
  <c r="G327" i="6"/>
  <c r="F327" i="6"/>
  <c r="Q327" i="6"/>
  <c r="P327" i="6"/>
  <c r="L327" i="6"/>
  <c r="D327" i="6"/>
  <c r="H327" i="6" s="1"/>
  <c r="I327" i="6" s="1"/>
  <c r="C327" i="6"/>
  <c r="B327" i="6"/>
  <c r="J253" i="6"/>
  <c r="B253" i="6"/>
  <c r="Q253" i="6"/>
  <c r="D253" i="6"/>
  <c r="H253" i="6" s="1"/>
  <c r="I253" i="6" s="1"/>
  <c r="P253" i="6"/>
  <c r="C253" i="6"/>
  <c r="L253" i="6"/>
  <c r="G253" i="6"/>
  <c r="F253" i="6"/>
  <c r="P179" i="6"/>
  <c r="D179" i="6"/>
  <c r="H179" i="6" s="1"/>
  <c r="I179" i="6" s="1"/>
  <c r="F179" i="6"/>
  <c r="Q179" i="6"/>
  <c r="C179" i="6"/>
  <c r="L179" i="6"/>
  <c r="B179" i="6"/>
  <c r="J179" i="6"/>
  <c r="G179" i="6"/>
  <c r="J178" i="6"/>
  <c r="G178" i="6"/>
  <c r="F178" i="6"/>
  <c r="P178" i="6"/>
  <c r="L178" i="6"/>
  <c r="D178" i="6"/>
  <c r="H178" i="6" s="1"/>
  <c r="I178" i="6" s="1"/>
  <c r="C178" i="6"/>
  <c r="B178" i="6"/>
  <c r="Q178" i="6"/>
  <c r="G116" i="6"/>
  <c r="L116" i="6"/>
  <c r="B116" i="6"/>
  <c r="J116" i="6"/>
  <c r="F116" i="6"/>
  <c r="D116" i="6"/>
  <c r="H116" i="6" s="1"/>
  <c r="I116" i="6" s="1"/>
  <c r="C116" i="6"/>
  <c r="Q116" i="6"/>
  <c r="P116" i="6"/>
  <c r="C43" i="6"/>
  <c r="B43" i="6"/>
  <c r="G43" i="6"/>
  <c r="F43" i="6"/>
  <c r="Q43" i="6"/>
  <c r="P43" i="6"/>
  <c r="F1115" i="6"/>
  <c r="Q1115" i="6"/>
  <c r="P1115" i="6"/>
  <c r="D1115" i="6"/>
  <c r="H1115" i="6" s="1"/>
  <c r="I1115" i="6" s="1"/>
  <c r="C1115" i="6"/>
  <c r="B1115" i="6"/>
  <c r="L1115" i="6"/>
  <c r="J1115" i="6"/>
  <c r="G1115" i="6"/>
  <c r="G1116" i="6"/>
  <c r="C1116" i="6"/>
  <c r="Q1116" i="6"/>
  <c r="B1116" i="6"/>
  <c r="P1116" i="6"/>
  <c r="L1116" i="6"/>
  <c r="J1116" i="6"/>
  <c r="F1116" i="6"/>
  <c r="D1116" i="6"/>
  <c r="H1116" i="6" s="1"/>
  <c r="I1116" i="6" s="1"/>
  <c r="Q1104" i="6"/>
  <c r="P1104" i="6"/>
  <c r="D1104" i="6"/>
  <c r="H1104" i="6" s="1"/>
  <c r="I1104" i="6" s="1"/>
  <c r="L1104" i="6"/>
  <c r="C1104" i="6"/>
  <c r="J1104" i="6"/>
  <c r="G1104" i="6"/>
  <c r="F1104" i="6"/>
  <c r="B1104" i="6"/>
  <c r="P1109" i="6"/>
  <c r="D1109" i="6"/>
  <c r="H1109" i="6" s="1"/>
  <c r="I1109" i="6" s="1"/>
  <c r="L1109" i="6"/>
  <c r="C1109" i="6"/>
  <c r="J1109" i="6"/>
  <c r="B1109" i="6"/>
  <c r="G1109" i="6"/>
  <c r="F1109" i="6"/>
  <c r="Q1109" i="6"/>
  <c r="G1076" i="6"/>
  <c r="F1076" i="6"/>
  <c r="Q1076" i="6"/>
  <c r="P1076" i="6"/>
  <c r="D1076" i="6"/>
  <c r="H1076" i="6" s="1"/>
  <c r="I1076" i="6" s="1"/>
  <c r="L1076" i="6"/>
  <c r="C1076" i="6"/>
  <c r="J1076" i="6"/>
  <c r="B1076" i="6"/>
  <c r="P1067" i="6"/>
  <c r="D1067" i="6"/>
  <c r="H1067" i="6" s="1"/>
  <c r="I1067" i="6" s="1"/>
  <c r="J1067" i="6"/>
  <c r="G1067" i="6"/>
  <c r="Q1067" i="6"/>
  <c r="L1067" i="6"/>
  <c r="F1067" i="6"/>
  <c r="B1067" i="6"/>
  <c r="C1067" i="6"/>
  <c r="G372" i="6"/>
  <c r="Q372" i="6"/>
  <c r="D372" i="6"/>
  <c r="H372" i="6" s="1"/>
  <c r="I372" i="6" s="1"/>
  <c r="P372" i="6"/>
  <c r="C372" i="6"/>
  <c r="L372" i="6"/>
  <c r="B372" i="6"/>
  <c r="J372" i="6"/>
  <c r="F372" i="6"/>
  <c r="G378" i="6"/>
  <c r="F378" i="6"/>
  <c r="Q378" i="6"/>
  <c r="D378" i="6"/>
  <c r="H378" i="6" s="1"/>
  <c r="I378" i="6" s="1"/>
  <c r="P378" i="6"/>
  <c r="C378" i="6"/>
  <c r="L378" i="6"/>
  <c r="J378" i="6"/>
  <c r="B378" i="6"/>
  <c r="G71" i="6"/>
  <c r="F71" i="6"/>
  <c r="Q71" i="6"/>
  <c r="P71" i="6"/>
  <c r="C71" i="6"/>
  <c r="B71" i="6"/>
  <c r="B64" i="6"/>
  <c r="G64" i="6"/>
  <c r="F64" i="6"/>
  <c r="Q64" i="6"/>
  <c r="P64" i="6"/>
  <c r="C64" i="6"/>
  <c r="G268" i="6"/>
  <c r="P268" i="6"/>
  <c r="B268" i="6"/>
  <c r="L268" i="6"/>
  <c r="J268" i="6"/>
  <c r="F268" i="6"/>
  <c r="Q268" i="6"/>
  <c r="D268" i="6"/>
  <c r="H268" i="6" s="1"/>
  <c r="I268" i="6" s="1"/>
  <c r="C268" i="6"/>
  <c r="G266" i="6"/>
  <c r="F266" i="6"/>
  <c r="D266" i="6"/>
  <c r="H266" i="6" s="1"/>
  <c r="I266" i="6" s="1"/>
  <c r="Q266" i="6"/>
  <c r="C266" i="6"/>
  <c r="P266" i="6"/>
  <c r="B266" i="6"/>
  <c r="L266" i="6"/>
  <c r="J266" i="6"/>
  <c r="Q150" i="6"/>
  <c r="L150" i="6"/>
  <c r="C150" i="6"/>
  <c r="J150" i="6"/>
  <c r="B150" i="6"/>
  <c r="G150" i="6"/>
  <c r="P150" i="6"/>
  <c r="F150" i="6"/>
  <c r="D150" i="6"/>
  <c r="H150" i="6" s="1"/>
  <c r="I150" i="6" s="1"/>
  <c r="F737" i="6"/>
  <c r="Q737" i="6"/>
  <c r="D737" i="6"/>
  <c r="H737" i="6" s="1"/>
  <c r="I737" i="6" s="1"/>
  <c r="P737" i="6"/>
  <c r="C737" i="6"/>
  <c r="L737" i="6"/>
  <c r="B737" i="6"/>
  <c r="J737" i="6"/>
  <c r="G737" i="6"/>
  <c r="F745" i="6"/>
  <c r="J745" i="6"/>
  <c r="G745" i="6"/>
  <c r="P745" i="6"/>
  <c r="L745" i="6"/>
  <c r="D745" i="6"/>
  <c r="H745" i="6" s="1"/>
  <c r="I745" i="6" s="1"/>
  <c r="C745" i="6"/>
  <c r="Q745" i="6"/>
  <c r="B745" i="6"/>
  <c r="F305" i="6"/>
  <c r="G305" i="6"/>
  <c r="Q305" i="6"/>
  <c r="D305" i="6"/>
  <c r="H305" i="6" s="1"/>
  <c r="I305" i="6" s="1"/>
  <c r="P305" i="6"/>
  <c r="C305" i="6"/>
  <c r="L305" i="6"/>
  <c r="B305" i="6"/>
  <c r="J305" i="6"/>
  <c r="P299" i="6"/>
  <c r="D299" i="6"/>
  <c r="H299" i="6" s="1"/>
  <c r="I299" i="6" s="1"/>
  <c r="Q299" i="6"/>
  <c r="C299" i="6"/>
  <c r="L299" i="6"/>
  <c r="B299" i="6"/>
  <c r="J299" i="6"/>
  <c r="G299" i="6"/>
  <c r="F299" i="6"/>
  <c r="J1519" i="6"/>
  <c r="B1519" i="6"/>
  <c r="G1519" i="6"/>
  <c r="F1519" i="6"/>
  <c r="Q1519" i="6"/>
  <c r="P1519" i="6"/>
  <c r="L1519" i="6"/>
  <c r="D1519" i="6"/>
  <c r="H1519" i="6" s="1"/>
  <c r="I1519" i="6" s="1"/>
  <c r="C1519" i="6"/>
  <c r="F1523" i="6"/>
  <c r="L1523" i="6"/>
  <c r="B1523" i="6"/>
  <c r="J1523" i="6"/>
  <c r="G1523" i="6"/>
  <c r="P1523" i="6"/>
  <c r="D1523" i="6"/>
  <c r="H1523" i="6" s="1"/>
  <c r="I1523" i="6" s="1"/>
  <c r="C1523" i="6"/>
  <c r="Q1523" i="6"/>
  <c r="F28" i="6"/>
  <c r="Q28" i="6"/>
  <c r="P28" i="6"/>
  <c r="C28" i="6"/>
  <c r="B28" i="6"/>
  <c r="G28" i="6"/>
  <c r="Q33" i="6"/>
  <c r="P33" i="6"/>
  <c r="C33" i="6"/>
  <c r="B33" i="6"/>
  <c r="G33" i="6"/>
  <c r="F33" i="6"/>
  <c r="G37" i="6"/>
  <c r="F37" i="6"/>
  <c r="Q37" i="6"/>
  <c r="C37" i="6"/>
  <c r="B37" i="6"/>
  <c r="P37" i="6"/>
  <c r="F885" i="6"/>
  <c r="Q885" i="6"/>
  <c r="P885" i="6"/>
  <c r="D885" i="6"/>
  <c r="H885" i="6" s="1"/>
  <c r="I885" i="6" s="1"/>
  <c r="L885" i="6"/>
  <c r="C885" i="6"/>
  <c r="J885" i="6"/>
  <c r="B885" i="6"/>
  <c r="G885" i="6"/>
  <c r="J873" i="6"/>
  <c r="B873" i="6"/>
  <c r="G873" i="6"/>
  <c r="F873" i="6"/>
  <c r="P873" i="6"/>
  <c r="L873" i="6"/>
  <c r="D873" i="6"/>
  <c r="H873" i="6" s="1"/>
  <c r="I873" i="6" s="1"/>
  <c r="C873" i="6"/>
  <c r="Q873" i="6"/>
  <c r="G843" i="6"/>
  <c r="Q843" i="6"/>
  <c r="P843" i="6"/>
  <c r="D843" i="6"/>
  <c r="H843" i="6" s="1"/>
  <c r="I843" i="6" s="1"/>
  <c r="F843" i="6"/>
  <c r="C843" i="6"/>
  <c r="B843" i="6"/>
  <c r="L843" i="6"/>
  <c r="J843" i="6"/>
  <c r="P842" i="6"/>
  <c r="D842" i="6"/>
  <c r="H842" i="6" s="1"/>
  <c r="I842" i="6" s="1"/>
  <c r="J842" i="6"/>
  <c r="B842" i="6"/>
  <c r="G842" i="6"/>
  <c r="F842" i="6"/>
  <c r="C842" i="6"/>
  <c r="Q842" i="6"/>
  <c r="L842" i="6"/>
  <c r="J601" i="6"/>
  <c r="B601" i="6"/>
  <c r="G601" i="6"/>
  <c r="F601" i="6"/>
  <c r="C601" i="6"/>
  <c r="Q601" i="6"/>
  <c r="P601" i="6"/>
  <c r="D601" i="6"/>
  <c r="H601" i="6" s="1"/>
  <c r="I601" i="6" s="1"/>
  <c r="L601" i="6"/>
  <c r="F605" i="6"/>
  <c r="L605" i="6"/>
  <c r="B605" i="6"/>
  <c r="J605" i="6"/>
  <c r="G605" i="6"/>
  <c r="P605" i="6"/>
  <c r="D605" i="6"/>
  <c r="H605" i="6" s="1"/>
  <c r="I605" i="6" s="1"/>
  <c r="C605" i="6"/>
  <c r="Q605" i="6"/>
  <c r="G576" i="6"/>
  <c r="F576" i="6"/>
  <c r="Q576" i="6"/>
  <c r="D576" i="6"/>
  <c r="H576" i="6" s="1"/>
  <c r="I576" i="6" s="1"/>
  <c r="P576" i="6"/>
  <c r="L576" i="6"/>
  <c r="J576" i="6"/>
  <c r="C576" i="6"/>
  <c r="B576" i="6"/>
  <c r="F581" i="6"/>
  <c r="G581" i="6"/>
  <c r="Q581" i="6"/>
  <c r="D581" i="6"/>
  <c r="H581" i="6" s="1"/>
  <c r="I581" i="6" s="1"/>
  <c r="P581" i="6"/>
  <c r="C581" i="6"/>
  <c r="L581" i="6"/>
  <c r="B581" i="6"/>
  <c r="J581" i="6"/>
  <c r="J577" i="6"/>
  <c r="B577" i="6"/>
  <c r="Q577" i="6"/>
  <c r="D577" i="6"/>
  <c r="H577" i="6" s="1"/>
  <c r="I577" i="6" s="1"/>
  <c r="P577" i="6"/>
  <c r="C577" i="6"/>
  <c r="L577" i="6"/>
  <c r="G577" i="6"/>
  <c r="F577" i="6"/>
  <c r="F1392" i="6"/>
  <c r="G1392" i="6"/>
  <c r="Q1392" i="6"/>
  <c r="D1392" i="6"/>
  <c r="H1392" i="6" s="1"/>
  <c r="I1392" i="6" s="1"/>
  <c r="P1392" i="6"/>
  <c r="C1392" i="6"/>
  <c r="J1392" i="6"/>
  <c r="L1392" i="6"/>
  <c r="B1392" i="6"/>
  <c r="P1386" i="6"/>
  <c r="D1386" i="6"/>
  <c r="H1386" i="6" s="1"/>
  <c r="I1386" i="6" s="1"/>
  <c r="Q1386" i="6"/>
  <c r="C1386" i="6"/>
  <c r="L1386" i="6"/>
  <c r="B1386" i="6"/>
  <c r="J1386" i="6"/>
  <c r="F1386" i="6"/>
  <c r="G1386" i="6"/>
  <c r="Q1393" i="6"/>
  <c r="D1393" i="6"/>
  <c r="H1393" i="6" s="1"/>
  <c r="I1393" i="6" s="1"/>
  <c r="P1393" i="6"/>
  <c r="C1393" i="6"/>
  <c r="L1393" i="6"/>
  <c r="B1393" i="6"/>
  <c r="J1393" i="6"/>
  <c r="G1393" i="6"/>
  <c r="F1393" i="6"/>
  <c r="J465" i="6"/>
  <c r="B465" i="6"/>
  <c r="Q465" i="6"/>
  <c r="C465" i="6"/>
  <c r="P465" i="6"/>
  <c r="L465" i="6"/>
  <c r="G465" i="6"/>
  <c r="D465" i="6"/>
  <c r="H465" i="6" s="1"/>
  <c r="I465" i="6" s="1"/>
  <c r="F465" i="6"/>
  <c r="Q1544" i="6"/>
  <c r="G1544" i="6"/>
  <c r="P1544" i="6"/>
  <c r="B1544" i="6"/>
  <c r="L1544" i="6"/>
  <c r="J1544" i="6"/>
  <c r="F1544" i="6"/>
  <c r="C1544" i="6"/>
  <c r="D1544" i="6"/>
  <c r="H1544" i="6" s="1"/>
  <c r="I1544" i="6" s="1"/>
  <c r="G1540" i="6"/>
  <c r="F1540" i="6"/>
  <c r="Q1540" i="6"/>
  <c r="D1540" i="6"/>
  <c r="H1540" i="6" s="1"/>
  <c r="I1540" i="6" s="1"/>
  <c r="P1540" i="6"/>
  <c r="C1540" i="6"/>
  <c r="L1540" i="6"/>
  <c r="J1540" i="6"/>
  <c r="B1540" i="6"/>
  <c r="Q1184" i="6"/>
  <c r="P1184" i="6"/>
  <c r="D1184" i="6"/>
  <c r="H1184" i="6" s="1"/>
  <c r="I1184" i="6" s="1"/>
  <c r="L1184" i="6"/>
  <c r="C1184" i="6"/>
  <c r="J1184" i="6"/>
  <c r="G1184" i="6"/>
  <c r="F1184" i="6"/>
  <c r="B1184" i="6"/>
  <c r="G1182" i="6"/>
  <c r="F1182" i="6"/>
  <c r="Q1182" i="6"/>
  <c r="P1182" i="6"/>
  <c r="B1182" i="6"/>
  <c r="L1182" i="6"/>
  <c r="J1182" i="6"/>
  <c r="D1182" i="6"/>
  <c r="H1182" i="6" s="1"/>
  <c r="I1182" i="6" s="1"/>
  <c r="C1182" i="6"/>
  <c r="G991" i="6"/>
  <c r="F991" i="6"/>
  <c r="Q991" i="6"/>
  <c r="D991" i="6"/>
  <c r="H991" i="6" s="1"/>
  <c r="I991" i="6" s="1"/>
  <c r="P991" i="6"/>
  <c r="C991" i="6"/>
  <c r="B991" i="6"/>
  <c r="L991" i="6"/>
  <c r="J991" i="6"/>
  <c r="G988" i="6"/>
  <c r="L988" i="6"/>
  <c r="B988" i="6"/>
  <c r="J988" i="6"/>
  <c r="F988" i="6"/>
  <c r="C988" i="6"/>
  <c r="Q988" i="6"/>
  <c r="D988" i="6"/>
  <c r="H988" i="6" s="1"/>
  <c r="I988" i="6" s="1"/>
  <c r="P988" i="6"/>
  <c r="L500" i="6"/>
  <c r="C500" i="6"/>
  <c r="F500" i="6"/>
  <c r="Q500" i="6"/>
  <c r="B500" i="6"/>
  <c r="P500" i="6"/>
  <c r="J500" i="6"/>
  <c r="G500" i="6"/>
  <c r="D500" i="6"/>
  <c r="H500" i="6" s="1"/>
  <c r="I500" i="6" s="1"/>
  <c r="Q174" i="6"/>
  <c r="G174" i="6"/>
  <c r="F174" i="6"/>
  <c r="P174" i="6"/>
  <c r="D174" i="6"/>
  <c r="H174" i="6" s="1"/>
  <c r="I174" i="6" s="1"/>
  <c r="L174" i="6"/>
  <c r="C174" i="6"/>
  <c r="J174" i="6"/>
  <c r="B174" i="6"/>
  <c r="J173" i="6"/>
  <c r="B173" i="6"/>
  <c r="P173" i="6"/>
  <c r="C173" i="6"/>
  <c r="L173" i="6"/>
  <c r="G173" i="6"/>
  <c r="Q173" i="6"/>
  <c r="F173" i="6"/>
  <c r="D173" i="6"/>
  <c r="H173" i="6" s="1"/>
  <c r="I173" i="6" s="1"/>
  <c r="P1299" i="6"/>
  <c r="C1299" i="6"/>
  <c r="D1299" i="6"/>
  <c r="H1299" i="6" s="1"/>
  <c r="I1299" i="6" s="1"/>
  <c r="Q1299" i="6"/>
  <c r="B1299" i="6"/>
  <c r="L1299" i="6"/>
  <c r="J1299" i="6"/>
  <c r="G1299" i="6"/>
  <c r="F1299" i="6"/>
  <c r="J1307" i="6"/>
  <c r="G1307" i="6"/>
  <c r="F1307" i="6"/>
  <c r="D1307" i="6"/>
  <c r="H1307" i="6" s="1"/>
  <c r="I1307" i="6" s="1"/>
  <c r="C1307" i="6"/>
  <c r="Q1307" i="6"/>
  <c r="B1307" i="6"/>
  <c r="P1307" i="6"/>
  <c r="L1307" i="6"/>
  <c r="G1280" i="6"/>
  <c r="F1280" i="6"/>
  <c r="D1280" i="6"/>
  <c r="H1280" i="6" s="1"/>
  <c r="I1280" i="6" s="1"/>
  <c r="Q1280" i="6"/>
  <c r="B1280" i="6"/>
  <c r="P1280" i="6"/>
  <c r="L1280" i="6"/>
  <c r="J1280" i="6"/>
  <c r="C1280" i="6"/>
  <c r="P1271" i="6"/>
  <c r="D1271" i="6"/>
  <c r="H1271" i="6" s="1"/>
  <c r="I1271" i="6" s="1"/>
  <c r="F1271" i="6"/>
  <c r="G1271" i="6"/>
  <c r="C1271" i="6"/>
  <c r="Q1271" i="6"/>
  <c r="B1271" i="6"/>
  <c r="L1271" i="6"/>
  <c r="J1271" i="6"/>
  <c r="G1278" i="6"/>
  <c r="J1278" i="6"/>
  <c r="F1278" i="6"/>
  <c r="D1278" i="6"/>
  <c r="H1278" i="6" s="1"/>
  <c r="I1278" i="6" s="1"/>
  <c r="Q1278" i="6"/>
  <c r="P1278" i="6"/>
  <c r="L1278" i="6"/>
  <c r="C1278" i="6"/>
  <c r="B1278" i="6"/>
  <c r="G440" i="6"/>
  <c r="Q440" i="6"/>
  <c r="C440" i="6"/>
  <c r="P440" i="6"/>
  <c r="B440" i="6"/>
  <c r="L440" i="6"/>
  <c r="J440" i="6"/>
  <c r="F440" i="6"/>
  <c r="D440" i="6"/>
  <c r="H440" i="6" s="1"/>
  <c r="I440" i="6" s="1"/>
  <c r="G438" i="6"/>
  <c r="F438" i="6"/>
  <c r="D438" i="6"/>
  <c r="H438" i="6" s="1"/>
  <c r="I438" i="6" s="1"/>
  <c r="Q438" i="6"/>
  <c r="C438" i="6"/>
  <c r="L438" i="6"/>
  <c r="J438" i="6"/>
  <c r="B438" i="6"/>
  <c r="P438" i="6"/>
  <c r="J349" i="6"/>
  <c r="B349" i="6"/>
  <c r="Q349" i="6"/>
  <c r="D349" i="6"/>
  <c r="H349" i="6" s="1"/>
  <c r="I349" i="6" s="1"/>
  <c r="P349" i="6"/>
  <c r="C349" i="6"/>
  <c r="L349" i="6"/>
  <c r="F349" i="6"/>
  <c r="G349" i="6"/>
  <c r="P354" i="6"/>
  <c r="C354" i="6"/>
  <c r="L354" i="6"/>
  <c r="B354" i="6"/>
  <c r="J354" i="6"/>
  <c r="G354" i="6"/>
  <c r="Q354" i="6"/>
  <c r="F354" i="6"/>
  <c r="D354" i="6"/>
  <c r="H354" i="6" s="1"/>
  <c r="I354" i="6" s="1"/>
  <c r="P227" i="6"/>
  <c r="D227" i="6"/>
  <c r="H227" i="6" s="1"/>
  <c r="I227" i="6" s="1"/>
  <c r="F227" i="6"/>
  <c r="C227" i="6"/>
  <c r="Q227" i="6"/>
  <c r="B227" i="6"/>
  <c r="L227" i="6"/>
  <c r="G227" i="6"/>
  <c r="J227" i="6"/>
  <c r="P243" i="6"/>
  <c r="D243" i="6"/>
  <c r="H243" i="6" s="1"/>
  <c r="I243" i="6" s="1"/>
  <c r="L243" i="6"/>
  <c r="J243" i="6"/>
  <c r="G243" i="6"/>
  <c r="F243" i="6"/>
  <c r="Q243" i="6"/>
  <c r="C243" i="6"/>
  <c r="B243" i="6"/>
  <c r="Q1577" i="6"/>
  <c r="D1577" i="6"/>
  <c r="H1577" i="6" s="1"/>
  <c r="I1577" i="6" s="1"/>
  <c r="P1577" i="6"/>
  <c r="C1577" i="6"/>
  <c r="L1577" i="6"/>
  <c r="B1577" i="6"/>
  <c r="J1577" i="6"/>
  <c r="F1577" i="6"/>
  <c r="G1577" i="6"/>
  <c r="P1580" i="6"/>
  <c r="D1580" i="6"/>
  <c r="H1580" i="6" s="1"/>
  <c r="I1580" i="6" s="1"/>
  <c r="L1580" i="6"/>
  <c r="C1580" i="6"/>
  <c r="J1580" i="6"/>
  <c r="B1580" i="6"/>
  <c r="Q1580" i="6"/>
  <c r="G1580" i="6"/>
  <c r="F1580" i="6"/>
  <c r="L200" i="6"/>
  <c r="C200" i="6"/>
  <c r="Q200" i="6"/>
  <c r="D200" i="6"/>
  <c r="H200" i="6" s="1"/>
  <c r="I200" i="6" s="1"/>
  <c r="P200" i="6"/>
  <c r="B200" i="6"/>
  <c r="J200" i="6"/>
  <c r="G200" i="6"/>
  <c r="F200" i="6"/>
  <c r="J1503" i="6"/>
  <c r="B1503" i="6"/>
  <c r="F1503" i="6"/>
  <c r="Q1503" i="6"/>
  <c r="D1503" i="6"/>
  <c r="H1503" i="6" s="1"/>
  <c r="I1503" i="6" s="1"/>
  <c r="P1503" i="6"/>
  <c r="C1503" i="6"/>
  <c r="G1503" i="6"/>
  <c r="L1503" i="6"/>
  <c r="J1511" i="6"/>
  <c r="Q1511" i="6"/>
  <c r="D1511" i="6"/>
  <c r="H1511" i="6" s="1"/>
  <c r="I1511" i="6" s="1"/>
  <c r="P1511" i="6"/>
  <c r="C1511" i="6"/>
  <c r="L1511" i="6"/>
  <c r="B1511" i="6"/>
  <c r="G1511" i="6"/>
  <c r="F1511" i="6"/>
  <c r="P771" i="6"/>
  <c r="D771" i="6"/>
  <c r="H771" i="6" s="1"/>
  <c r="I771" i="6" s="1"/>
  <c r="G771" i="6"/>
  <c r="F771" i="6"/>
  <c r="Q771" i="6"/>
  <c r="C771" i="6"/>
  <c r="L771" i="6"/>
  <c r="B771" i="6"/>
  <c r="J771" i="6"/>
  <c r="G772" i="6"/>
  <c r="P772" i="6"/>
  <c r="C772" i="6"/>
  <c r="L772" i="6"/>
  <c r="B772" i="6"/>
  <c r="J772" i="6"/>
  <c r="Q772" i="6"/>
  <c r="D772" i="6"/>
  <c r="H772" i="6" s="1"/>
  <c r="I772" i="6" s="1"/>
  <c r="F772" i="6"/>
  <c r="L1465" i="6"/>
  <c r="B1465" i="6"/>
  <c r="G1465" i="6"/>
  <c r="F1465" i="6"/>
  <c r="D1465" i="6"/>
  <c r="H1465" i="6" s="1"/>
  <c r="I1465" i="6" s="1"/>
  <c r="Q1465" i="6"/>
  <c r="P1465" i="6"/>
  <c r="J1465" i="6"/>
  <c r="C1465" i="6"/>
  <c r="P1453" i="6"/>
  <c r="D1453" i="6"/>
  <c r="H1453" i="6" s="1"/>
  <c r="I1453" i="6" s="1"/>
  <c r="L1453" i="6"/>
  <c r="B1453" i="6"/>
  <c r="J1453" i="6"/>
  <c r="G1453" i="6"/>
  <c r="Q1453" i="6"/>
  <c r="F1453" i="6"/>
  <c r="C1453" i="6"/>
  <c r="Q1460" i="6"/>
  <c r="D1460" i="6"/>
  <c r="H1460" i="6" s="1"/>
  <c r="I1460" i="6" s="1"/>
  <c r="C1460" i="6"/>
  <c r="P1460" i="6"/>
  <c r="B1460" i="6"/>
  <c r="L1460" i="6"/>
  <c r="J1460" i="6"/>
  <c r="G1460" i="6"/>
  <c r="F1460" i="6"/>
  <c r="L952" i="6"/>
  <c r="C952" i="6"/>
  <c r="G952" i="6"/>
  <c r="F952" i="6"/>
  <c r="Q952" i="6"/>
  <c r="D952" i="6"/>
  <c r="H952" i="6" s="1"/>
  <c r="I952" i="6" s="1"/>
  <c r="P952" i="6"/>
  <c r="J952" i="6"/>
  <c r="B952" i="6"/>
  <c r="P947" i="6"/>
  <c r="D947" i="6"/>
  <c r="H947" i="6" s="1"/>
  <c r="I947" i="6" s="1"/>
  <c r="J947" i="6"/>
  <c r="G947" i="6"/>
  <c r="F947" i="6"/>
  <c r="B947" i="6"/>
  <c r="Q947" i="6"/>
  <c r="L947" i="6"/>
  <c r="C947" i="6"/>
  <c r="L920" i="6"/>
  <c r="C920" i="6"/>
  <c r="G920" i="6"/>
  <c r="F920" i="6"/>
  <c r="Q920" i="6"/>
  <c r="D920" i="6"/>
  <c r="H920" i="6" s="1"/>
  <c r="I920" i="6" s="1"/>
  <c r="J920" i="6"/>
  <c r="B920" i="6"/>
  <c r="P920" i="6"/>
  <c r="P919" i="6"/>
  <c r="C919" i="6"/>
  <c r="L919" i="6"/>
  <c r="B919" i="6"/>
  <c r="J919" i="6"/>
  <c r="G919" i="6"/>
  <c r="D919" i="6"/>
  <c r="H919" i="6" s="1"/>
  <c r="I919" i="6" s="1"/>
  <c r="Q919" i="6"/>
  <c r="F919" i="6"/>
  <c r="J685" i="6"/>
  <c r="B685" i="6"/>
  <c r="G685" i="6"/>
  <c r="F685" i="6"/>
  <c r="D685" i="6"/>
  <c r="H685" i="6" s="1"/>
  <c r="I685" i="6" s="1"/>
  <c r="Q685" i="6"/>
  <c r="C685" i="6"/>
  <c r="P685" i="6"/>
  <c r="L685" i="6"/>
  <c r="L672" i="6"/>
  <c r="C672" i="6"/>
  <c r="P672" i="6"/>
  <c r="B672" i="6"/>
  <c r="J672" i="6"/>
  <c r="G672" i="6"/>
  <c r="Q672" i="6"/>
  <c r="F672" i="6"/>
  <c r="D672" i="6"/>
  <c r="H672" i="6" s="1"/>
  <c r="I672" i="6" s="1"/>
  <c r="J645" i="6"/>
  <c r="B645" i="6"/>
  <c r="Q645" i="6"/>
  <c r="D645" i="6"/>
  <c r="H645" i="6" s="1"/>
  <c r="I645" i="6" s="1"/>
  <c r="G645" i="6"/>
  <c r="F645" i="6"/>
  <c r="C645" i="6"/>
  <c r="P645" i="6"/>
  <c r="L645" i="6"/>
  <c r="F641" i="6"/>
  <c r="J641" i="6"/>
  <c r="G641" i="6"/>
  <c r="D641" i="6"/>
  <c r="H641" i="6" s="1"/>
  <c r="I641" i="6" s="1"/>
  <c r="Q641" i="6"/>
  <c r="C641" i="6"/>
  <c r="P641" i="6"/>
  <c r="B641" i="6"/>
  <c r="L641" i="6"/>
  <c r="F401" i="6"/>
  <c r="G401" i="6"/>
  <c r="Q401" i="6"/>
  <c r="D401" i="6"/>
  <c r="H401" i="6" s="1"/>
  <c r="I401" i="6" s="1"/>
  <c r="P401" i="6"/>
  <c r="C401" i="6"/>
  <c r="L401" i="6"/>
  <c r="B401" i="6"/>
  <c r="J401" i="6"/>
  <c r="P407" i="6"/>
  <c r="D407" i="6"/>
  <c r="H407" i="6" s="1"/>
  <c r="I407" i="6" s="1"/>
  <c r="Q407" i="6"/>
  <c r="C407" i="6"/>
  <c r="F407" i="6"/>
  <c r="B407" i="6"/>
  <c r="L407" i="6"/>
  <c r="J407" i="6"/>
  <c r="G407" i="6"/>
  <c r="G406" i="6"/>
  <c r="F406" i="6"/>
  <c r="D406" i="6"/>
  <c r="H406" i="6" s="1"/>
  <c r="I406" i="6" s="1"/>
  <c r="Q406" i="6"/>
  <c r="C406" i="6"/>
  <c r="P406" i="6"/>
  <c r="L406" i="6"/>
  <c r="J406" i="6"/>
  <c r="B406" i="6"/>
  <c r="J125" i="6"/>
  <c r="B125" i="6"/>
  <c r="P125" i="6"/>
  <c r="C125" i="6"/>
  <c r="L125" i="6"/>
  <c r="G125" i="6"/>
  <c r="Q125" i="6"/>
  <c r="F125" i="6"/>
  <c r="D125" i="6"/>
  <c r="H125" i="6" s="1"/>
  <c r="I125" i="6" s="1"/>
  <c r="G74" i="6"/>
  <c r="F74" i="6"/>
  <c r="Q74" i="6"/>
  <c r="P74" i="6"/>
  <c r="D74" i="6"/>
  <c r="H74" i="6" s="1"/>
  <c r="I74" i="6" s="1"/>
  <c r="L74" i="6"/>
  <c r="J74" i="6"/>
  <c r="C74" i="6"/>
  <c r="B74" i="6"/>
  <c r="L88" i="6"/>
  <c r="C88" i="6"/>
  <c r="Q88" i="6"/>
  <c r="D88" i="6"/>
  <c r="H88" i="6" s="1"/>
  <c r="I88" i="6" s="1"/>
  <c r="P88" i="6"/>
  <c r="B88" i="6"/>
  <c r="J88" i="6"/>
  <c r="G88" i="6"/>
  <c r="F88" i="6"/>
  <c r="F1648" i="6"/>
  <c r="G1648" i="6"/>
  <c r="D1648" i="6"/>
  <c r="H1648" i="6" s="1"/>
  <c r="I1648" i="6" s="1"/>
  <c r="C1648" i="6"/>
  <c r="B1648" i="6"/>
  <c r="Q1648" i="6"/>
  <c r="P1648" i="6"/>
  <c r="J1648" i="6"/>
  <c r="L1648" i="6"/>
  <c r="G1643" i="6"/>
  <c r="L1643" i="6"/>
  <c r="B1643" i="6"/>
  <c r="J1643" i="6"/>
  <c r="D1643" i="6"/>
  <c r="H1643" i="6" s="1"/>
  <c r="I1643" i="6" s="1"/>
  <c r="C1643" i="6"/>
  <c r="Q1643" i="6"/>
  <c r="P1643" i="6"/>
  <c r="F1643" i="6"/>
  <c r="L1606" i="6"/>
  <c r="C1606" i="6"/>
  <c r="Q1606" i="6"/>
  <c r="D1606" i="6"/>
  <c r="H1606" i="6" s="1"/>
  <c r="I1606" i="6" s="1"/>
  <c r="P1606" i="6"/>
  <c r="B1606" i="6"/>
  <c r="J1606" i="6"/>
  <c r="G1606" i="6"/>
  <c r="F1606" i="6"/>
  <c r="J1615" i="6"/>
  <c r="G1615" i="6"/>
  <c r="F1615" i="6"/>
  <c r="B1615" i="6"/>
  <c r="Q1615" i="6"/>
  <c r="P1615" i="6"/>
  <c r="L1615" i="6"/>
  <c r="D1615" i="6"/>
  <c r="H1615" i="6" s="1"/>
  <c r="I1615" i="6" s="1"/>
  <c r="C1615" i="6"/>
  <c r="G1343" i="6"/>
  <c r="F1343" i="6"/>
  <c r="Q1343" i="6"/>
  <c r="P1343" i="6"/>
  <c r="D1343" i="6"/>
  <c r="H1343" i="6" s="1"/>
  <c r="I1343" i="6" s="1"/>
  <c r="J1343" i="6"/>
  <c r="C1343" i="6"/>
  <c r="B1343" i="6"/>
  <c r="L1343" i="6"/>
  <c r="P1339" i="6"/>
  <c r="D1339" i="6"/>
  <c r="H1339" i="6" s="1"/>
  <c r="I1339" i="6" s="1"/>
  <c r="L1339" i="6"/>
  <c r="C1339" i="6"/>
  <c r="J1339" i="6"/>
  <c r="B1339" i="6"/>
  <c r="F1339" i="6"/>
  <c r="G1339" i="6"/>
  <c r="Q1339" i="6"/>
  <c r="L1040" i="6"/>
  <c r="C1040" i="6"/>
  <c r="G1040" i="6"/>
  <c r="F1040" i="6"/>
  <c r="Q1040" i="6"/>
  <c r="D1040" i="6"/>
  <c r="H1040" i="6" s="1"/>
  <c r="I1040" i="6" s="1"/>
  <c r="P1040" i="6"/>
  <c r="B1040" i="6"/>
  <c r="J1040" i="6"/>
  <c r="L1039" i="6"/>
  <c r="J1039" i="6"/>
  <c r="G1039" i="6"/>
  <c r="F1039" i="6"/>
  <c r="Q1039" i="6"/>
  <c r="P1039" i="6"/>
  <c r="D1039" i="6"/>
  <c r="H1039" i="6" s="1"/>
  <c r="I1039" i="6" s="1"/>
  <c r="C1039" i="6"/>
  <c r="B1039" i="6"/>
  <c r="F1001" i="6"/>
  <c r="Q1001" i="6"/>
  <c r="D1001" i="6"/>
  <c r="H1001" i="6" s="1"/>
  <c r="I1001" i="6" s="1"/>
  <c r="P1001" i="6"/>
  <c r="C1001" i="6"/>
  <c r="L1001" i="6"/>
  <c r="B1001" i="6"/>
  <c r="J1001" i="6"/>
  <c r="G1001" i="6"/>
  <c r="Q994" i="6"/>
  <c r="D994" i="6"/>
  <c r="H994" i="6" s="1"/>
  <c r="I994" i="6" s="1"/>
  <c r="P994" i="6"/>
  <c r="C994" i="6"/>
  <c r="L994" i="6"/>
  <c r="B994" i="6"/>
  <c r="J994" i="6"/>
  <c r="G994" i="6"/>
  <c r="F994" i="6"/>
  <c r="P1402" i="6"/>
  <c r="D1402" i="6"/>
  <c r="H1402" i="6" s="1"/>
  <c r="I1402" i="6" s="1"/>
  <c r="Q1402" i="6"/>
  <c r="C1402" i="6"/>
  <c r="L1402" i="6"/>
  <c r="B1402" i="6"/>
  <c r="J1402" i="6"/>
  <c r="G1402" i="6"/>
  <c r="F1402" i="6"/>
  <c r="J1409" i="6"/>
  <c r="B1409" i="6"/>
  <c r="P1409" i="6"/>
  <c r="L1409" i="6"/>
  <c r="G1409" i="6"/>
  <c r="F1409" i="6"/>
  <c r="D1409" i="6"/>
  <c r="H1409" i="6" s="1"/>
  <c r="I1409" i="6" s="1"/>
  <c r="C1409" i="6"/>
  <c r="Q1409" i="6"/>
  <c r="L344" i="6"/>
  <c r="C344" i="6"/>
  <c r="F344" i="6"/>
  <c r="Q344" i="6"/>
  <c r="D344" i="6"/>
  <c r="H344" i="6" s="1"/>
  <c r="I344" i="6" s="1"/>
  <c r="P344" i="6"/>
  <c r="B344" i="6"/>
  <c r="J344" i="6"/>
  <c r="G344" i="6"/>
  <c r="J343" i="6"/>
  <c r="G343" i="6"/>
  <c r="F343" i="6"/>
  <c r="Q343" i="6"/>
  <c r="P343" i="6"/>
  <c r="L343" i="6"/>
  <c r="D343" i="6"/>
  <c r="H343" i="6" s="1"/>
  <c r="I343" i="6" s="1"/>
  <c r="C343" i="6"/>
  <c r="B343" i="6"/>
  <c r="Q214" i="6"/>
  <c r="L214" i="6"/>
  <c r="C214" i="6"/>
  <c r="J214" i="6"/>
  <c r="B214" i="6"/>
  <c r="G214" i="6"/>
  <c r="P214" i="6"/>
  <c r="F214" i="6"/>
  <c r="D214" i="6"/>
  <c r="H214" i="6" s="1"/>
  <c r="I214" i="6" s="1"/>
  <c r="L224" i="6"/>
  <c r="C224" i="6"/>
  <c r="J224" i="6"/>
  <c r="D224" i="6"/>
  <c r="H224" i="6" s="1"/>
  <c r="I224" i="6" s="1"/>
  <c r="Q224" i="6"/>
  <c r="B224" i="6"/>
  <c r="P224" i="6"/>
  <c r="G224" i="6"/>
  <c r="F224" i="6"/>
  <c r="P95" i="6"/>
  <c r="C95" i="6"/>
  <c r="L95" i="6"/>
  <c r="B95" i="6"/>
  <c r="J95" i="6"/>
  <c r="G95" i="6"/>
  <c r="D95" i="6"/>
  <c r="H95" i="6" s="1"/>
  <c r="I95" i="6" s="1"/>
  <c r="Q95" i="6"/>
  <c r="F95" i="6"/>
  <c r="Q106" i="6"/>
  <c r="D106" i="6"/>
  <c r="H106" i="6" s="1"/>
  <c r="I106" i="6" s="1"/>
  <c r="P106" i="6"/>
  <c r="C106" i="6"/>
  <c r="L106" i="6"/>
  <c r="B106" i="6"/>
  <c r="J106" i="6"/>
  <c r="G106" i="6"/>
  <c r="F106" i="6"/>
  <c r="P707" i="6"/>
  <c r="D707" i="6"/>
  <c r="H707" i="6" s="1"/>
  <c r="I707" i="6" s="1"/>
  <c r="F707" i="6"/>
  <c r="Q707" i="6"/>
  <c r="C707" i="6"/>
  <c r="L707" i="6"/>
  <c r="B707" i="6"/>
  <c r="G707" i="6"/>
  <c r="J707" i="6"/>
  <c r="L712" i="6"/>
  <c r="C712" i="6"/>
  <c r="Q712" i="6"/>
  <c r="D712" i="6"/>
  <c r="H712" i="6" s="1"/>
  <c r="I712" i="6" s="1"/>
  <c r="J712" i="6"/>
  <c r="B712" i="6"/>
  <c r="P712" i="6"/>
  <c r="G712" i="6"/>
  <c r="F712" i="6"/>
  <c r="G1233" i="6"/>
  <c r="F1233" i="6"/>
  <c r="L1233" i="6"/>
  <c r="J1233" i="6"/>
  <c r="D1233" i="6"/>
  <c r="H1233" i="6" s="1"/>
  <c r="I1233" i="6" s="1"/>
  <c r="P1233" i="6"/>
  <c r="C1233" i="6"/>
  <c r="B1233" i="6"/>
  <c r="Q1233" i="6"/>
  <c r="P1239" i="6"/>
  <c r="D1239" i="6"/>
  <c r="H1239" i="6" s="1"/>
  <c r="I1239" i="6" s="1"/>
  <c r="Q1239" i="6"/>
  <c r="C1239" i="6"/>
  <c r="L1239" i="6"/>
  <c r="B1239" i="6"/>
  <c r="J1239" i="6"/>
  <c r="G1239" i="6"/>
  <c r="F1239" i="6"/>
  <c r="L1665" i="6"/>
  <c r="C1665" i="6"/>
  <c r="D1665" i="6"/>
  <c r="H1665" i="6" s="1"/>
  <c r="I1665" i="6" s="1"/>
  <c r="P1665" i="6"/>
  <c r="J1665" i="6"/>
  <c r="G1665" i="6"/>
  <c r="F1665" i="6"/>
  <c r="Q1665" i="6"/>
  <c r="B1665" i="6"/>
  <c r="Q1656" i="6"/>
  <c r="F1656" i="6"/>
  <c r="P1656" i="6"/>
  <c r="B1656" i="6"/>
  <c r="L1656" i="6"/>
  <c r="J1656" i="6"/>
  <c r="G1656" i="6"/>
  <c r="D1656" i="6"/>
  <c r="H1656" i="6" s="1"/>
  <c r="I1656" i="6" s="1"/>
  <c r="C1656" i="6"/>
  <c r="L816" i="6"/>
  <c r="C816" i="6"/>
  <c r="G816" i="6"/>
  <c r="F816" i="6"/>
  <c r="Q816" i="6"/>
  <c r="P816" i="6"/>
  <c r="J816" i="6"/>
  <c r="D816" i="6"/>
  <c r="H816" i="6" s="1"/>
  <c r="I816" i="6" s="1"/>
  <c r="B816" i="6"/>
  <c r="Q815" i="6"/>
  <c r="D815" i="6"/>
  <c r="H815" i="6" s="1"/>
  <c r="I815" i="6" s="1"/>
  <c r="P815" i="6"/>
  <c r="C815" i="6"/>
  <c r="L815" i="6"/>
  <c r="B815" i="6"/>
  <c r="J815" i="6"/>
  <c r="G815" i="6"/>
  <c r="F815" i="6"/>
  <c r="Q547" i="6"/>
  <c r="D547" i="6"/>
  <c r="H547" i="6" s="1"/>
  <c r="I547" i="6" s="1"/>
  <c r="P547" i="6"/>
  <c r="C547" i="6"/>
  <c r="L547" i="6"/>
  <c r="B547" i="6"/>
  <c r="J547" i="6"/>
  <c r="G547" i="6"/>
  <c r="F547" i="6"/>
  <c r="P534" i="6"/>
  <c r="C534" i="6"/>
  <c r="L534" i="6"/>
  <c r="B534" i="6"/>
  <c r="J534" i="6"/>
  <c r="G534" i="6"/>
  <c r="Q534" i="6"/>
  <c r="F534" i="6"/>
  <c r="D534" i="6"/>
  <c r="H534" i="6" s="1"/>
  <c r="I534" i="6" s="1"/>
  <c r="Q278" i="6"/>
  <c r="P278" i="6"/>
  <c r="D278" i="6"/>
  <c r="H278" i="6" s="1"/>
  <c r="I278" i="6" s="1"/>
  <c r="G278" i="6"/>
  <c r="F278" i="6"/>
  <c r="C278" i="6"/>
  <c r="L278" i="6"/>
  <c r="B278" i="6"/>
  <c r="J278" i="6"/>
  <c r="G292" i="6"/>
  <c r="Q292" i="6"/>
  <c r="D292" i="6"/>
  <c r="H292" i="6" s="1"/>
  <c r="I292" i="6" s="1"/>
  <c r="P292" i="6"/>
  <c r="C292" i="6"/>
  <c r="L292" i="6"/>
  <c r="B292" i="6"/>
  <c r="J292" i="6"/>
  <c r="F292" i="6"/>
  <c r="Y2" i="4" l="1"/>
  <c r="Z2" i="4" s="1"/>
  <c r="B45" i="5" s="1"/>
  <c r="C20" i="5" s="1"/>
  <c r="B46" i="5"/>
  <c r="B21" i="5" s="1"/>
  <c r="E21" i="5" s="1"/>
  <c r="D52" i="6"/>
  <c r="Z5" i="4"/>
  <c r="X5" i="4"/>
  <c r="W5" i="4" s="1"/>
  <c r="U5" i="4" s="1"/>
  <c r="T5" i="4" s="1"/>
  <c r="V5" i="4"/>
  <c r="H52" i="6"/>
  <c r="I52" i="6" s="1"/>
  <c r="J52" i="6" s="1"/>
  <c r="L52" i="6" s="1"/>
  <c r="H40" i="6"/>
  <c r="I40" i="6" s="1"/>
  <c r="J40" i="6" s="1"/>
  <c r="L40" i="6" s="1"/>
  <c r="D53" i="6"/>
  <c r="H53" i="6" s="1"/>
  <c r="I53" i="6" s="1"/>
  <c r="J53" i="6" s="1"/>
  <c r="L53" i="6" s="1"/>
  <c r="D42" i="6"/>
  <c r="H42" i="6" s="1"/>
  <c r="I42" i="6" s="1"/>
  <c r="J42" i="6" s="1"/>
  <c r="L42" i="6" s="1"/>
  <c r="B33" i="5"/>
  <c r="C12" i="5" s="1"/>
  <c r="E12" i="5" s="1"/>
  <c r="D44" i="6"/>
  <c r="H44" i="6" s="1"/>
  <c r="I44" i="6" s="1"/>
  <c r="J44" i="6" s="1"/>
  <c r="L44" i="6" s="1"/>
  <c r="D55" i="6"/>
  <c r="H55" i="6" s="1"/>
  <c r="I55" i="6" s="1"/>
  <c r="J55" i="6" s="1"/>
  <c r="L55" i="6" s="1"/>
  <c r="D47" i="6"/>
  <c r="H47" i="6" s="1"/>
  <c r="I47" i="6" s="1"/>
  <c r="J47" i="6" s="1"/>
  <c r="L47" i="6" s="1"/>
  <c r="D56" i="6"/>
  <c r="H56" i="6" s="1"/>
  <c r="I56" i="6" s="1"/>
  <c r="J56" i="6" s="1"/>
  <c r="L56" i="6" s="1"/>
  <c r="D46" i="6"/>
  <c r="H46" i="6" s="1"/>
  <c r="I46" i="6" s="1"/>
  <c r="J46" i="6" s="1"/>
  <c r="L46" i="6" s="1"/>
  <c r="D51" i="6"/>
  <c r="H51" i="6" s="1"/>
  <c r="I51" i="6" s="1"/>
  <c r="J51" i="6" s="1"/>
  <c r="L51" i="6" s="1"/>
  <c r="D41" i="6"/>
  <c r="H41" i="6" s="1"/>
  <c r="I41" i="6" s="1"/>
  <c r="J41" i="6" s="1"/>
  <c r="L41" i="6" s="1"/>
  <c r="D49" i="6"/>
  <c r="H49" i="6" s="1"/>
  <c r="I49" i="6" s="1"/>
  <c r="J49" i="6" s="1"/>
  <c r="L49" i="6" s="1"/>
  <c r="D45" i="6"/>
  <c r="H45" i="6" s="1"/>
  <c r="I45" i="6" s="1"/>
  <c r="J45" i="6" s="1"/>
  <c r="L45" i="6" s="1"/>
  <c r="D43" i="6"/>
  <c r="H43" i="6" s="1"/>
  <c r="I43" i="6" s="1"/>
  <c r="J43" i="6" s="1"/>
  <c r="L43" i="6" s="1"/>
  <c r="D48" i="6"/>
  <c r="H48" i="6" s="1"/>
  <c r="I48" i="6" s="1"/>
  <c r="J48" i="6" s="1"/>
  <c r="L48" i="6" s="1"/>
  <c r="D54" i="6"/>
  <c r="H54" i="6" s="1"/>
  <c r="I54" i="6" s="1"/>
  <c r="J54" i="6" s="1"/>
  <c r="L54" i="6" s="1"/>
  <c r="D50" i="6"/>
  <c r="H50" i="6" s="1"/>
  <c r="I50" i="6" s="1"/>
  <c r="J50" i="6" s="1"/>
  <c r="L50" i="6" s="1"/>
  <c r="B44" i="5" l="1"/>
  <c r="B20" i="5" s="1"/>
  <c r="V2" i="4"/>
  <c r="B41" i="5" s="1"/>
  <c r="X2" i="4"/>
  <c r="S5" i="4"/>
  <c r="D66" i="6"/>
  <c r="H66" i="6" s="1"/>
  <c r="I66" i="6" s="1"/>
  <c r="J66" i="6" s="1"/>
  <c r="L66" i="6" s="1"/>
  <c r="D65" i="6"/>
  <c r="H65" i="6" s="1"/>
  <c r="I65" i="6" s="1"/>
  <c r="J65" i="6" s="1"/>
  <c r="L65" i="6" s="1"/>
  <c r="D60" i="6"/>
  <c r="H60" i="6" s="1"/>
  <c r="I60" i="6" s="1"/>
  <c r="J60" i="6" s="1"/>
  <c r="L60" i="6" s="1"/>
  <c r="D59" i="6"/>
  <c r="H59" i="6" s="1"/>
  <c r="I59" i="6" s="1"/>
  <c r="J59" i="6" s="1"/>
  <c r="L59" i="6" s="1"/>
  <c r="D72" i="6"/>
  <c r="H72" i="6" s="1"/>
  <c r="I72" i="6" s="1"/>
  <c r="J72" i="6" s="1"/>
  <c r="L72" i="6" s="1"/>
  <c r="D68" i="6"/>
  <c r="H68" i="6" s="1"/>
  <c r="I68" i="6" s="1"/>
  <c r="J68" i="6" s="1"/>
  <c r="L68" i="6" s="1"/>
  <c r="D71" i="6"/>
  <c r="H71" i="6" s="1"/>
  <c r="I71" i="6" s="1"/>
  <c r="J71" i="6" s="1"/>
  <c r="L71" i="6" s="1"/>
  <c r="D58" i="6"/>
  <c r="H58" i="6" s="1"/>
  <c r="I58" i="6" s="1"/>
  <c r="J58" i="6" s="1"/>
  <c r="L58" i="6" s="1"/>
  <c r="D57" i="6"/>
  <c r="H57" i="6" s="1"/>
  <c r="I57" i="6" s="1"/>
  <c r="J57" i="6" s="1"/>
  <c r="L57" i="6" s="1"/>
  <c r="D73" i="6"/>
  <c r="H73" i="6" s="1"/>
  <c r="I73" i="6" s="1"/>
  <c r="J73" i="6" s="1"/>
  <c r="L73" i="6" s="1"/>
  <c r="D62" i="6"/>
  <c r="H62" i="6" s="1"/>
  <c r="I62" i="6" s="1"/>
  <c r="J62" i="6" s="1"/>
  <c r="L62" i="6" s="1"/>
  <c r="D69" i="6"/>
  <c r="H69" i="6" s="1"/>
  <c r="I69" i="6" s="1"/>
  <c r="J69" i="6" s="1"/>
  <c r="L69" i="6" s="1"/>
  <c r="D70" i="6"/>
  <c r="H70" i="6" s="1"/>
  <c r="I70" i="6" s="1"/>
  <c r="J70" i="6" s="1"/>
  <c r="L70" i="6" s="1"/>
  <c r="D61" i="6"/>
  <c r="H61" i="6" s="1"/>
  <c r="I61" i="6" s="1"/>
  <c r="J61" i="6" s="1"/>
  <c r="L61" i="6" s="1"/>
  <c r="D63" i="6"/>
  <c r="H63" i="6" s="1"/>
  <c r="I63" i="6" s="1"/>
  <c r="J63" i="6" s="1"/>
  <c r="L63" i="6" s="1"/>
  <c r="D64" i="6"/>
  <c r="H64" i="6" s="1"/>
  <c r="I64" i="6" s="1"/>
  <c r="J64" i="6" s="1"/>
  <c r="L64" i="6" s="1"/>
  <c r="D67" i="6"/>
  <c r="H67" i="6" s="1"/>
  <c r="I67" i="6" s="1"/>
  <c r="J67" i="6" s="1"/>
  <c r="L67" i="6" s="1"/>
  <c r="E20" i="5"/>
  <c r="C18" i="5"/>
  <c r="B18" i="5"/>
  <c r="W2" i="4"/>
  <c r="B43" i="5"/>
  <c r="C19" i="5" s="1"/>
  <c r="R5" i="4" l="1"/>
  <c r="Q5" i="4"/>
  <c r="P5" i="4" s="1"/>
  <c r="O5" i="4" s="1"/>
  <c r="E18" i="5"/>
  <c r="U2" i="4"/>
  <c r="B42" i="5"/>
  <c r="B19" i="5" s="1"/>
  <c r="E19" i="5" s="1"/>
  <c r="D38" i="6"/>
  <c r="H38" i="6" s="1"/>
  <c r="I38" i="6" s="1"/>
  <c r="J38" i="6" s="1"/>
  <c r="L38" i="6" s="1"/>
  <c r="D25" i="6"/>
  <c r="H25" i="6" s="1"/>
  <c r="I25" i="6" s="1"/>
  <c r="J25" i="6" s="1"/>
  <c r="L25" i="6" s="1"/>
  <c r="D26" i="6"/>
  <c r="H26" i="6" s="1"/>
  <c r="I26" i="6" s="1"/>
  <c r="J26" i="6" s="1"/>
  <c r="L26" i="6" s="1"/>
  <c r="D34" i="6"/>
  <c r="H34" i="6" s="1"/>
  <c r="I34" i="6" s="1"/>
  <c r="J34" i="6" s="1"/>
  <c r="L34" i="6" s="1"/>
  <c r="D37" i="6"/>
  <c r="H37" i="6" s="1"/>
  <c r="I37" i="6" s="1"/>
  <c r="J37" i="6" s="1"/>
  <c r="L37" i="6" s="1"/>
  <c r="D35" i="6"/>
  <c r="H35" i="6" s="1"/>
  <c r="I35" i="6" s="1"/>
  <c r="J35" i="6" s="1"/>
  <c r="L35" i="6" s="1"/>
  <c r="D27" i="6"/>
  <c r="H27" i="6" s="1"/>
  <c r="I27" i="6" s="1"/>
  <c r="J27" i="6" s="1"/>
  <c r="L27" i="6" s="1"/>
  <c r="D32" i="6"/>
  <c r="H32" i="6" s="1"/>
  <c r="I32" i="6" s="1"/>
  <c r="J32" i="6" s="1"/>
  <c r="L32" i="6" s="1"/>
  <c r="D28" i="6"/>
  <c r="H28" i="6" s="1"/>
  <c r="I28" i="6" s="1"/>
  <c r="J28" i="6" s="1"/>
  <c r="L28" i="6" s="1"/>
  <c r="D33" i="6"/>
  <c r="H33" i="6" s="1"/>
  <c r="I33" i="6" s="1"/>
  <c r="J33" i="6" s="1"/>
  <c r="L33" i="6" s="1"/>
  <c r="D36" i="6"/>
  <c r="H36" i="6" s="1"/>
  <c r="I36" i="6" s="1"/>
  <c r="J36" i="6" s="1"/>
  <c r="L36" i="6" s="1"/>
  <c r="D29" i="6"/>
  <c r="H29" i="6" s="1"/>
  <c r="I29" i="6" s="1"/>
  <c r="J29" i="6" s="1"/>
  <c r="L29" i="6" s="1"/>
  <c r="D31" i="6"/>
  <c r="H31" i="6" s="1"/>
  <c r="I31" i="6" s="1"/>
  <c r="J31" i="6" s="1"/>
  <c r="L31" i="6" s="1"/>
  <c r="D24" i="6"/>
  <c r="H24" i="6" s="1"/>
  <c r="I24" i="6" s="1"/>
  <c r="J24" i="6" s="1"/>
  <c r="L24" i="6" s="1"/>
  <c r="D39" i="6"/>
  <c r="H39" i="6" s="1"/>
  <c r="I39" i="6" s="1"/>
  <c r="J39" i="6" s="1"/>
  <c r="L39" i="6" s="1"/>
  <c r="D30" i="6"/>
  <c r="H30" i="6" s="1"/>
  <c r="I30" i="6" s="1"/>
  <c r="J30" i="6" s="1"/>
  <c r="L30" i="6" s="1"/>
  <c r="D23" i="6"/>
  <c r="H23" i="6" s="1"/>
  <c r="I23" i="6" s="1"/>
  <c r="J23" i="6" s="1"/>
  <c r="L23" i="6" s="1"/>
  <c r="T2" i="4" l="1"/>
  <c r="B40" i="5"/>
  <c r="C17" i="5" s="1"/>
  <c r="Q2" i="3" l="1"/>
  <c r="T4" i="2"/>
  <c r="B39" i="5"/>
  <c r="K6" i="5"/>
  <c r="S2" i="4"/>
  <c r="D6" i="6"/>
  <c r="H6" i="6" s="1"/>
  <c r="I6" i="6" s="1"/>
  <c r="J6" i="6" s="1"/>
  <c r="D8" i="6"/>
  <c r="H8" i="6" s="1"/>
  <c r="I8" i="6" s="1"/>
  <c r="J8" i="6" s="1"/>
  <c r="L8" i="6" s="1"/>
  <c r="D10" i="6"/>
  <c r="H10" i="6" s="1"/>
  <c r="I10" i="6" s="1"/>
  <c r="J10" i="6" s="1"/>
  <c r="L10" i="6" s="1"/>
  <c r="D13" i="6"/>
  <c r="H13" i="6" s="1"/>
  <c r="I13" i="6" s="1"/>
  <c r="J13" i="6" s="1"/>
  <c r="L13" i="6" s="1"/>
  <c r="D18" i="6"/>
  <c r="H18" i="6" s="1"/>
  <c r="I18" i="6" s="1"/>
  <c r="J18" i="6" s="1"/>
  <c r="L18" i="6" s="1"/>
  <c r="D20" i="6"/>
  <c r="H20" i="6" s="1"/>
  <c r="I20" i="6" s="1"/>
  <c r="J20" i="6" s="1"/>
  <c r="L20" i="6" s="1"/>
  <c r="D17" i="6"/>
  <c r="H17" i="6" s="1"/>
  <c r="I17" i="6" s="1"/>
  <c r="J17" i="6" s="1"/>
  <c r="L17" i="6" s="1"/>
  <c r="D9" i="6"/>
  <c r="H9" i="6" s="1"/>
  <c r="I9" i="6" s="1"/>
  <c r="J9" i="6" s="1"/>
  <c r="L9" i="6" s="1"/>
  <c r="D21" i="6"/>
  <c r="H21" i="6" s="1"/>
  <c r="I21" i="6" s="1"/>
  <c r="J21" i="6" s="1"/>
  <c r="L21" i="6" s="1"/>
  <c r="D16" i="6"/>
  <c r="H16" i="6" s="1"/>
  <c r="I16" i="6" s="1"/>
  <c r="J16" i="6" s="1"/>
  <c r="L16" i="6" s="1"/>
  <c r="D11" i="6"/>
  <c r="H11" i="6" s="1"/>
  <c r="I11" i="6" s="1"/>
  <c r="J11" i="6" s="1"/>
  <c r="L11" i="6" s="1"/>
  <c r="D22" i="6"/>
  <c r="H22" i="6" s="1"/>
  <c r="I22" i="6" s="1"/>
  <c r="J22" i="6" s="1"/>
  <c r="L22" i="6" s="1"/>
  <c r="D7" i="6"/>
  <c r="H7" i="6" s="1"/>
  <c r="I7" i="6" s="1"/>
  <c r="J7" i="6" s="1"/>
  <c r="L7" i="6" s="1"/>
  <c r="D12" i="6"/>
  <c r="H12" i="6" s="1"/>
  <c r="I12" i="6" s="1"/>
  <c r="J12" i="6" s="1"/>
  <c r="L12" i="6" s="1"/>
  <c r="D15" i="6"/>
  <c r="H15" i="6" s="1"/>
  <c r="I15" i="6" s="1"/>
  <c r="J15" i="6" s="1"/>
  <c r="L15" i="6" s="1"/>
  <c r="D19" i="6"/>
  <c r="H19" i="6" s="1"/>
  <c r="I19" i="6" s="1"/>
  <c r="J19" i="6" s="1"/>
  <c r="L19" i="6" s="1"/>
  <c r="D14" i="6"/>
  <c r="H14" i="6" s="1"/>
  <c r="I14" i="6" s="1"/>
  <c r="J14" i="6" s="1"/>
  <c r="L14" i="6" s="1"/>
  <c r="R2" i="4" l="1"/>
  <c r="B37" i="5" s="1"/>
  <c r="P2" i="3"/>
  <c r="Q2" i="4"/>
  <c r="M6" i="5"/>
  <c r="B38" i="5"/>
  <c r="B16" i="5" s="1"/>
  <c r="C16" i="5"/>
  <c r="B17" i="5"/>
  <c r="E17" i="5" s="1"/>
  <c r="S17" i="2"/>
  <c r="T17" i="2" s="1"/>
  <c r="S14" i="2"/>
  <c r="T14" i="2" s="1"/>
  <c r="S11" i="2"/>
  <c r="T11" i="2" s="1"/>
  <c r="S24" i="2"/>
  <c r="T24" i="2" s="1"/>
  <c r="S8" i="2"/>
  <c r="T8" i="2" s="1"/>
  <c r="S18" i="2"/>
  <c r="T18" i="2" s="1"/>
  <c r="S15" i="2"/>
  <c r="T15" i="2" s="1"/>
  <c r="S12" i="2"/>
  <c r="T12" i="2" s="1"/>
  <c r="S9" i="2"/>
  <c r="T9" i="2" s="1"/>
  <c r="V3" i="2"/>
  <c r="S20" i="2"/>
  <c r="T20" i="2" s="1"/>
  <c r="S22" i="2"/>
  <c r="T22" i="2" s="1"/>
  <c r="S21" i="2"/>
  <c r="T21" i="2" s="1"/>
  <c r="S16" i="2"/>
  <c r="T16" i="2" s="1"/>
  <c r="S23" i="2"/>
  <c r="T23" i="2" s="1"/>
  <c r="S13" i="2"/>
  <c r="T13" i="2" s="1"/>
  <c r="S10" i="2"/>
  <c r="T10" i="2" s="1"/>
  <c r="S19" i="2"/>
  <c r="T19" i="2" s="1"/>
  <c r="Q6" i="5"/>
  <c r="L6" i="6"/>
  <c r="V4" i="2"/>
  <c r="E16" i="5" l="1"/>
  <c r="U16" i="2"/>
  <c r="V16" i="2" s="1"/>
  <c r="U18" i="2"/>
  <c r="V18" i="2" s="1"/>
  <c r="U21" i="2"/>
  <c r="V21" i="2" s="1"/>
  <c r="U8" i="2"/>
  <c r="V8" i="2" s="1"/>
  <c r="U9" i="2"/>
  <c r="V9" i="2" s="1"/>
  <c r="U13" i="2"/>
  <c r="V13" i="2" s="1"/>
  <c r="U23" i="2"/>
  <c r="V23" i="2" s="1"/>
  <c r="U15" i="2"/>
  <c r="V15" i="2" s="1"/>
  <c r="U22" i="2"/>
  <c r="V22" i="2" s="1"/>
  <c r="U24" i="2"/>
  <c r="V24" i="2" s="1"/>
  <c r="P2" i="4"/>
  <c r="B36" i="5"/>
  <c r="U20" i="2"/>
  <c r="V20" i="2" s="1"/>
  <c r="U11" i="2"/>
  <c r="V11" i="2" s="1"/>
  <c r="U10" i="2"/>
  <c r="V10" i="2" s="1"/>
  <c r="U17" i="2"/>
  <c r="V17" i="2" s="1"/>
  <c r="U12" i="2"/>
  <c r="V12" i="2" s="1"/>
  <c r="U19" i="2"/>
  <c r="V19" i="2" s="1"/>
  <c r="U14" i="2"/>
  <c r="V14" i="2" s="1"/>
  <c r="C15" i="5"/>
  <c r="E15" i="5" s="1"/>
  <c r="B15" i="5"/>
  <c r="O2" i="4" l="1"/>
  <c r="B34" i="5" s="1"/>
  <c r="B35" i="5"/>
  <c r="C14" i="5" l="1"/>
  <c r="E14" i="5" s="1"/>
  <c r="B14" i="5"/>
  <c r="B13" i="5"/>
  <c r="G11" i="5" s="1"/>
  <c r="C13" i="5"/>
  <c r="E13" i="5" s="1"/>
  <c r="G20" i="5" l="1"/>
  <c r="G19" i="5"/>
  <c r="G18" i="5"/>
  <c r="G16" i="5"/>
  <c r="G10" i="5"/>
  <c r="G17" i="5"/>
  <c r="H11" i="5"/>
  <c r="G21" i="5"/>
  <c r="G12" i="5"/>
  <c r="G15" i="5"/>
  <c r="G14" i="5"/>
  <c r="G13" i="5"/>
  <c r="H19" i="5" l="1"/>
  <c r="H15" i="5"/>
  <c r="H16" i="5"/>
  <c r="H17" i="5"/>
  <c r="H20" i="5"/>
  <c r="I11" i="5"/>
  <c r="H21" i="5"/>
  <c r="H18" i="5"/>
  <c r="H12" i="5"/>
  <c r="H13" i="5"/>
  <c r="H10" i="5"/>
  <c r="H14" i="5"/>
  <c r="I18" i="5" l="1"/>
  <c r="I14" i="5"/>
  <c r="I19" i="5"/>
  <c r="I17" i="5"/>
  <c r="I20" i="5"/>
  <c r="J11" i="5"/>
  <c r="I21" i="5"/>
  <c r="I12" i="5"/>
  <c r="I13" i="5"/>
  <c r="I16" i="5"/>
  <c r="I10" i="5"/>
  <c r="I15" i="5"/>
  <c r="J21" i="5" l="1"/>
  <c r="J13" i="5"/>
  <c r="J20" i="5"/>
  <c r="K11" i="5"/>
  <c r="J12" i="5"/>
  <c r="J18" i="5"/>
  <c r="J14" i="5"/>
  <c r="J15" i="5"/>
  <c r="J19" i="5"/>
  <c r="J16" i="5"/>
  <c r="J10" i="5"/>
  <c r="J17" i="5"/>
  <c r="K21" i="5" l="1"/>
  <c r="K20" i="5"/>
  <c r="K12" i="5"/>
  <c r="K10" i="5"/>
  <c r="K18" i="5"/>
  <c r="K13" i="5"/>
  <c r="K14" i="5"/>
  <c r="K15" i="5"/>
  <c r="L11" i="5"/>
  <c r="K19" i="5"/>
  <c r="K17" i="5"/>
  <c r="K16" i="5"/>
  <c r="L21" i="5" l="1"/>
  <c r="L20" i="5"/>
  <c r="L19" i="5"/>
  <c r="M11" i="5"/>
  <c r="L18" i="5"/>
  <c r="L12" i="5"/>
  <c r="L13" i="5"/>
  <c r="L14" i="5"/>
  <c r="L15" i="5"/>
  <c r="L16" i="5"/>
  <c r="L10" i="5"/>
  <c r="L17" i="5"/>
  <c r="M21" i="5" l="1"/>
  <c r="M20" i="5"/>
  <c r="M19" i="5"/>
  <c r="M18" i="5"/>
  <c r="M13" i="5"/>
  <c r="M14" i="5"/>
  <c r="M15" i="5"/>
  <c r="M16" i="5"/>
  <c r="M10" i="5"/>
  <c r="M17" i="5"/>
  <c r="M12" i="5"/>
  <c r="N11" i="5"/>
  <c r="N21" i="5" l="1"/>
  <c r="N20" i="5"/>
  <c r="N19" i="5"/>
  <c r="N17" i="5"/>
  <c r="N14" i="5"/>
  <c r="N15" i="5"/>
  <c r="N16" i="5"/>
  <c r="N10" i="5"/>
  <c r="N18" i="5"/>
  <c r="N13" i="5"/>
  <c r="N12" i="5"/>
  <c r="O11" i="5"/>
  <c r="O20" i="5" l="1"/>
  <c r="O19" i="5"/>
  <c r="O18" i="5"/>
  <c r="O16" i="5"/>
  <c r="O15" i="5"/>
  <c r="O21" i="5"/>
  <c r="O10" i="5"/>
  <c r="O17" i="5"/>
  <c r="P11" i="5"/>
  <c r="O14" i="5"/>
  <c r="O13" i="5"/>
  <c r="O12" i="5"/>
  <c r="P19" i="5" l="1"/>
  <c r="P15" i="5"/>
  <c r="P21" i="5"/>
  <c r="P10" i="5"/>
  <c r="P16" i="5"/>
  <c r="P17" i="5"/>
  <c r="Q11" i="5"/>
  <c r="P12" i="5"/>
  <c r="P20" i="5"/>
  <c r="P14" i="5"/>
  <c r="P18" i="5"/>
  <c r="P13" i="5"/>
  <c r="Q18" i="5" l="1"/>
  <c r="Q14" i="5"/>
  <c r="Q16" i="5"/>
  <c r="Q17" i="5"/>
  <c r="R11" i="5"/>
  <c r="Q12" i="5"/>
  <c r="Q13" i="5"/>
  <c r="Q21" i="5"/>
  <c r="Q15" i="5"/>
  <c r="Q19" i="5"/>
  <c r="Q20" i="5"/>
  <c r="Q10" i="5"/>
  <c r="R21" i="5" l="1"/>
  <c r="R13" i="5"/>
  <c r="R17" i="5"/>
  <c r="S11" i="5"/>
  <c r="R12" i="5"/>
  <c r="R19" i="5"/>
  <c r="R18" i="5"/>
  <c r="R16" i="5"/>
  <c r="R10" i="5"/>
  <c r="R20" i="5"/>
  <c r="R15" i="5"/>
  <c r="R14" i="5"/>
  <c r="S21" i="5" l="1"/>
  <c r="S20" i="5"/>
  <c r="S12" i="5"/>
  <c r="S10" i="5"/>
  <c r="T11" i="5"/>
  <c r="S19" i="5"/>
  <c r="S13" i="5"/>
  <c r="S18" i="5"/>
  <c r="S14" i="5"/>
  <c r="S15" i="5"/>
  <c r="S17" i="5"/>
  <c r="S16" i="5"/>
  <c r="T21" i="5" l="1"/>
  <c r="T20" i="5"/>
  <c r="T19" i="5"/>
  <c r="U11" i="5"/>
  <c r="T12" i="5"/>
  <c r="T13" i="5"/>
  <c r="T18" i="5"/>
  <c r="T14" i="5"/>
  <c r="T15" i="5"/>
  <c r="T17" i="5"/>
  <c r="T16" i="5"/>
  <c r="T10" i="5"/>
  <c r="U21" i="5" l="1"/>
  <c r="U20" i="5"/>
  <c r="U19" i="5"/>
  <c r="U18" i="5"/>
  <c r="U12" i="5"/>
  <c r="U13" i="5"/>
  <c r="U14" i="5"/>
  <c r="U15" i="5"/>
  <c r="U16" i="5"/>
  <c r="U10" i="5"/>
  <c r="U17" i="5"/>
  <c r="V11" i="5"/>
  <c r="V21" i="5" l="1"/>
  <c r="V20" i="5"/>
  <c r="V19" i="5"/>
  <c r="V17" i="5"/>
  <c r="V13" i="5"/>
  <c r="V14" i="5"/>
  <c r="V18" i="5"/>
  <c r="V15" i="5"/>
  <c r="V16" i="5"/>
  <c r="V10" i="5"/>
  <c r="V12" i="5"/>
  <c r="W11" i="5"/>
  <c r="W20" i="5" l="1"/>
  <c r="W19" i="5"/>
  <c r="W18" i="5"/>
  <c r="W16" i="5"/>
  <c r="W14" i="5"/>
  <c r="W15" i="5"/>
  <c r="W10" i="5"/>
  <c r="W17" i="5"/>
  <c r="W21" i="5"/>
  <c r="W13" i="5"/>
  <c r="W12" i="5"/>
  <c r="X11" i="5"/>
  <c r="X19" i="5" l="1"/>
  <c r="X15" i="5"/>
  <c r="X18" i="5"/>
  <c r="X10" i="5"/>
  <c r="X16" i="5"/>
  <c r="X17" i="5"/>
  <c r="X20" i="5"/>
  <c r="Y11" i="5"/>
  <c r="X12" i="5"/>
  <c r="X14" i="5"/>
  <c r="X21" i="5"/>
  <c r="X13" i="5"/>
  <c r="Y18" i="5" l="1"/>
  <c r="Y14" i="5"/>
  <c r="Y15" i="5"/>
  <c r="Y10" i="5"/>
  <c r="Y16" i="5"/>
  <c r="Y19" i="5"/>
  <c r="Y17" i="5"/>
  <c r="Y20" i="5"/>
  <c r="Z11" i="5"/>
  <c r="Y21" i="5"/>
  <c r="Y12" i="5"/>
  <c r="Y13" i="5"/>
  <c r="Z21" i="5" l="1"/>
  <c r="Z13" i="5"/>
  <c r="Z18" i="5"/>
  <c r="Z16" i="5"/>
  <c r="Z19" i="5"/>
  <c r="Z17" i="5"/>
  <c r="Z20" i="5"/>
  <c r="AA11" i="5"/>
  <c r="Z12" i="5"/>
  <c r="Z10" i="5"/>
  <c r="Z15" i="5"/>
  <c r="Z14" i="5"/>
  <c r="AA21" i="5" l="1"/>
  <c r="AA20" i="5"/>
  <c r="AA12" i="5"/>
  <c r="AA10" i="5"/>
  <c r="AA19" i="5"/>
  <c r="AA17" i="5"/>
  <c r="AB11" i="5"/>
  <c r="AA13" i="5"/>
  <c r="AA16" i="5"/>
  <c r="AA15" i="5"/>
  <c r="AA18" i="5"/>
  <c r="AA14" i="5"/>
  <c r="AB21" i="5" l="1"/>
  <c r="AB20" i="5"/>
  <c r="AB19" i="5"/>
  <c r="AC11" i="5"/>
  <c r="AB12" i="5"/>
  <c r="AB13" i="5"/>
  <c r="AB14" i="5"/>
  <c r="AB17" i="5"/>
  <c r="AB16" i="5"/>
  <c r="AB15" i="5"/>
  <c r="AB10" i="5"/>
  <c r="AB18" i="5"/>
  <c r="AC21" i="5" l="1"/>
  <c r="AC20" i="5"/>
  <c r="AC19" i="5"/>
  <c r="AC18" i="5"/>
  <c r="AD11" i="5"/>
  <c r="AC12" i="5"/>
  <c r="AC13" i="5"/>
  <c r="AC14" i="5"/>
  <c r="AC15" i="5"/>
  <c r="AC16" i="5"/>
  <c r="AC10" i="5"/>
  <c r="AC17" i="5"/>
  <c r="AD21" i="5" l="1"/>
  <c r="AD20" i="5"/>
  <c r="AD19" i="5"/>
  <c r="AD17" i="5"/>
  <c r="AD12" i="5"/>
  <c r="AD13" i="5"/>
  <c r="AD14" i="5"/>
  <c r="AD15" i="5"/>
  <c r="AD16" i="5"/>
  <c r="AD10" i="5"/>
  <c r="AE11" i="5"/>
  <c r="AD18" i="5"/>
  <c r="AE20" i="5" l="1"/>
  <c r="AE19" i="5"/>
  <c r="AE18" i="5"/>
  <c r="AE16" i="5"/>
  <c r="AE13" i="5"/>
  <c r="AE14" i="5"/>
  <c r="AE15" i="5"/>
  <c r="AE21" i="5"/>
  <c r="AE10" i="5"/>
  <c r="AF11" i="5"/>
  <c r="AE12" i="5"/>
  <c r="AE17" i="5"/>
  <c r="AF19" i="5" l="1"/>
  <c r="AF15" i="5"/>
  <c r="AF14" i="5"/>
  <c r="AF20" i="5"/>
  <c r="AF21" i="5"/>
  <c r="AF10" i="5"/>
  <c r="AF16" i="5"/>
  <c r="AF18" i="5"/>
  <c r="AF17" i="5"/>
  <c r="AF13" i="5"/>
  <c r="AF12" i="5"/>
  <c r="AG11" i="5"/>
  <c r="AG18" i="5" l="1"/>
  <c r="AG14" i="5"/>
  <c r="AG20" i="5"/>
  <c r="AG21" i="5"/>
  <c r="AG15" i="5"/>
  <c r="AG10" i="5"/>
  <c r="AG16" i="5"/>
  <c r="AG17" i="5"/>
  <c r="AH11" i="5"/>
  <c r="AG12" i="5"/>
  <c r="AG19" i="5"/>
  <c r="AG13" i="5"/>
  <c r="AH21" i="5" l="1"/>
  <c r="AH13" i="5"/>
  <c r="AH15" i="5"/>
  <c r="AH10" i="5"/>
  <c r="AH16" i="5"/>
  <c r="AH17" i="5"/>
  <c r="AH18" i="5"/>
  <c r="AI11" i="5"/>
  <c r="AH12" i="5"/>
  <c r="AH19" i="5"/>
  <c r="AH14" i="5"/>
  <c r="AH20" i="5"/>
  <c r="AI21" i="5" l="1"/>
  <c r="AI20" i="5"/>
  <c r="AI12" i="5"/>
  <c r="AI10" i="5"/>
  <c r="AI16" i="5"/>
  <c r="AI17" i="5"/>
  <c r="AI18" i="5"/>
  <c r="AJ11" i="5"/>
  <c r="AI15" i="5"/>
  <c r="AI19" i="5"/>
  <c r="AI14" i="5"/>
  <c r="AI13" i="5"/>
  <c r="AJ21" i="5" l="1"/>
  <c r="AJ20" i="5"/>
  <c r="AJ19" i="5"/>
  <c r="AK11" i="5"/>
  <c r="AJ17" i="5"/>
  <c r="AJ18" i="5"/>
  <c r="AJ12" i="5"/>
  <c r="AJ13" i="5"/>
  <c r="AJ15" i="5"/>
  <c r="AJ10" i="5"/>
  <c r="AJ14" i="5"/>
  <c r="AJ16" i="5"/>
  <c r="AK21" i="5" l="1"/>
  <c r="AK20" i="5"/>
  <c r="AK19" i="5"/>
  <c r="AK18" i="5"/>
  <c r="AL11" i="5"/>
  <c r="AK12" i="5"/>
  <c r="AK13" i="5"/>
  <c r="AK14" i="5"/>
  <c r="AK16" i="5"/>
  <c r="AK17" i="5"/>
  <c r="AK15" i="5"/>
  <c r="AK10" i="5"/>
  <c r="AL21" i="5" l="1"/>
  <c r="AL20" i="5"/>
  <c r="AL19" i="5"/>
  <c r="AL17" i="5"/>
  <c r="AL18" i="5"/>
  <c r="AM11" i="5"/>
  <c r="AL12" i="5"/>
  <c r="AL13" i="5"/>
  <c r="AL14" i="5"/>
  <c r="AL15" i="5"/>
  <c r="AL10" i="5"/>
  <c r="AL16" i="5"/>
  <c r="AM20" i="5" l="1"/>
  <c r="AM19" i="5"/>
  <c r="AM18" i="5"/>
  <c r="AM16" i="5"/>
  <c r="AM21" i="5"/>
  <c r="AM12" i="5"/>
  <c r="AM13" i="5"/>
  <c r="AM14" i="5"/>
  <c r="AM15" i="5"/>
  <c r="AM10" i="5"/>
  <c r="AN11" i="5"/>
  <c r="AM17" i="5"/>
  <c r="AN19" i="5" l="1"/>
  <c r="AN15" i="5"/>
  <c r="AN13" i="5"/>
  <c r="AN14" i="5"/>
  <c r="AN10" i="5"/>
  <c r="AN16" i="5"/>
  <c r="AO11" i="5"/>
  <c r="AN17" i="5"/>
  <c r="AN20" i="5"/>
  <c r="AN18" i="5"/>
  <c r="AN12" i="5"/>
  <c r="AN21" i="5"/>
  <c r="AO18" i="5" l="1"/>
  <c r="AO14" i="5"/>
  <c r="AO15" i="5"/>
  <c r="AO10" i="5"/>
  <c r="AO16" i="5"/>
  <c r="AO19" i="5"/>
  <c r="AO17" i="5"/>
  <c r="AO13" i="5"/>
  <c r="AO21" i="5"/>
  <c r="AO20" i="5"/>
  <c r="AO12" i="5"/>
  <c r="AP11" i="5"/>
  <c r="AP21" i="5" l="1"/>
  <c r="AP13" i="5"/>
  <c r="AP14" i="5"/>
  <c r="AP15" i="5"/>
  <c r="AP10" i="5"/>
  <c r="AP16" i="5"/>
  <c r="AP19" i="5"/>
  <c r="AP17" i="5"/>
  <c r="AP20" i="5"/>
  <c r="AQ11" i="5"/>
  <c r="AP12" i="5"/>
  <c r="AP18" i="5"/>
  <c r="AQ21" i="5" l="1"/>
  <c r="AQ20" i="5"/>
  <c r="AQ12" i="5"/>
  <c r="AQ10" i="5"/>
  <c r="AQ15" i="5"/>
  <c r="AQ16" i="5"/>
  <c r="AQ19" i="5"/>
  <c r="AQ17" i="5"/>
  <c r="AR11" i="5"/>
  <c r="AQ14" i="5"/>
  <c r="AQ13" i="5"/>
  <c r="AQ18" i="5"/>
  <c r="AR21" i="5" l="1"/>
  <c r="AR20" i="5"/>
  <c r="AR19" i="5"/>
  <c r="AS11" i="5"/>
  <c r="AR16" i="5"/>
  <c r="AR10" i="5"/>
  <c r="AR17" i="5"/>
  <c r="AR18" i="5"/>
  <c r="AR12" i="5"/>
  <c r="AR13" i="5"/>
  <c r="AR15" i="5"/>
  <c r="AR14" i="5"/>
  <c r="AS21" i="5" l="1"/>
  <c r="AS20" i="5"/>
  <c r="AS19" i="5"/>
  <c r="AS18" i="5"/>
  <c r="AS17" i="5"/>
  <c r="AT11" i="5"/>
  <c r="AS12" i="5"/>
  <c r="AS13" i="5"/>
  <c r="AS10" i="5"/>
  <c r="AS14" i="5"/>
  <c r="AS16" i="5"/>
  <c r="AS15" i="5"/>
  <c r="AT21" i="5" l="1"/>
  <c r="AT20" i="5"/>
  <c r="AT19" i="5"/>
  <c r="AT17" i="5"/>
  <c r="AU11" i="5"/>
  <c r="AT12" i="5"/>
  <c r="AT18" i="5"/>
  <c r="AT13" i="5"/>
  <c r="AT14" i="5"/>
  <c r="AT16" i="5"/>
  <c r="AT15" i="5"/>
  <c r="AT10" i="5"/>
  <c r="AU20" i="5" l="1"/>
  <c r="AU19" i="5"/>
  <c r="AU18" i="5"/>
  <c r="AU16" i="5"/>
  <c r="AV11" i="5"/>
  <c r="AU12" i="5"/>
  <c r="AU13" i="5"/>
  <c r="AU14" i="5"/>
  <c r="AU15" i="5"/>
  <c r="AU17" i="5"/>
  <c r="AU10" i="5"/>
  <c r="AU21" i="5"/>
  <c r="AV19" i="5" l="1"/>
  <c r="AV15" i="5"/>
  <c r="AV12" i="5"/>
  <c r="AV13" i="5"/>
  <c r="AV18" i="5"/>
  <c r="AV14" i="5"/>
  <c r="AV20" i="5"/>
  <c r="AV21" i="5"/>
  <c r="AV10" i="5"/>
  <c r="AV17" i="5"/>
  <c r="AV16" i="5"/>
  <c r="AW11" i="5"/>
  <c r="AW18" i="5" l="1"/>
  <c r="AW14" i="5"/>
  <c r="AW13" i="5"/>
  <c r="AW19" i="5"/>
  <c r="AW20" i="5"/>
  <c r="AW21" i="5"/>
  <c r="AW15" i="5"/>
  <c r="AW10" i="5"/>
  <c r="AW16" i="5"/>
  <c r="AW17" i="5"/>
  <c r="AW12" i="5"/>
  <c r="AX11" i="5"/>
  <c r="AX21" i="5" l="1"/>
  <c r="AX13" i="5"/>
  <c r="AX19" i="5"/>
  <c r="AX20" i="5"/>
  <c r="AX18" i="5"/>
  <c r="AX14" i="5"/>
  <c r="AX15" i="5"/>
  <c r="AX10" i="5"/>
  <c r="AX16" i="5"/>
  <c r="AX17" i="5"/>
  <c r="AX12" i="5"/>
  <c r="AY11" i="5"/>
  <c r="AY21" i="5" l="1"/>
  <c r="AY20" i="5"/>
  <c r="AY12" i="5"/>
  <c r="AY10" i="5"/>
  <c r="AY18" i="5"/>
  <c r="AY14" i="5"/>
  <c r="AY15" i="5"/>
  <c r="AY16" i="5"/>
  <c r="AY17" i="5"/>
  <c r="AZ11" i="5"/>
  <c r="AY19" i="5"/>
  <c r="AY13" i="5"/>
  <c r="AZ21" i="5" l="1"/>
  <c r="AZ20" i="5"/>
  <c r="AZ19" i="5"/>
  <c r="BA11" i="5"/>
  <c r="AZ15" i="5"/>
  <c r="AZ16" i="5"/>
  <c r="AZ10" i="5"/>
  <c r="AZ17" i="5"/>
  <c r="AZ18" i="5"/>
  <c r="AZ13" i="5"/>
  <c r="AZ14" i="5"/>
  <c r="AZ12" i="5"/>
  <c r="BA21" i="5" l="1"/>
  <c r="BA20" i="5"/>
  <c r="BA19" i="5"/>
  <c r="BA18" i="5"/>
  <c r="BA16" i="5"/>
  <c r="BA10" i="5"/>
  <c r="BA17" i="5"/>
  <c r="BB11" i="5"/>
  <c r="BA12" i="5"/>
  <c r="BA15" i="5"/>
  <c r="BA14" i="5"/>
  <c r="BA13" i="5"/>
  <c r="BB21" i="5" l="1"/>
  <c r="BB20" i="5"/>
  <c r="BB19" i="5"/>
  <c r="BB18" i="5"/>
  <c r="BB17" i="5"/>
  <c r="BC11" i="5"/>
  <c r="BB12" i="5"/>
  <c r="BB13" i="5"/>
  <c r="BB16" i="5"/>
  <c r="BB15" i="5"/>
  <c r="BB10" i="5"/>
  <c r="BB14" i="5"/>
  <c r="BC20" i="5" l="1"/>
  <c r="BC19" i="5"/>
  <c r="BC18" i="5"/>
  <c r="BC16" i="5"/>
  <c r="BC17" i="5"/>
  <c r="BD11" i="5"/>
  <c r="BC21" i="5"/>
  <c r="BC12" i="5"/>
  <c r="BC13" i="5"/>
  <c r="BC14" i="5"/>
  <c r="BC15" i="5"/>
  <c r="BC10" i="5"/>
  <c r="BD19" i="5" l="1"/>
  <c r="BD15" i="5"/>
  <c r="BD20" i="5"/>
  <c r="BE11" i="5"/>
  <c r="BD21" i="5"/>
  <c r="BD12" i="5"/>
  <c r="BD13" i="5"/>
  <c r="BD14" i="5"/>
  <c r="BD18" i="5"/>
  <c r="BD16" i="5"/>
  <c r="BD10" i="5"/>
  <c r="BD17" i="5"/>
  <c r="BE18" i="5" l="1"/>
  <c r="BE14" i="5"/>
  <c r="BE21" i="5"/>
  <c r="BE12" i="5"/>
  <c r="BE13" i="5"/>
  <c r="BE15" i="5"/>
  <c r="BE10" i="5"/>
  <c r="BE19" i="5"/>
  <c r="BF11" i="5"/>
  <c r="BE17" i="5"/>
  <c r="BE20" i="5"/>
  <c r="BE16" i="5"/>
  <c r="BF21" i="5" l="1"/>
  <c r="BF13" i="5"/>
  <c r="BF14" i="5"/>
  <c r="BF15" i="5"/>
  <c r="BF10" i="5"/>
  <c r="BF16" i="5"/>
  <c r="BF20" i="5"/>
  <c r="BF17" i="5"/>
  <c r="BF12" i="5"/>
  <c r="BF18" i="5"/>
  <c r="BF19" i="5"/>
  <c r="BG11" i="5"/>
  <c r="BG21" i="5" l="1"/>
  <c r="BG20" i="5"/>
  <c r="BG12" i="5"/>
  <c r="BG10" i="5"/>
  <c r="BG13" i="5"/>
  <c r="BG14" i="5"/>
  <c r="BG15" i="5"/>
  <c r="BG16" i="5"/>
  <c r="BG19" i="5"/>
  <c r="BG18" i="5"/>
  <c r="BG17" i="5"/>
  <c r="BH11" i="5"/>
  <c r="BH21" i="5" l="1"/>
  <c r="BH20" i="5"/>
  <c r="BH19" i="5"/>
  <c r="BI11" i="5"/>
  <c r="BH14" i="5"/>
  <c r="BH15" i="5"/>
  <c r="BH16" i="5"/>
  <c r="BH10" i="5"/>
  <c r="BH18" i="5"/>
  <c r="BH17" i="5"/>
  <c r="BH13" i="5"/>
  <c r="BH12" i="5"/>
  <c r="BI21" i="5" l="1"/>
  <c r="BI20" i="5"/>
  <c r="BI19" i="5"/>
  <c r="BI18" i="5"/>
  <c r="BI15" i="5"/>
  <c r="BI16" i="5"/>
  <c r="BI10" i="5"/>
  <c r="BI17" i="5"/>
  <c r="BJ11" i="5"/>
  <c r="BI14" i="5"/>
  <c r="BI13" i="5"/>
  <c r="BI12" i="5"/>
  <c r="BJ21" i="5" l="1"/>
  <c r="BJ20" i="5"/>
  <c r="BJ19" i="5"/>
  <c r="BJ18" i="5"/>
  <c r="BJ17" i="5"/>
  <c r="BJ16" i="5"/>
  <c r="BJ10" i="5"/>
  <c r="BK11" i="5"/>
  <c r="BJ12" i="5"/>
  <c r="BJ15" i="5"/>
  <c r="BJ14" i="5"/>
  <c r="BJ13" i="5"/>
  <c r="BK20" i="5" l="1"/>
  <c r="BK19" i="5"/>
  <c r="BK18" i="5"/>
  <c r="BK16" i="5"/>
  <c r="BK17" i="5"/>
  <c r="BL11" i="5"/>
  <c r="BK12" i="5"/>
  <c r="BK13" i="5"/>
  <c r="BK14" i="5"/>
  <c r="BK10" i="5"/>
  <c r="BK21" i="5"/>
  <c r="BK15" i="5"/>
  <c r="BL19" i="5" l="1"/>
  <c r="BL15" i="5"/>
  <c r="BL17" i="5"/>
  <c r="BM11" i="5"/>
  <c r="BL18" i="5"/>
  <c r="BL12" i="5"/>
  <c r="BL13" i="5"/>
  <c r="BL14" i="5"/>
  <c r="BL20" i="5"/>
  <c r="BL21" i="5"/>
  <c r="BL10" i="5"/>
  <c r="BL16" i="5"/>
  <c r="BM18" i="5" l="1"/>
  <c r="BM14" i="5"/>
  <c r="BN11" i="5"/>
  <c r="BM12" i="5"/>
  <c r="BM13" i="5"/>
  <c r="BM19" i="5"/>
  <c r="BM20" i="5"/>
  <c r="BM21" i="5"/>
  <c r="BM16" i="5"/>
  <c r="BM17" i="5"/>
  <c r="BM10" i="5"/>
  <c r="BM15" i="5"/>
  <c r="BN21" i="5" l="1"/>
  <c r="BN13" i="5"/>
  <c r="BN12" i="5"/>
  <c r="BN18" i="5"/>
  <c r="BN19" i="5"/>
  <c r="BN20" i="5"/>
  <c r="BN14" i="5"/>
  <c r="BN15" i="5"/>
  <c r="BN10" i="5"/>
  <c r="BO11" i="5"/>
  <c r="BN17" i="5"/>
  <c r="BN16" i="5"/>
  <c r="BO21" i="5" l="1"/>
  <c r="BO20" i="5"/>
  <c r="BO12" i="5"/>
  <c r="BO10" i="5"/>
  <c r="BO18" i="5"/>
  <c r="BO19" i="5"/>
  <c r="BO13" i="5"/>
  <c r="BO14" i="5"/>
  <c r="BO15" i="5"/>
  <c r="BO16" i="5"/>
  <c r="BO17" i="5"/>
  <c r="BP11" i="5"/>
  <c r="BP21" i="5" l="1"/>
  <c r="BP20" i="5"/>
  <c r="BP19" i="5"/>
  <c r="BQ11" i="5"/>
  <c r="BP13" i="5"/>
  <c r="BP14" i="5"/>
  <c r="BP15" i="5"/>
  <c r="BP16" i="5"/>
  <c r="BP10" i="5"/>
  <c r="BP17" i="5"/>
  <c r="BP12" i="5"/>
  <c r="BP18" i="5"/>
  <c r="BQ21" i="5" l="1"/>
  <c r="BQ20" i="5"/>
  <c r="BQ19" i="5"/>
  <c r="BQ18" i="5"/>
  <c r="BQ14" i="5"/>
  <c r="BQ15" i="5"/>
  <c r="BQ16" i="5"/>
  <c r="BQ10" i="5"/>
  <c r="BQ17" i="5"/>
  <c r="BQ13" i="5"/>
  <c r="BQ12" i="5"/>
  <c r="BR11" i="5"/>
  <c r="BR21" i="5" l="1"/>
  <c r="BR20" i="5"/>
  <c r="BR19" i="5"/>
  <c r="BR18" i="5"/>
  <c r="BR17" i="5"/>
  <c r="BR15" i="5"/>
  <c r="BR16" i="5"/>
  <c r="BR10" i="5"/>
  <c r="BS11" i="5"/>
  <c r="BR13" i="5"/>
  <c r="BR12" i="5"/>
  <c r="BR14" i="5"/>
  <c r="BS20" i="5" l="1"/>
  <c r="BS19" i="5"/>
  <c r="BS18" i="5"/>
  <c r="BS16" i="5"/>
  <c r="BS10" i="5"/>
  <c r="BS17" i="5"/>
  <c r="BT11" i="5"/>
  <c r="BS21" i="5"/>
  <c r="BS12" i="5"/>
  <c r="BS15" i="5"/>
  <c r="BS14" i="5"/>
  <c r="BS13" i="5"/>
  <c r="BT19" i="5" l="1"/>
  <c r="BT15" i="5"/>
  <c r="BT16" i="5"/>
  <c r="BT17" i="5"/>
  <c r="BT20" i="5"/>
  <c r="BU11" i="5"/>
  <c r="BT21" i="5"/>
  <c r="BT12" i="5"/>
  <c r="BT13" i="5"/>
  <c r="BT14" i="5"/>
  <c r="BT10" i="5"/>
  <c r="BT18" i="5"/>
  <c r="BU18" i="5" l="1"/>
  <c r="BU14" i="5"/>
  <c r="BU19" i="5"/>
  <c r="BU17" i="5"/>
  <c r="BU20" i="5"/>
  <c r="BV11" i="5"/>
  <c r="BU21" i="5"/>
  <c r="BU12" i="5"/>
  <c r="BU13" i="5"/>
  <c r="BU16" i="5"/>
  <c r="BU10" i="5"/>
  <c r="BU15" i="5"/>
  <c r="BV21" i="5" l="1"/>
  <c r="BV13" i="5"/>
  <c r="BV20" i="5"/>
  <c r="BW11" i="5"/>
  <c r="BV12" i="5"/>
  <c r="BV14" i="5"/>
  <c r="BV17" i="5"/>
  <c r="BV16" i="5"/>
  <c r="BV10" i="5"/>
  <c r="BV19" i="5"/>
  <c r="BV15" i="5"/>
  <c r="BV18" i="5"/>
  <c r="BW21" i="5" l="1"/>
  <c r="BW20" i="5"/>
  <c r="BW12" i="5"/>
  <c r="BW10" i="5"/>
  <c r="BW13" i="5"/>
  <c r="BW14" i="5"/>
  <c r="BW18" i="5"/>
  <c r="BW15" i="5"/>
  <c r="BW17" i="5"/>
  <c r="BW16" i="5"/>
  <c r="BX11" i="5"/>
  <c r="BW19" i="5"/>
  <c r="BX21" i="5" l="1"/>
  <c r="BX20" i="5"/>
  <c r="BX19" i="5"/>
  <c r="BY11" i="5"/>
  <c r="BX12" i="5"/>
  <c r="BX13" i="5"/>
  <c r="BX14" i="5"/>
  <c r="BX18" i="5"/>
  <c r="BX15" i="5"/>
  <c r="BX16" i="5"/>
  <c r="BX10" i="5"/>
  <c r="BX17" i="5"/>
  <c r="BY21" i="5" l="1"/>
  <c r="BY20" i="5"/>
  <c r="BY19" i="5"/>
  <c r="BY18" i="5"/>
  <c r="BY13" i="5"/>
  <c r="BY14" i="5"/>
  <c r="BY15" i="5"/>
  <c r="BY16" i="5"/>
  <c r="BY10" i="5"/>
  <c r="BY17" i="5"/>
  <c r="BY12" i="5"/>
  <c r="BZ11" i="5"/>
  <c r="BZ21" i="5" l="1"/>
  <c r="BZ20" i="5"/>
  <c r="BZ19" i="5"/>
  <c r="BZ18" i="5"/>
  <c r="BZ17" i="5"/>
  <c r="BZ14" i="5"/>
  <c r="BZ15" i="5"/>
  <c r="BZ16" i="5"/>
  <c r="BZ10" i="5"/>
  <c r="CA11" i="5"/>
  <c r="BZ13" i="5"/>
  <c r="BZ12" i="5"/>
  <c r="CA20" i="5" l="1"/>
  <c r="CA19" i="5"/>
  <c r="CA18" i="5"/>
  <c r="CA16" i="5"/>
  <c r="CA15" i="5"/>
  <c r="CA21" i="5"/>
  <c r="CA10" i="5"/>
  <c r="CA17" i="5"/>
  <c r="CB11" i="5"/>
  <c r="CA13" i="5"/>
  <c r="CA12" i="5"/>
  <c r="CA14" i="5"/>
  <c r="CB19" i="5" l="1"/>
  <c r="CB15" i="5"/>
  <c r="CB21" i="5"/>
  <c r="CB10" i="5"/>
  <c r="CB16" i="5"/>
  <c r="CB18" i="5"/>
  <c r="CB17" i="5"/>
  <c r="CC11" i="5"/>
  <c r="CB12" i="5"/>
  <c r="CB20" i="5"/>
  <c r="CB14" i="5"/>
  <c r="CB13" i="5"/>
  <c r="CC18" i="5" l="1"/>
  <c r="CC14" i="5"/>
  <c r="CC16" i="5"/>
  <c r="CC17" i="5"/>
  <c r="CD11" i="5"/>
  <c r="CC12" i="5"/>
  <c r="CC13" i="5"/>
  <c r="CC21" i="5"/>
  <c r="CC10" i="5"/>
  <c r="CC20" i="5"/>
  <c r="CC15" i="5"/>
  <c r="CC19" i="5"/>
  <c r="CD21" i="5" l="1"/>
  <c r="CD13" i="5"/>
  <c r="CD17" i="5"/>
  <c r="CD18" i="5"/>
  <c r="CE11" i="5"/>
  <c r="CD12" i="5"/>
  <c r="CD19" i="5"/>
  <c r="CD16" i="5"/>
  <c r="CD10" i="5"/>
  <c r="CD15" i="5"/>
  <c r="CD20" i="5"/>
  <c r="CD14" i="5"/>
  <c r="CE21" i="5" l="1"/>
  <c r="CE20" i="5"/>
  <c r="CE12" i="5"/>
  <c r="CE10" i="5"/>
  <c r="CE18" i="5"/>
  <c r="CF11" i="5"/>
  <c r="CE19" i="5"/>
  <c r="CE13" i="5"/>
  <c r="CE14" i="5"/>
  <c r="CE15" i="5"/>
  <c r="CE16" i="5"/>
  <c r="CE17" i="5"/>
  <c r="CF21" i="5" l="1"/>
  <c r="CF20" i="5"/>
  <c r="CF19" i="5"/>
  <c r="CG11" i="5"/>
  <c r="CF12" i="5"/>
  <c r="CF13" i="5"/>
  <c r="CF14" i="5"/>
  <c r="CF15" i="5"/>
  <c r="CF16" i="5"/>
  <c r="CF18" i="5"/>
  <c r="CF17" i="5"/>
  <c r="CF10" i="5"/>
  <c r="CG21" i="5" l="1"/>
  <c r="CG20" i="5"/>
  <c r="CG19" i="5"/>
  <c r="CG18" i="5"/>
  <c r="CG12" i="5"/>
  <c r="CG13" i="5"/>
  <c r="CG14" i="5"/>
  <c r="CG15" i="5"/>
  <c r="CG16" i="5"/>
  <c r="CG10" i="5"/>
  <c r="CH11" i="5"/>
  <c r="CG17" i="5"/>
  <c r="CH21" i="5" l="1"/>
  <c r="CH20" i="5"/>
  <c r="CH19" i="5"/>
  <c r="CH18" i="5"/>
  <c r="CH17" i="5"/>
  <c r="CH13" i="5"/>
  <c r="CH14" i="5"/>
  <c r="CH15" i="5"/>
  <c r="CH16" i="5"/>
  <c r="CH10" i="5"/>
  <c r="CH12" i="5"/>
  <c r="CI11" i="5"/>
  <c r="CI20" i="5" l="1"/>
  <c r="CI19" i="5"/>
  <c r="CI18" i="5"/>
  <c r="CI16" i="5"/>
  <c r="CI14" i="5"/>
  <c r="CI15" i="5"/>
  <c r="CI10" i="5"/>
  <c r="CI17" i="5"/>
  <c r="CI13" i="5"/>
  <c r="CI12" i="5"/>
  <c r="CJ11" i="5"/>
  <c r="CI21" i="5"/>
  <c r="CJ19" i="5" l="1"/>
  <c r="CJ15" i="5"/>
  <c r="CJ10" i="5"/>
  <c r="CJ16" i="5"/>
  <c r="CJ17" i="5"/>
  <c r="CJ20" i="5"/>
  <c r="CK11" i="5"/>
  <c r="CJ14" i="5"/>
  <c r="CJ21" i="5"/>
  <c r="CJ18" i="5"/>
  <c r="CJ13" i="5"/>
  <c r="CJ12" i="5"/>
  <c r="CK18" i="5" l="1"/>
  <c r="CK14" i="5"/>
  <c r="CK15" i="5"/>
  <c r="CK10" i="5"/>
  <c r="CK16" i="5"/>
  <c r="CK19" i="5"/>
  <c r="CK17" i="5"/>
  <c r="CK20" i="5"/>
  <c r="CL11" i="5"/>
  <c r="CK21" i="5"/>
  <c r="CK12" i="5"/>
  <c r="CK13" i="5"/>
  <c r="CL21" i="5" l="1"/>
  <c r="CL13" i="5"/>
  <c r="CL16" i="5"/>
  <c r="CL19" i="5"/>
  <c r="CL17" i="5"/>
  <c r="CL20" i="5"/>
  <c r="CM11" i="5"/>
  <c r="CL12" i="5"/>
  <c r="CL14" i="5"/>
  <c r="CL18" i="5"/>
  <c r="CL15" i="5"/>
  <c r="CL10" i="5"/>
  <c r="CM21" i="5" l="1"/>
  <c r="CM20" i="5"/>
  <c r="CM12" i="5"/>
  <c r="CM10" i="5"/>
  <c r="CM19" i="5"/>
  <c r="CM17" i="5"/>
  <c r="CN11" i="5"/>
  <c r="CM18" i="5"/>
  <c r="CM13" i="5"/>
  <c r="CM15" i="5"/>
  <c r="CM14" i="5"/>
  <c r="CM16" i="5"/>
  <c r="CN21" i="5" l="1"/>
  <c r="CN20" i="5"/>
  <c r="CN19" i="5"/>
  <c r="CO11" i="5"/>
  <c r="CN12" i="5"/>
  <c r="CN18" i="5"/>
  <c r="CN13" i="5"/>
  <c r="CN14" i="5"/>
  <c r="CN15" i="5"/>
  <c r="CN10" i="5"/>
  <c r="CN17" i="5"/>
  <c r="CN16" i="5"/>
  <c r="CO21" i="5" l="1"/>
  <c r="CO20" i="5"/>
  <c r="CO19" i="5"/>
  <c r="CO18" i="5"/>
  <c r="CP11" i="5"/>
  <c r="CO12" i="5"/>
  <c r="CO13" i="5"/>
  <c r="CO14" i="5"/>
  <c r="CO15" i="5"/>
  <c r="CO17" i="5"/>
  <c r="CO16" i="5"/>
  <c r="CO10" i="5"/>
  <c r="CP21" i="5" l="1"/>
  <c r="CP20" i="5"/>
  <c r="CP19" i="5"/>
  <c r="CP18" i="5"/>
  <c r="CP17" i="5"/>
  <c r="CP12" i="5"/>
  <c r="CP13" i="5"/>
  <c r="CP14" i="5"/>
  <c r="CP15" i="5"/>
  <c r="CP16" i="5"/>
  <c r="CP10" i="5"/>
  <c r="CQ11" i="5"/>
  <c r="CQ20" i="5" l="1"/>
  <c r="CQ19" i="5"/>
  <c r="CQ18" i="5"/>
  <c r="CQ16" i="5"/>
  <c r="CQ13" i="5"/>
  <c r="CQ14" i="5"/>
  <c r="CQ15" i="5"/>
  <c r="CQ21" i="5"/>
  <c r="CQ10" i="5"/>
  <c r="CQ17" i="5"/>
  <c r="CQ12" i="5"/>
  <c r="CR11" i="5"/>
  <c r="CR19" i="5" l="1"/>
  <c r="CR15" i="5"/>
  <c r="CR14" i="5"/>
  <c r="CR20" i="5"/>
  <c r="CR21" i="5"/>
  <c r="CR18" i="5"/>
  <c r="CR10" i="5"/>
  <c r="CR16" i="5"/>
  <c r="CR17" i="5"/>
  <c r="CR13" i="5"/>
  <c r="CR12" i="5"/>
  <c r="CS11" i="5"/>
  <c r="CS18" i="5" l="1"/>
  <c r="CS14" i="5"/>
  <c r="CS20" i="5"/>
  <c r="CS21" i="5"/>
  <c r="CS15" i="5"/>
  <c r="CS10" i="5"/>
  <c r="CS16" i="5"/>
  <c r="CS17" i="5"/>
  <c r="CT11" i="5"/>
  <c r="CS12" i="5"/>
  <c r="CS19" i="5"/>
  <c r="CS13" i="5"/>
  <c r="CT21" i="5" l="1"/>
  <c r="CT13" i="5"/>
  <c r="CT15" i="5"/>
  <c r="CT10" i="5"/>
  <c r="CT18" i="5"/>
  <c r="CT16" i="5"/>
  <c r="CT17" i="5"/>
  <c r="CU11" i="5"/>
  <c r="CT12" i="5"/>
  <c r="CT19" i="5"/>
  <c r="CT20" i="5"/>
  <c r="CT14" i="5"/>
  <c r="CU21" i="5" l="1"/>
  <c r="CU20" i="5"/>
  <c r="CU12" i="5"/>
  <c r="CU10" i="5"/>
  <c r="CU18" i="5"/>
  <c r="CU16" i="5"/>
  <c r="CU17" i="5"/>
  <c r="CV11" i="5"/>
  <c r="CU19" i="5"/>
  <c r="CU13" i="5"/>
  <c r="CU15" i="5"/>
  <c r="CU14" i="5"/>
  <c r="CV21" i="5" l="1"/>
  <c r="CV20" i="5"/>
  <c r="CV19" i="5"/>
  <c r="CW11" i="5"/>
  <c r="CV17" i="5"/>
  <c r="CV12" i="5"/>
  <c r="CV13" i="5"/>
  <c r="CV18" i="5"/>
  <c r="CV16" i="5"/>
  <c r="CV15" i="5"/>
  <c r="CV10" i="5"/>
  <c r="CV14" i="5"/>
  <c r="CW21" i="5" l="1"/>
  <c r="CW20" i="5"/>
  <c r="CW19" i="5"/>
  <c r="CW18" i="5"/>
  <c r="CX11" i="5"/>
  <c r="CW12" i="5"/>
  <c r="CW13" i="5"/>
  <c r="CW14" i="5"/>
  <c r="CW17" i="5"/>
  <c r="CW16" i="5"/>
  <c r="CW15" i="5"/>
  <c r="CW10" i="5"/>
  <c r="CX21" i="5" l="1"/>
  <c r="CX20" i="5"/>
  <c r="CX19" i="5"/>
  <c r="CX18" i="5"/>
  <c r="CX17" i="5"/>
  <c r="CY11" i="5"/>
  <c r="CX12" i="5"/>
  <c r="CX13" i="5"/>
  <c r="CX14" i="5"/>
  <c r="CX15" i="5"/>
  <c r="CX16" i="5"/>
  <c r="CX10" i="5"/>
  <c r="CY20" i="5" l="1"/>
  <c r="CY19" i="5"/>
  <c r="CY18" i="5"/>
  <c r="CY16" i="5"/>
  <c r="CY21" i="5"/>
  <c r="CY12" i="5"/>
  <c r="CY13" i="5"/>
  <c r="CY14" i="5"/>
  <c r="CY15" i="5"/>
  <c r="CY10" i="5"/>
  <c r="CZ11" i="5"/>
  <c r="CY17" i="5"/>
  <c r="CZ19" i="5" l="1"/>
  <c r="CZ15" i="5"/>
  <c r="CZ13" i="5"/>
  <c r="CZ14" i="5"/>
  <c r="CZ10" i="5"/>
  <c r="CZ16" i="5"/>
  <c r="DA11" i="5"/>
  <c r="CZ12" i="5"/>
  <c r="CZ18" i="5"/>
  <c r="CZ20" i="5"/>
  <c r="CZ17" i="5"/>
  <c r="CZ21" i="5"/>
  <c r="DA18" i="5" l="1"/>
  <c r="DA14" i="5"/>
  <c r="DA15" i="5"/>
  <c r="DA10" i="5"/>
  <c r="DA16" i="5"/>
  <c r="DA19" i="5"/>
  <c r="DA17" i="5"/>
  <c r="DB11" i="5"/>
  <c r="DA20" i="5"/>
  <c r="DA13" i="5"/>
  <c r="DA21" i="5"/>
  <c r="DA12" i="5"/>
  <c r="DB21" i="5" l="1"/>
  <c r="DB13" i="5"/>
  <c r="DB14" i="5"/>
  <c r="DB15" i="5"/>
  <c r="DB10" i="5"/>
  <c r="DB16" i="5"/>
  <c r="DB19" i="5"/>
  <c r="DB17" i="5"/>
  <c r="DB20" i="5"/>
  <c r="DC11" i="5"/>
  <c r="DB18" i="5"/>
  <c r="DB12" i="5"/>
  <c r="DC21" i="5" l="1"/>
  <c r="DC20" i="5"/>
  <c r="DC12" i="5"/>
  <c r="DC10" i="5"/>
  <c r="DC15" i="5"/>
  <c r="DC16" i="5"/>
  <c r="DC19" i="5"/>
  <c r="DC17" i="5"/>
  <c r="DD11" i="5"/>
  <c r="DC18" i="5"/>
  <c r="DC14" i="5"/>
  <c r="DC13" i="5"/>
  <c r="DD21" i="5" l="1"/>
  <c r="DD20" i="5"/>
  <c r="DD19" i="5"/>
  <c r="DE11" i="5"/>
  <c r="DD16" i="5"/>
  <c r="DD10" i="5"/>
  <c r="DD17" i="5"/>
  <c r="DD18" i="5"/>
  <c r="DD12" i="5"/>
  <c r="DD15" i="5"/>
  <c r="DD14" i="5"/>
  <c r="DD13" i="5"/>
  <c r="DE21" i="5" l="1"/>
  <c r="DE20" i="5"/>
  <c r="DE19" i="5"/>
  <c r="DE18" i="5"/>
  <c r="DE17" i="5"/>
  <c r="DF11" i="5"/>
  <c r="DE12" i="5"/>
  <c r="DE13" i="5"/>
  <c r="DE15" i="5"/>
  <c r="DE10" i="5"/>
  <c r="DE14" i="5"/>
  <c r="DE16" i="5"/>
  <c r="DF21" i="5" l="1"/>
  <c r="DF20" i="5"/>
  <c r="DF19" i="5"/>
  <c r="DF18" i="5"/>
  <c r="DF17" i="5"/>
  <c r="DG11" i="5"/>
  <c r="DF12" i="5"/>
  <c r="DF13" i="5"/>
  <c r="DF14" i="5"/>
  <c r="DF10" i="5"/>
  <c r="DF15" i="5"/>
  <c r="DF16" i="5"/>
  <c r="DG20" i="5" l="1"/>
  <c r="DG19" i="5"/>
  <c r="DG18" i="5"/>
  <c r="DG16" i="5"/>
  <c r="DH11" i="5"/>
  <c r="DG12" i="5"/>
  <c r="DG13" i="5"/>
  <c r="DG14" i="5"/>
  <c r="DG15" i="5"/>
  <c r="DG10" i="5"/>
  <c r="DG17" i="5"/>
  <c r="DG21" i="5"/>
  <c r="DH19" i="5" l="1"/>
  <c r="DH15" i="5"/>
  <c r="DH12" i="5"/>
  <c r="DH13" i="5"/>
  <c r="DH18" i="5"/>
  <c r="DH14" i="5"/>
  <c r="DH20" i="5"/>
  <c r="DH21" i="5"/>
  <c r="DH10" i="5"/>
  <c r="DH16" i="5"/>
  <c r="DI11" i="5"/>
  <c r="DH17" i="5"/>
  <c r="DI18" i="5" l="1"/>
  <c r="DI14" i="5"/>
  <c r="DI13" i="5"/>
  <c r="DI19" i="5"/>
  <c r="DI20" i="5"/>
  <c r="DI21" i="5"/>
  <c r="DI15" i="5"/>
  <c r="DI10" i="5"/>
  <c r="DI16" i="5"/>
  <c r="DJ11" i="5"/>
  <c r="DI17" i="5"/>
  <c r="DI12" i="5"/>
  <c r="DJ21" i="5" l="1"/>
  <c r="DJ13" i="5"/>
  <c r="DJ19" i="5"/>
  <c r="DJ20" i="5"/>
  <c r="DJ18" i="5"/>
  <c r="DJ14" i="5"/>
  <c r="DJ15" i="5"/>
  <c r="DJ10" i="5"/>
  <c r="DJ16" i="5"/>
  <c r="DJ17" i="5"/>
  <c r="DJ12" i="5"/>
  <c r="DK11" i="5"/>
  <c r="DK21" i="5" l="1"/>
  <c r="DK20" i="5"/>
  <c r="DK12" i="5"/>
  <c r="DK10" i="5"/>
  <c r="DK18" i="5"/>
  <c r="DK14" i="5"/>
  <c r="DK15" i="5"/>
  <c r="DK16" i="5"/>
  <c r="DK17" i="5"/>
  <c r="DL11" i="5"/>
  <c r="DK19" i="5"/>
  <c r="DK13" i="5"/>
  <c r="DL21" i="5" l="1"/>
  <c r="DL20" i="5"/>
  <c r="DL19" i="5"/>
  <c r="DM11" i="5"/>
  <c r="DL15" i="5"/>
  <c r="DL16" i="5"/>
  <c r="DL10" i="5"/>
  <c r="DL17" i="5"/>
  <c r="DL14" i="5"/>
  <c r="DL13" i="5"/>
  <c r="DL18" i="5"/>
  <c r="DL12" i="5"/>
  <c r="DM21" i="5" l="1"/>
  <c r="DM20" i="5"/>
  <c r="DM19" i="5"/>
  <c r="DM18" i="5"/>
  <c r="DM16" i="5"/>
  <c r="DM10" i="5"/>
  <c r="DM17" i="5"/>
  <c r="DN11" i="5"/>
  <c r="DM12" i="5"/>
  <c r="DM13" i="5"/>
  <c r="DM15" i="5"/>
  <c r="DM14" i="5"/>
  <c r="DN21" i="5" l="1"/>
  <c r="DN20" i="5"/>
  <c r="DN19" i="5"/>
  <c r="DN18" i="5"/>
  <c r="DN17" i="5"/>
  <c r="DO11" i="5"/>
  <c r="DN12" i="5"/>
  <c r="DN13" i="5"/>
  <c r="DN10" i="5"/>
  <c r="DN14" i="5"/>
  <c r="DN16" i="5"/>
  <c r="DN15" i="5"/>
  <c r="DO20" i="5" l="1"/>
  <c r="DO19" i="5"/>
  <c r="DO18" i="5"/>
  <c r="DO16" i="5"/>
  <c r="DO17" i="5"/>
  <c r="DP11" i="5"/>
  <c r="DO21" i="5"/>
  <c r="DO12" i="5"/>
  <c r="DO13" i="5"/>
  <c r="DO14" i="5"/>
  <c r="DO15" i="5"/>
  <c r="DO10" i="5"/>
  <c r="DP19" i="5" l="1"/>
  <c r="DP15" i="5"/>
  <c r="DP20" i="5"/>
  <c r="DQ11" i="5"/>
  <c r="DP21" i="5"/>
  <c r="DP12" i="5"/>
  <c r="DP13" i="5"/>
  <c r="DP14" i="5"/>
  <c r="DP17" i="5"/>
  <c r="DP16" i="5"/>
  <c r="DP10" i="5"/>
  <c r="DP18" i="5"/>
  <c r="DQ18" i="5" l="1"/>
  <c r="DQ14" i="5"/>
  <c r="DQ21" i="5"/>
  <c r="DQ12" i="5"/>
  <c r="DQ13" i="5"/>
  <c r="DQ15" i="5"/>
  <c r="DQ10" i="5"/>
  <c r="DQ20" i="5"/>
  <c r="DQ17" i="5"/>
  <c r="DQ16" i="5"/>
  <c r="DR11" i="5"/>
  <c r="DQ19" i="5"/>
  <c r="DR21" i="5" l="1"/>
  <c r="DR13" i="5"/>
  <c r="DR14" i="5"/>
  <c r="DR15" i="5"/>
  <c r="DR10" i="5"/>
  <c r="DR16" i="5"/>
  <c r="DR20" i="5"/>
  <c r="DR17" i="5"/>
  <c r="DR12" i="5"/>
  <c r="DR19" i="5"/>
  <c r="DS11" i="5"/>
  <c r="DR18" i="5"/>
  <c r="DS21" i="5" l="1"/>
  <c r="DS20" i="5"/>
  <c r="DS12" i="5"/>
  <c r="DS10" i="5"/>
  <c r="DS13" i="5"/>
  <c r="DS14" i="5"/>
  <c r="DS15" i="5"/>
  <c r="DS16" i="5"/>
  <c r="DS19" i="5"/>
  <c r="DS18" i="5"/>
  <c r="DS17" i="5"/>
  <c r="DT11" i="5"/>
  <c r="DT21" i="5" l="1"/>
  <c r="DT20" i="5"/>
  <c r="DT19" i="5"/>
  <c r="DU11" i="5"/>
  <c r="DT14" i="5"/>
  <c r="DT15" i="5"/>
  <c r="DT16" i="5"/>
  <c r="DT10" i="5"/>
  <c r="DT18" i="5"/>
  <c r="DT17" i="5"/>
  <c r="DT12" i="5"/>
  <c r="DT13" i="5"/>
  <c r="DU21" i="5" l="1"/>
  <c r="DU20" i="5"/>
  <c r="DU19" i="5"/>
  <c r="DU18" i="5"/>
  <c r="DU15" i="5"/>
  <c r="DU16" i="5"/>
  <c r="DU10" i="5"/>
  <c r="DU17" i="5"/>
  <c r="DV11" i="5"/>
  <c r="DU14" i="5"/>
  <c r="DU13" i="5"/>
  <c r="DU12" i="5"/>
  <c r="DV21" i="5" l="1"/>
  <c r="DV20" i="5"/>
  <c r="DV19" i="5"/>
  <c r="DV18" i="5"/>
  <c r="DV17" i="5"/>
  <c r="DV16" i="5"/>
  <c r="DV10" i="5"/>
  <c r="DW11" i="5"/>
  <c r="DV12" i="5"/>
  <c r="DV15" i="5"/>
  <c r="DV14" i="5"/>
  <c r="DV13" i="5"/>
  <c r="DW20" i="5" l="1"/>
  <c r="DW19" i="5"/>
  <c r="DW18" i="5"/>
  <c r="DW16" i="5"/>
  <c r="DW17" i="5"/>
  <c r="DX11" i="5"/>
  <c r="DW12" i="5"/>
  <c r="DW13" i="5"/>
  <c r="DW21" i="5"/>
  <c r="DW15" i="5"/>
  <c r="DW10" i="5"/>
  <c r="DW14" i="5"/>
  <c r="DX19" i="5" l="1"/>
  <c r="DX15" i="5"/>
  <c r="DX17" i="5"/>
  <c r="DY11" i="5"/>
  <c r="DX18" i="5"/>
  <c r="DX12" i="5"/>
  <c r="DX13" i="5"/>
  <c r="DX14" i="5"/>
  <c r="DX21" i="5"/>
  <c r="DX16" i="5"/>
  <c r="DX10" i="5"/>
  <c r="DX20" i="5"/>
  <c r="DY18" i="5" l="1"/>
  <c r="DY14" i="5"/>
  <c r="DZ11" i="5"/>
  <c r="DY12" i="5"/>
  <c r="DY13" i="5"/>
  <c r="DY19" i="5"/>
  <c r="DY20" i="5"/>
  <c r="DY21" i="5"/>
  <c r="DY16" i="5"/>
  <c r="DY10" i="5"/>
  <c r="DY15" i="5"/>
  <c r="DY17" i="5"/>
  <c r="DZ21" i="5" l="1"/>
  <c r="DZ13" i="5"/>
  <c r="DZ12" i="5"/>
  <c r="DZ18" i="5"/>
  <c r="DZ19" i="5"/>
  <c r="DZ20" i="5"/>
  <c r="DZ14" i="5"/>
  <c r="DZ15" i="5"/>
  <c r="DZ10" i="5"/>
  <c r="EA11" i="5"/>
  <c r="DZ17" i="5"/>
  <c r="DZ16" i="5"/>
  <c r="EA21" i="5" l="1"/>
  <c r="EA20" i="5"/>
  <c r="EA12" i="5"/>
  <c r="EA10" i="5"/>
  <c r="EA18" i="5"/>
  <c r="EA19" i="5"/>
  <c r="EA13" i="5"/>
  <c r="EA14" i="5"/>
  <c r="EA15" i="5"/>
  <c r="EA16" i="5"/>
  <c r="EA17" i="5"/>
  <c r="EB11" i="5"/>
  <c r="EB21" i="5" l="1"/>
  <c r="EB20" i="5"/>
  <c r="EB19" i="5"/>
  <c r="EC11" i="5"/>
  <c r="EB13" i="5"/>
  <c r="EB14" i="5"/>
  <c r="EB15" i="5"/>
  <c r="EB16" i="5"/>
  <c r="EB10" i="5"/>
  <c r="EB17" i="5"/>
  <c r="EB18" i="5"/>
  <c r="EB12" i="5"/>
  <c r="EC21" i="5" l="1"/>
  <c r="EC20" i="5"/>
  <c r="EC19" i="5"/>
  <c r="EC18" i="5"/>
  <c r="EC14" i="5"/>
  <c r="EC15" i="5"/>
  <c r="EC16" i="5"/>
  <c r="EC10" i="5"/>
  <c r="EC17" i="5"/>
  <c r="ED11" i="5"/>
  <c r="EC13" i="5"/>
  <c r="EC12" i="5"/>
  <c r="ED21" i="5" l="1"/>
  <c r="ED20" i="5"/>
  <c r="ED19" i="5"/>
  <c r="ED18" i="5"/>
  <c r="ED17" i="5"/>
  <c r="ED15" i="5"/>
  <c r="ED16" i="5"/>
  <c r="ED10" i="5"/>
  <c r="EE11" i="5"/>
  <c r="ED14" i="5"/>
  <c r="ED13" i="5"/>
  <c r="ED12" i="5"/>
  <c r="EE20" i="5" l="1"/>
  <c r="EE19" i="5"/>
  <c r="EE18" i="5"/>
  <c r="EE16" i="5"/>
  <c r="EE10" i="5"/>
  <c r="EE17" i="5"/>
  <c r="EF11" i="5"/>
  <c r="EE21" i="5"/>
  <c r="EE12" i="5"/>
  <c r="EE15" i="5"/>
  <c r="EE14" i="5"/>
  <c r="EE13" i="5"/>
  <c r="EF19" i="5" l="1"/>
  <c r="EF15" i="5"/>
  <c r="EF16" i="5"/>
  <c r="EF17" i="5"/>
  <c r="EF20" i="5"/>
  <c r="EG11" i="5"/>
  <c r="EF21" i="5"/>
  <c r="EF12" i="5"/>
  <c r="EF13" i="5"/>
  <c r="EF14" i="5"/>
  <c r="EF18" i="5"/>
  <c r="EF10" i="5"/>
  <c r="EG18" i="5" l="1"/>
  <c r="EG14" i="5"/>
  <c r="EG19" i="5"/>
  <c r="EG17" i="5"/>
  <c r="EG20" i="5"/>
  <c r="EH11" i="5"/>
  <c r="EG21" i="5"/>
  <c r="EG12" i="5"/>
  <c r="EG13" i="5"/>
  <c r="EG16" i="5"/>
  <c r="EG15" i="5"/>
  <c r="EG10" i="5"/>
  <c r="EH21" i="5" l="1"/>
  <c r="EH13" i="5"/>
  <c r="EH20" i="5"/>
  <c r="EI11" i="5"/>
  <c r="EH12" i="5"/>
  <c r="EH14" i="5"/>
  <c r="EH18" i="5"/>
  <c r="EH19" i="5"/>
  <c r="EH15" i="5"/>
  <c r="EH17" i="5"/>
  <c r="EH16" i="5"/>
  <c r="EH10" i="5"/>
  <c r="EI21" i="5" l="1"/>
  <c r="EI20" i="5"/>
  <c r="EI12" i="5"/>
  <c r="EI10" i="5"/>
  <c r="EI13" i="5"/>
  <c r="EI14" i="5"/>
  <c r="EI18" i="5"/>
  <c r="EI15" i="5"/>
  <c r="EJ11" i="5"/>
  <c r="EI17" i="5"/>
  <c r="EI19" i="5"/>
  <c r="EI16" i="5"/>
  <c r="EJ21" i="5" l="1"/>
  <c r="EJ20" i="5"/>
  <c r="EJ19" i="5"/>
  <c r="EK11" i="5"/>
  <c r="EJ12" i="5"/>
  <c r="EJ13" i="5"/>
  <c r="EJ14" i="5"/>
  <c r="EJ18" i="5"/>
  <c r="EJ15" i="5"/>
  <c r="EJ16" i="5"/>
  <c r="EJ10" i="5"/>
  <c r="EJ17" i="5"/>
  <c r="EK21" i="5" l="1"/>
  <c r="EK20" i="5"/>
  <c r="EK19" i="5"/>
  <c r="EK18" i="5"/>
  <c r="EK13" i="5"/>
  <c r="EK14" i="5"/>
  <c r="EK15" i="5"/>
  <c r="EK16" i="5"/>
  <c r="EK10" i="5"/>
  <c r="EK17" i="5"/>
  <c r="EK12" i="5"/>
  <c r="EL11" i="5"/>
  <c r="EL21" i="5" l="1"/>
  <c r="EL20" i="5"/>
  <c r="EL19" i="5"/>
  <c r="EL18" i="5"/>
  <c r="EL17" i="5"/>
  <c r="EL14" i="5"/>
  <c r="EL15" i="5"/>
  <c r="EL16" i="5"/>
  <c r="EL10" i="5"/>
  <c r="EL13" i="5"/>
  <c r="EL12" i="5"/>
  <c r="EM11" i="5"/>
  <c r="EM20" i="5" l="1"/>
  <c r="EM19" i="5"/>
  <c r="EM18" i="5"/>
  <c r="EM16" i="5"/>
  <c r="EM15" i="5"/>
  <c r="EM21" i="5"/>
  <c r="EM10" i="5"/>
  <c r="EM17" i="5"/>
  <c r="EN11" i="5"/>
  <c r="EM13" i="5"/>
  <c r="EM12" i="5"/>
  <c r="EM14" i="5"/>
  <c r="EN19" i="5" l="1"/>
  <c r="EN15" i="5"/>
  <c r="EN21" i="5"/>
  <c r="EN10" i="5"/>
  <c r="EN16" i="5"/>
  <c r="EN18" i="5"/>
  <c r="EN17" i="5"/>
  <c r="EO11" i="5"/>
  <c r="EN12" i="5"/>
  <c r="EN14" i="5"/>
  <c r="EN20" i="5"/>
  <c r="EN13" i="5"/>
  <c r="EO18" i="5" l="1"/>
  <c r="EO14" i="5"/>
  <c r="EO16" i="5"/>
  <c r="EO17" i="5"/>
  <c r="EP11" i="5"/>
  <c r="EO12" i="5"/>
  <c r="EO13" i="5"/>
  <c r="EO15" i="5"/>
  <c r="EO20" i="5"/>
  <c r="EO21" i="5"/>
  <c r="EO19" i="5"/>
  <c r="EO10" i="5"/>
  <c r="EP21" i="5" l="1"/>
  <c r="EP13" i="5"/>
  <c r="EP17" i="5"/>
  <c r="EP18" i="5"/>
  <c r="EQ11" i="5"/>
  <c r="EP12" i="5"/>
  <c r="EP19" i="5"/>
  <c r="EP14" i="5"/>
  <c r="EP16" i="5"/>
  <c r="EP10" i="5"/>
  <c r="EP20" i="5"/>
  <c r="EP15" i="5"/>
  <c r="EQ21" i="5" l="1"/>
  <c r="EQ20" i="5"/>
  <c r="EQ12" i="5"/>
  <c r="EQ10" i="5"/>
  <c r="EQ18" i="5"/>
  <c r="ER11" i="5"/>
  <c r="EQ19" i="5"/>
  <c r="EQ13" i="5"/>
  <c r="EQ14" i="5"/>
  <c r="EQ17" i="5"/>
  <c r="EQ16" i="5"/>
  <c r="EQ15" i="5"/>
  <c r="ER21" i="5" l="1"/>
  <c r="ER20" i="5"/>
  <c r="ER19" i="5"/>
  <c r="ES11" i="5"/>
  <c r="ER12" i="5"/>
  <c r="ER13" i="5"/>
  <c r="ER14" i="5"/>
  <c r="ER15" i="5"/>
  <c r="ER17" i="5"/>
  <c r="ER16" i="5"/>
  <c r="ER10" i="5"/>
  <c r="ER18" i="5"/>
  <c r="ES21" i="5" l="1"/>
  <c r="ES20" i="5"/>
  <c r="ES19" i="5"/>
  <c r="ES18" i="5"/>
  <c r="ES12" i="5"/>
  <c r="ES13" i="5"/>
  <c r="ES14" i="5"/>
  <c r="ES15" i="5"/>
  <c r="ES16" i="5"/>
  <c r="ES10" i="5"/>
  <c r="ET11" i="5"/>
  <c r="ES17" i="5"/>
  <c r="ET21" i="5" l="1"/>
  <c r="ET20" i="5"/>
  <c r="ET19" i="5"/>
  <c r="ET18" i="5"/>
  <c r="ET17" i="5"/>
  <c r="ET13" i="5"/>
  <c r="ET14" i="5"/>
  <c r="ET15" i="5"/>
  <c r="ET16" i="5"/>
  <c r="ET10" i="5"/>
  <c r="ET12" i="5"/>
  <c r="EU11" i="5"/>
  <c r="EU20" i="5" l="1"/>
  <c r="EU19" i="5"/>
  <c r="EU18" i="5"/>
  <c r="EU16" i="5"/>
  <c r="EU14" i="5"/>
  <c r="EU15" i="5"/>
  <c r="EU10" i="5"/>
  <c r="EU17" i="5"/>
  <c r="EV11" i="5"/>
  <c r="EU12" i="5"/>
  <c r="EU21" i="5"/>
  <c r="EU13" i="5"/>
  <c r="EV19" i="5" l="1"/>
  <c r="EV15" i="5"/>
  <c r="EV10" i="5"/>
  <c r="EV16" i="5"/>
  <c r="EV17" i="5"/>
  <c r="EV20" i="5"/>
  <c r="EW11" i="5"/>
  <c r="EV21" i="5"/>
  <c r="EV12" i="5"/>
  <c r="EV13" i="5"/>
  <c r="EV18" i="5"/>
  <c r="EV14" i="5"/>
  <c r="EW18" i="5" l="1"/>
  <c r="EW14" i="5"/>
  <c r="EW15" i="5"/>
  <c r="EW10" i="5"/>
  <c r="EW16" i="5"/>
  <c r="EW19" i="5"/>
  <c r="EW17" i="5"/>
  <c r="EW20" i="5"/>
  <c r="EX11" i="5"/>
  <c r="EW21" i="5"/>
  <c r="EW12" i="5"/>
  <c r="EW13" i="5"/>
  <c r="EX21" i="5" l="1"/>
  <c r="EX13" i="5"/>
  <c r="EX16" i="5"/>
  <c r="EX19" i="5"/>
  <c r="EX17" i="5"/>
  <c r="EX20" i="5"/>
  <c r="EY11" i="5"/>
  <c r="EX12" i="5"/>
  <c r="EX10" i="5"/>
  <c r="EX15" i="5"/>
  <c r="EX18" i="5"/>
  <c r="EX14" i="5"/>
  <c r="EY21" i="5" l="1"/>
  <c r="EY20" i="5"/>
  <c r="EY12" i="5"/>
  <c r="EY10" i="5"/>
  <c r="EY19" i="5"/>
  <c r="EY17" i="5"/>
  <c r="EZ11" i="5"/>
  <c r="EY18" i="5"/>
  <c r="EY13" i="5"/>
  <c r="EY16" i="5"/>
  <c r="EY15" i="5"/>
  <c r="EY14" i="5"/>
  <c r="EZ21" i="5" l="1"/>
  <c r="EZ20" i="5"/>
  <c r="EZ19" i="5"/>
  <c r="FA11" i="5"/>
  <c r="EZ12" i="5"/>
  <c r="EZ18" i="5"/>
  <c r="EZ13" i="5"/>
  <c r="EZ14" i="5"/>
  <c r="EZ15" i="5"/>
  <c r="EZ10" i="5"/>
  <c r="EZ17" i="5"/>
  <c r="EZ16" i="5"/>
  <c r="FA21" i="5" l="1"/>
  <c r="FA20" i="5"/>
  <c r="FA19" i="5"/>
  <c r="FA18" i="5"/>
  <c r="FB11" i="5"/>
  <c r="FA12" i="5"/>
  <c r="FA13" i="5"/>
  <c r="FA14" i="5"/>
  <c r="FA15" i="5"/>
  <c r="FA16" i="5"/>
  <c r="FA17" i="5"/>
  <c r="FA10" i="5"/>
  <c r="FB21" i="5" l="1"/>
  <c r="FB20" i="5"/>
  <c r="FB19" i="5"/>
  <c r="FB18" i="5"/>
  <c r="FB17" i="5"/>
  <c r="FB12" i="5"/>
  <c r="FB13" i="5"/>
  <c r="FB14" i="5"/>
  <c r="FB15" i="5"/>
  <c r="FB16" i="5"/>
  <c r="FB10" i="5"/>
  <c r="FC11" i="5"/>
  <c r="FC20" i="5" l="1"/>
  <c r="FC19" i="5"/>
  <c r="FC18" i="5"/>
  <c r="FC16" i="5"/>
  <c r="FC13" i="5"/>
  <c r="FC14" i="5"/>
  <c r="FC15" i="5"/>
  <c r="FC21" i="5"/>
  <c r="FC10" i="5"/>
  <c r="FC12" i="5"/>
  <c r="FC17" i="5"/>
  <c r="FD11" i="5"/>
  <c r="FD19" i="5" l="1"/>
  <c r="FD15" i="5"/>
  <c r="FD14" i="5"/>
  <c r="FD20" i="5"/>
  <c r="FD21" i="5"/>
  <c r="FD18" i="5"/>
  <c r="FD10" i="5"/>
  <c r="FD16" i="5"/>
  <c r="FD17" i="5"/>
  <c r="FD13" i="5"/>
  <c r="FD12" i="5"/>
  <c r="FE11" i="5"/>
  <c r="FE18" i="5" l="1"/>
  <c r="FE14" i="5"/>
  <c r="FE20" i="5"/>
  <c r="FE21" i="5"/>
  <c r="FE15" i="5"/>
  <c r="FE10" i="5"/>
  <c r="FE16" i="5"/>
  <c r="FE17" i="5"/>
  <c r="FF11" i="5"/>
  <c r="FE19" i="5"/>
  <c r="FE13" i="5"/>
  <c r="FE12" i="5"/>
  <c r="FF21" i="5" l="1"/>
  <c r="FF13" i="5"/>
  <c r="FF15" i="5"/>
  <c r="FF10" i="5"/>
  <c r="FF18" i="5"/>
  <c r="FF16" i="5"/>
  <c r="FF17" i="5"/>
  <c r="FG11" i="5"/>
  <c r="FF12" i="5"/>
  <c r="FF19" i="5"/>
  <c r="FF14" i="5"/>
  <c r="FF20" i="5"/>
  <c r="FG21" i="5" l="1"/>
  <c r="FG20" i="5"/>
  <c r="FG12" i="5"/>
  <c r="FG10" i="5"/>
  <c r="FG18" i="5"/>
  <c r="FG16" i="5"/>
  <c r="FG17" i="5"/>
  <c r="FH11" i="5"/>
  <c r="FG19" i="5"/>
  <c r="FG14" i="5"/>
  <c r="FG13" i="5"/>
  <c r="FG15" i="5"/>
  <c r="FH21" i="5" l="1"/>
  <c r="FH20" i="5"/>
  <c r="FH19" i="5"/>
  <c r="FI11" i="5"/>
  <c r="FH17" i="5"/>
  <c r="FH12" i="5"/>
  <c r="FH13" i="5"/>
  <c r="FH16" i="5"/>
  <c r="FH18" i="5"/>
  <c r="FH15" i="5"/>
  <c r="FH10" i="5"/>
  <c r="FH14" i="5"/>
  <c r="FI21" i="5" l="1"/>
  <c r="FI20" i="5"/>
  <c r="FI19" i="5"/>
  <c r="FI18" i="5"/>
  <c r="FJ11" i="5"/>
  <c r="FI12" i="5"/>
  <c r="FI13" i="5"/>
  <c r="FI14" i="5"/>
  <c r="FI15" i="5"/>
  <c r="FI10" i="5"/>
  <c r="FI17" i="5"/>
  <c r="FI16" i="5"/>
  <c r="FJ21" i="5" l="1"/>
  <c r="FJ20" i="5"/>
  <c r="FJ19" i="5"/>
  <c r="FJ18" i="5"/>
  <c r="FJ17" i="5"/>
  <c r="FK11" i="5"/>
  <c r="FJ12" i="5"/>
  <c r="FJ13" i="5"/>
  <c r="FJ14" i="5"/>
  <c r="FJ15" i="5"/>
  <c r="FJ16" i="5"/>
  <c r="FJ10" i="5"/>
  <c r="FK20" i="5" l="1"/>
  <c r="FK19" i="5"/>
  <c r="FK18" i="5"/>
  <c r="FK16" i="5"/>
  <c r="FK21" i="5"/>
  <c r="FK12" i="5"/>
  <c r="FK13" i="5"/>
  <c r="FK14" i="5"/>
  <c r="FK15" i="5"/>
  <c r="FK10" i="5"/>
  <c r="FK17" i="5"/>
  <c r="FL11" i="5"/>
  <c r="FL19" i="5" l="1"/>
  <c r="FL15" i="5"/>
  <c r="FL13" i="5"/>
  <c r="FL14" i="5"/>
  <c r="FL10" i="5"/>
  <c r="FL16" i="5"/>
  <c r="FL17" i="5"/>
  <c r="FL20" i="5"/>
  <c r="FL12" i="5"/>
  <c r="FL18" i="5"/>
  <c r="FM11" i="5"/>
  <c r="FL21" i="5"/>
  <c r="FM18" i="5" l="1"/>
  <c r="FM14" i="5"/>
  <c r="FM15" i="5"/>
  <c r="FM10" i="5"/>
  <c r="FM16" i="5"/>
  <c r="FM19" i="5"/>
  <c r="FM17" i="5"/>
  <c r="FM13" i="5"/>
  <c r="FM20" i="5"/>
  <c r="FM12" i="5"/>
  <c r="FN11" i="5"/>
  <c r="FM21" i="5"/>
  <c r="FN21" i="5" l="1"/>
  <c r="FN13" i="5"/>
  <c r="FN14" i="5"/>
  <c r="FN15" i="5"/>
  <c r="FN10" i="5"/>
  <c r="FN16" i="5"/>
  <c r="FN19" i="5"/>
  <c r="FN17" i="5"/>
  <c r="FN20" i="5"/>
  <c r="FO11" i="5"/>
  <c r="FN12" i="5"/>
  <c r="FN18" i="5"/>
  <c r="FO21" i="5" l="1"/>
  <c r="FO20" i="5"/>
  <c r="FO12" i="5"/>
  <c r="FO10" i="5"/>
  <c r="FO15" i="5"/>
  <c r="FO16" i="5"/>
  <c r="FO19" i="5"/>
  <c r="FO17" i="5"/>
  <c r="FP11" i="5"/>
  <c r="FO18" i="5"/>
  <c r="FO14" i="5"/>
  <c r="FO13" i="5"/>
  <c r="FP21" i="5" l="1"/>
  <c r="FP20" i="5"/>
  <c r="FP19" i="5"/>
  <c r="FQ11" i="5"/>
  <c r="FP16" i="5"/>
  <c r="FP10" i="5"/>
  <c r="FP17" i="5"/>
  <c r="FP18" i="5"/>
  <c r="FP12" i="5"/>
  <c r="FP13" i="5"/>
  <c r="FP15" i="5"/>
  <c r="FP14" i="5"/>
  <c r="FQ21" i="5" l="1"/>
  <c r="FQ20" i="5"/>
  <c r="FQ19" i="5"/>
  <c r="FQ18" i="5"/>
  <c r="FQ17" i="5"/>
  <c r="FR11" i="5"/>
  <c r="FQ12" i="5"/>
  <c r="FQ13" i="5"/>
  <c r="FQ16" i="5"/>
  <c r="FQ15" i="5"/>
  <c r="FQ10" i="5"/>
  <c r="FQ14" i="5"/>
  <c r="FR21" i="5" l="1"/>
  <c r="FR20" i="5"/>
  <c r="FR19" i="5"/>
  <c r="FR18" i="5"/>
  <c r="FR17" i="5"/>
  <c r="FS11" i="5"/>
  <c r="FR12" i="5"/>
  <c r="FR13" i="5"/>
  <c r="FR14" i="5"/>
  <c r="FR16" i="5"/>
  <c r="FR15" i="5"/>
  <c r="FR10" i="5"/>
  <c r="FS20" i="5" l="1"/>
  <c r="FS19" i="5"/>
  <c r="FS18" i="5"/>
  <c r="FS16" i="5"/>
  <c r="FT11" i="5"/>
  <c r="FS12" i="5"/>
  <c r="FS13" i="5"/>
  <c r="FS14" i="5"/>
  <c r="FS15" i="5"/>
  <c r="FS17" i="5"/>
  <c r="FS10" i="5"/>
  <c r="FS21" i="5"/>
  <c r="FT19" i="5" l="1"/>
  <c r="FT15" i="5"/>
  <c r="FT12" i="5"/>
  <c r="FT13" i="5"/>
  <c r="FT18" i="5"/>
  <c r="FT14" i="5"/>
  <c r="FT20" i="5"/>
  <c r="FT21" i="5"/>
  <c r="FT10" i="5"/>
  <c r="FT16" i="5"/>
  <c r="FU11" i="5"/>
  <c r="FT17" i="5"/>
  <c r="FU18" i="5" l="1"/>
  <c r="FU14" i="5"/>
  <c r="FU13" i="5"/>
  <c r="FU19" i="5"/>
  <c r="FU20" i="5"/>
  <c r="FU21" i="5"/>
  <c r="FU15" i="5"/>
  <c r="FU10" i="5"/>
  <c r="FU16" i="5"/>
  <c r="FV11" i="5"/>
  <c r="FU17" i="5"/>
  <c r="FU12" i="5"/>
  <c r="FV21" i="5" l="1"/>
  <c r="FV13" i="5"/>
  <c r="FV19" i="5"/>
  <c r="FV20" i="5"/>
  <c r="FV18" i="5"/>
  <c r="FV14" i="5"/>
  <c r="FV15" i="5"/>
  <c r="FV10" i="5"/>
  <c r="FV16" i="5"/>
  <c r="FV17" i="5"/>
  <c r="FW11" i="5"/>
  <c r="FV12" i="5"/>
  <c r="FW21" i="5" l="1"/>
  <c r="FW20" i="5"/>
  <c r="FW12" i="5"/>
  <c r="FW10" i="5"/>
  <c r="FW18" i="5"/>
  <c r="FW14" i="5"/>
  <c r="FW15" i="5"/>
  <c r="FW16" i="5"/>
  <c r="FW17" i="5"/>
  <c r="FX11" i="5"/>
  <c r="FW13" i="5"/>
  <c r="FW19" i="5"/>
  <c r="FX21" i="5" l="1"/>
  <c r="FX20" i="5"/>
  <c r="FX19" i="5"/>
  <c r="FY11" i="5"/>
  <c r="FX15" i="5"/>
  <c r="FX16" i="5"/>
  <c r="FX10" i="5"/>
  <c r="FX17" i="5"/>
  <c r="FX18" i="5"/>
  <c r="FX12" i="5"/>
  <c r="FX14" i="5"/>
  <c r="FX13" i="5"/>
  <c r="FY21" i="5" l="1"/>
  <c r="FY20" i="5"/>
  <c r="FY19" i="5"/>
  <c r="FY18" i="5"/>
  <c r="FY16" i="5"/>
  <c r="FY10" i="5"/>
  <c r="FY17" i="5"/>
  <c r="FZ11" i="5"/>
  <c r="FY12" i="5"/>
  <c r="FY15" i="5"/>
  <c r="FY14" i="5"/>
  <c r="FY13" i="5"/>
  <c r="FZ21" i="5" l="1"/>
  <c r="FZ20" i="5"/>
  <c r="FZ19" i="5"/>
  <c r="FZ18" i="5"/>
  <c r="FZ17" i="5"/>
  <c r="GA11" i="5"/>
  <c r="FZ12" i="5"/>
  <c r="FZ13" i="5"/>
  <c r="FZ15" i="5"/>
  <c r="FZ10" i="5"/>
  <c r="FZ14" i="5"/>
  <c r="FZ16" i="5"/>
  <c r="GA20" i="5" l="1"/>
  <c r="GA19" i="5"/>
  <c r="GA18" i="5"/>
  <c r="GA16" i="5"/>
  <c r="GA17" i="5"/>
  <c r="GB11" i="5"/>
  <c r="GA21" i="5"/>
  <c r="GA12" i="5"/>
  <c r="GA13" i="5"/>
  <c r="GA14" i="5"/>
  <c r="GA10" i="5"/>
  <c r="GA15" i="5"/>
  <c r="GB19" i="5" l="1"/>
  <c r="GB15" i="5"/>
  <c r="GB20" i="5"/>
  <c r="GC11" i="5"/>
  <c r="GB21" i="5"/>
  <c r="GB12" i="5"/>
  <c r="GB13" i="5"/>
  <c r="GB14" i="5"/>
  <c r="GB18" i="5"/>
  <c r="GB17" i="5"/>
  <c r="GB16" i="5"/>
  <c r="GB10" i="5"/>
  <c r="GC18" i="5" l="1"/>
  <c r="GC14" i="5"/>
  <c r="GC21" i="5"/>
  <c r="GC12" i="5"/>
  <c r="GC13" i="5"/>
  <c r="GC15" i="5"/>
  <c r="GC10" i="5"/>
  <c r="GC20" i="5"/>
  <c r="GC16" i="5"/>
  <c r="GD11" i="5"/>
  <c r="GC17" i="5"/>
  <c r="GC19" i="5"/>
  <c r="GD21" i="5" l="1"/>
  <c r="GD13" i="5"/>
  <c r="GD14" i="5"/>
  <c r="GD15" i="5"/>
  <c r="GD10" i="5"/>
  <c r="GD16" i="5"/>
  <c r="GD20" i="5"/>
  <c r="GD18" i="5"/>
  <c r="GE11" i="5"/>
  <c r="GD17" i="5"/>
  <c r="GD12" i="5"/>
  <c r="GD19" i="5"/>
  <c r="GE21" i="5" l="1"/>
  <c r="GE20" i="5"/>
  <c r="GE12" i="5"/>
  <c r="GE10" i="5"/>
  <c r="GE13" i="5"/>
  <c r="GE14" i="5"/>
  <c r="GE15" i="5"/>
  <c r="GE16" i="5"/>
  <c r="GE19" i="5"/>
  <c r="GE18" i="5"/>
  <c r="GE17" i="5"/>
  <c r="GF11" i="5"/>
  <c r="GF21" i="5" l="1"/>
  <c r="GF20" i="5"/>
  <c r="GF19" i="5"/>
  <c r="GG11" i="5"/>
  <c r="GF14" i="5"/>
  <c r="GF15" i="5"/>
  <c r="GF16" i="5"/>
  <c r="GF10" i="5"/>
  <c r="GF18" i="5"/>
  <c r="GF17" i="5"/>
  <c r="GF13" i="5"/>
  <c r="GF12" i="5"/>
  <c r="GG21" i="5" l="1"/>
  <c r="GG20" i="5"/>
  <c r="GG19" i="5"/>
  <c r="GG18" i="5"/>
  <c r="GG15" i="5"/>
  <c r="GG16" i="5"/>
  <c r="GG10" i="5"/>
  <c r="GG17" i="5"/>
  <c r="GH11" i="5"/>
  <c r="GG14" i="5"/>
  <c r="GG13" i="5"/>
  <c r="GG12" i="5"/>
  <c r="GH21" i="5" l="1"/>
  <c r="GH20" i="5"/>
  <c r="GH19" i="5"/>
  <c r="GH18" i="5"/>
  <c r="GH17" i="5"/>
  <c r="GH16" i="5"/>
  <c r="GH10" i="5"/>
  <c r="GI11" i="5"/>
  <c r="GH12" i="5"/>
  <c r="GH13" i="5"/>
  <c r="GH14" i="5"/>
  <c r="GH15" i="5"/>
  <c r="GI20" i="5" l="1"/>
  <c r="GI19" i="5"/>
  <c r="GI18" i="5"/>
  <c r="GI16" i="5"/>
  <c r="GI17" i="5"/>
  <c r="GJ11" i="5"/>
  <c r="GI12" i="5"/>
  <c r="GI13" i="5"/>
  <c r="GI21" i="5"/>
  <c r="GI10" i="5"/>
  <c r="GI14" i="5"/>
  <c r="GI15" i="5"/>
  <c r="GJ19" i="5" l="1"/>
  <c r="GJ15" i="5"/>
  <c r="GJ17" i="5"/>
  <c r="GK11" i="5"/>
  <c r="GJ18" i="5"/>
  <c r="GJ12" i="5"/>
  <c r="GJ13" i="5"/>
  <c r="GJ14" i="5"/>
  <c r="GJ21" i="5"/>
  <c r="GJ20" i="5"/>
  <c r="GJ16" i="5"/>
  <c r="GJ10" i="5"/>
  <c r="GK18" i="5" l="1"/>
  <c r="GK14" i="5"/>
  <c r="GL11" i="5"/>
  <c r="GK12" i="5"/>
  <c r="GK13" i="5"/>
  <c r="GK19" i="5"/>
  <c r="GK20" i="5"/>
  <c r="GK17" i="5"/>
  <c r="GK16" i="5"/>
  <c r="GK10" i="5"/>
  <c r="GK21" i="5"/>
  <c r="GK15" i="5"/>
  <c r="GL21" i="5" l="1"/>
  <c r="GL13" i="5"/>
  <c r="GL12" i="5"/>
  <c r="GL18" i="5"/>
  <c r="GL19" i="5"/>
  <c r="GL20" i="5"/>
  <c r="GL14" i="5"/>
  <c r="GL15" i="5"/>
  <c r="GL10" i="5"/>
  <c r="GL17" i="5"/>
  <c r="GL16" i="5"/>
  <c r="GM11" i="5"/>
  <c r="GM21" i="5" l="1"/>
  <c r="GM20" i="5"/>
  <c r="GM12" i="5"/>
  <c r="GM10" i="5"/>
  <c r="GM18" i="5"/>
  <c r="GM19" i="5"/>
  <c r="GM13" i="5"/>
  <c r="GM14" i="5"/>
  <c r="GM15" i="5"/>
  <c r="GM16" i="5"/>
  <c r="GM17" i="5"/>
  <c r="GN11" i="5"/>
  <c r="GN21" i="5" l="1"/>
  <c r="GN20" i="5"/>
  <c r="GN19" i="5"/>
  <c r="GO11" i="5"/>
  <c r="GN13" i="5"/>
  <c r="GN14" i="5"/>
  <c r="GN15" i="5"/>
  <c r="GN16" i="5"/>
  <c r="GN10" i="5"/>
  <c r="GN17" i="5"/>
  <c r="GN12" i="5"/>
  <c r="GN18" i="5"/>
  <c r="GO21" i="5" l="1"/>
  <c r="GO20" i="5"/>
  <c r="GO19" i="5"/>
  <c r="GO18" i="5"/>
  <c r="GO14" i="5"/>
  <c r="GO15" i="5"/>
  <c r="GO16" i="5"/>
  <c r="GO10" i="5"/>
  <c r="GO17" i="5"/>
  <c r="GO12" i="5"/>
  <c r="GP11" i="5"/>
  <c r="GO13" i="5"/>
  <c r="GP21" i="5" l="1"/>
  <c r="GP20" i="5"/>
  <c r="GP19" i="5"/>
  <c r="GP18" i="5"/>
  <c r="GP17" i="5"/>
  <c r="GP15" i="5"/>
  <c r="GP16" i="5"/>
  <c r="GP10" i="5"/>
  <c r="GQ11" i="5"/>
  <c r="GP12" i="5"/>
  <c r="GP14" i="5"/>
  <c r="GP13" i="5"/>
  <c r="GQ20" i="5" l="1"/>
  <c r="GQ19" i="5"/>
  <c r="GQ18" i="5"/>
  <c r="GQ16" i="5"/>
  <c r="GQ10" i="5"/>
  <c r="GQ17" i="5"/>
  <c r="GR11" i="5"/>
  <c r="GQ21" i="5"/>
  <c r="GQ12" i="5"/>
  <c r="GQ15" i="5"/>
  <c r="GQ14" i="5"/>
  <c r="GQ13" i="5"/>
  <c r="GR19" i="5" l="1"/>
  <c r="GR15" i="5"/>
  <c r="GR16" i="5"/>
  <c r="GR17" i="5"/>
  <c r="GR20" i="5"/>
  <c r="GS11" i="5"/>
  <c r="GR21" i="5"/>
  <c r="GR12" i="5"/>
  <c r="GR13" i="5"/>
  <c r="GR10" i="5"/>
  <c r="GR14" i="5"/>
  <c r="GR18" i="5"/>
  <c r="GS18" i="5" l="1"/>
  <c r="GS14" i="5"/>
  <c r="GS19" i="5"/>
  <c r="GS17" i="5"/>
  <c r="GS20" i="5"/>
  <c r="GT11" i="5"/>
  <c r="GS21" i="5"/>
  <c r="GS12" i="5"/>
  <c r="GS13" i="5"/>
  <c r="GS16" i="5"/>
  <c r="GS10" i="5"/>
  <c r="GS15" i="5"/>
  <c r="GT21" i="5" l="1"/>
  <c r="GT13" i="5"/>
  <c r="GT20" i="5"/>
  <c r="GU11" i="5"/>
  <c r="GT12" i="5"/>
  <c r="GT14" i="5"/>
  <c r="GT16" i="5"/>
  <c r="GT10" i="5"/>
  <c r="GT15" i="5"/>
  <c r="GT17" i="5"/>
  <c r="GT19" i="5"/>
  <c r="GT18" i="5"/>
  <c r="GU21" i="5" l="1"/>
  <c r="GU20" i="5"/>
  <c r="GU12" i="5"/>
  <c r="GU10" i="5"/>
  <c r="GU13" i="5"/>
  <c r="GU14" i="5"/>
  <c r="GU18" i="5"/>
  <c r="GU15" i="5"/>
  <c r="GV11" i="5"/>
  <c r="GU19" i="5"/>
  <c r="GU17" i="5"/>
  <c r="GU16" i="5"/>
  <c r="GV21" i="5" l="1"/>
  <c r="GV20" i="5"/>
  <c r="GV19" i="5"/>
  <c r="GW11" i="5"/>
  <c r="GV12" i="5"/>
  <c r="GV13" i="5"/>
  <c r="GV14" i="5"/>
  <c r="GV18" i="5"/>
  <c r="GV15" i="5"/>
  <c r="GV16" i="5"/>
  <c r="GV10" i="5"/>
  <c r="GV17" i="5"/>
  <c r="GW21" i="5" l="1"/>
  <c r="GW20" i="5"/>
  <c r="GW19" i="5"/>
  <c r="GW18" i="5"/>
  <c r="GW13" i="5"/>
  <c r="GW14" i="5"/>
  <c r="GW15" i="5"/>
  <c r="GW16" i="5"/>
  <c r="GW10" i="5"/>
  <c r="GW17" i="5"/>
  <c r="GW12" i="5"/>
  <c r="GX11" i="5"/>
  <c r="GX21" i="5" l="1"/>
  <c r="GX20" i="5"/>
  <c r="GX19" i="5"/>
  <c r="GX18" i="5"/>
  <c r="GX17" i="5"/>
  <c r="GX14" i="5"/>
  <c r="GX15" i="5"/>
  <c r="GX16" i="5"/>
  <c r="GX10" i="5"/>
  <c r="GY11" i="5"/>
  <c r="GX13" i="5"/>
  <c r="GX12" i="5"/>
  <c r="GY20" i="5" l="1"/>
  <c r="GY19" i="5"/>
  <c r="GY18" i="5"/>
  <c r="GY16" i="5"/>
  <c r="GY15" i="5"/>
  <c r="GY21" i="5"/>
  <c r="GY10" i="5"/>
  <c r="GY17" i="5"/>
  <c r="GZ11" i="5"/>
  <c r="GY14" i="5"/>
  <c r="GY13" i="5"/>
  <c r="GY12" i="5"/>
  <c r="GZ19" i="5" l="1"/>
  <c r="GZ15" i="5"/>
  <c r="GZ21" i="5"/>
  <c r="GZ10" i="5"/>
  <c r="GZ16" i="5"/>
  <c r="GZ18" i="5"/>
  <c r="GZ17" i="5"/>
  <c r="HA11" i="5"/>
  <c r="GZ12" i="5"/>
  <c r="GZ14" i="5"/>
  <c r="GZ13" i="5"/>
  <c r="GZ20" i="5"/>
  <c r="HA18" i="5" l="1"/>
  <c r="HA14" i="5"/>
  <c r="HA16" i="5"/>
  <c r="HA17" i="5"/>
  <c r="HB11" i="5"/>
  <c r="HA12" i="5"/>
  <c r="HA13" i="5"/>
  <c r="HA15" i="5"/>
  <c r="HA10" i="5"/>
  <c r="HA19" i="5"/>
  <c r="HA21" i="5"/>
  <c r="HA20" i="5"/>
  <c r="HB21" i="5" l="1"/>
  <c r="HB13" i="5"/>
  <c r="HB17" i="5"/>
  <c r="HB18" i="5"/>
  <c r="HC11" i="5"/>
  <c r="HB12" i="5"/>
  <c r="HB19" i="5"/>
  <c r="HB14" i="5"/>
  <c r="HB10" i="5"/>
  <c r="HB15" i="5"/>
  <c r="HB20" i="5"/>
  <c r="HB16" i="5"/>
  <c r="HC21" i="5" l="1"/>
  <c r="HC20" i="5"/>
  <c r="HC12" i="5"/>
  <c r="HC10" i="5"/>
  <c r="HC18" i="5"/>
  <c r="HD11" i="5"/>
  <c r="HC19" i="5"/>
  <c r="HC13" i="5"/>
  <c r="HC14" i="5"/>
  <c r="HC15" i="5"/>
  <c r="HC17" i="5"/>
  <c r="HC16" i="5"/>
  <c r="HD21" i="5" l="1"/>
  <c r="HD20" i="5"/>
  <c r="HD19" i="5"/>
  <c r="HE11" i="5"/>
  <c r="HD12" i="5"/>
  <c r="HD13" i="5"/>
  <c r="HD14" i="5"/>
  <c r="HD15" i="5"/>
  <c r="HD18" i="5"/>
  <c r="HD17" i="5"/>
  <c r="HD16" i="5"/>
  <c r="HD10" i="5"/>
  <c r="HE21" i="5" l="1"/>
  <c r="HE20" i="5"/>
  <c r="HE19" i="5"/>
  <c r="HE18" i="5"/>
  <c r="HE12" i="5"/>
  <c r="HE13" i="5"/>
  <c r="HE14" i="5"/>
  <c r="HE15" i="5"/>
  <c r="HE16" i="5"/>
  <c r="HE10" i="5"/>
  <c r="HE17" i="5"/>
  <c r="HF11" i="5"/>
  <c r="HF21" i="5" l="1"/>
  <c r="HF20" i="5"/>
  <c r="HF19" i="5"/>
  <c r="HF18" i="5"/>
  <c r="HF17" i="5"/>
  <c r="HF13" i="5"/>
  <c r="HF14" i="5"/>
  <c r="HF15" i="5"/>
  <c r="HF16" i="5"/>
  <c r="HF10" i="5"/>
  <c r="HF12" i="5"/>
  <c r="HG11" i="5"/>
  <c r="HG20" i="5" l="1"/>
  <c r="HG19" i="5"/>
  <c r="HG18" i="5"/>
  <c r="HG16" i="5"/>
  <c r="HG14" i="5"/>
  <c r="HG15" i="5"/>
  <c r="HG10" i="5"/>
  <c r="HG17" i="5"/>
  <c r="HG13" i="5"/>
  <c r="HG12" i="5"/>
  <c r="HG21" i="5"/>
  <c r="HH11" i="5"/>
  <c r="HH19" i="5" l="1"/>
  <c r="HH17" i="5"/>
  <c r="HH15" i="5"/>
  <c r="HH10" i="5"/>
  <c r="HH16" i="5"/>
  <c r="HH20" i="5"/>
  <c r="HI11" i="5"/>
  <c r="HH13" i="5"/>
  <c r="HH12" i="5"/>
  <c r="HH18" i="5"/>
  <c r="HH14" i="5"/>
  <c r="HH21" i="5"/>
  <c r="HI18" i="5" l="1"/>
  <c r="HI14" i="5"/>
  <c r="HI15" i="5"/>
  <c r="HI10" i="5"/>
  <c r="HI16" i="5"/>
  <c r="HI19" i="5"/>
  <c r="HI20" i="5"/>
  <c r="HI17" i="5"/>
  <c r="HJ11" i="5"/>
  <c r="HI21" i="5"/>
  <c r="HI12" i="5"/>
  <c r="HI13" i="5"/>
  <c r="HJ17" i="5" l="1"/>
  <c r="HJ21" i="5"/>
  <c r="HJ13" i="5"/>
  <c r="HJ16" i="5"/>
  <c r="HJ19" i="5"/>
  <c r="HJ20" i="5"/>
  <c r="HK11" i="5"/>
  <c r="HJ12" i="5"/>
  <c r="HJ18" i="5"/>
  <c r="HJ15" i="5"/>
  <c r="HJ10" i="5"/>
  <c r="HJ14" i="5"/>
  <c r="HK21" i="5" l="1"/>
  <c r="HK20" i="5"/>
  <c r="HK12" i="5"/>
  <c r="HK10" i="5"/>
  <c r="HK19" i="5"/>
  <c r="HL11" i="5"/>
  <c r="HK17" i="5"/>
  <c r="HK18" i="5"/>
  <c r="HK13" i="5"/>
  <c r="HK14" i="5"/>
  <c r="HK16" i="5"/>
  <c r="HK15" i="5"/>
  <c r="HL21" i="5" l="1"/>
  <c r="HL20" i="5"/>
  <c r="HL19" i="5"/>
  <c r="HM11" i="5"/>
  <c r="HL17" i="5"/>
  <c r="HL12" i="5"/>
  <c r="HL18" i="5"/>
  <c r="HL13" i="5"/>
  <c r="HL14" i="5"/>
  <c r="HL16" i="5"/>
  <c r="HL15" i="5"/>
  <c r="HL10" i="5"/>
  <c r="HM21" i="5" l="1"/>
  <c r="HM20" i="5"/>
  <c r="HM19" i="5"/>
  <c r="HM18" i="5"/>
  <c r="HM17" i="5"/>
  <c r="HN11" i="5"/>
  <c r="HM12" i="5"/>
  <c r="HM13" i="5"/>
  <c r="HM14" i="5"/>
  <c r="HM15" i="5"/>
  <c r="HM16" i="5"/>
  <c r="HM10" i="5"/>
  <c r="HN21" i="5" l="1"/>
  <c r="HN20" i="5"/>
  <c r="HN19" i="5"/>
  <c r="HN18" i="5"/>
  <c r="HN17" i="5"/>
  <c r="HN12" i="5"/>
  <c r="HN13" i="5"/>
  <c r="HN14" i="5"/>
  <c r="HN15" i="5"/>
  <c r="HN16" i="5"/>
  <c r="HN10" i="5"/>
  <c r="HO11" i="5"/>
  <c r="HO20" i="5" l="1"/>
  <c r="HO19" i="5"/>
  <c r="HO18" i="5"/>
  <c r="HO16" i="5"/>
  <c r="HO13" i="5"/>
  <c r="HO14" i="5"/>
  <c r="HO15" i="5"/>
  <c r="HO21" i="5"/>
  <c r="HO10" i="5"/>
  <c r="HO12" i="5"/>
  <c r="HO17" i="5"/>
  <c r="HP11" i="5"/>
  <c r="HP19" i="5" l="1"/>
  <c r="HP17" i="5"/>
  <c r="HP15" i="5"/>
  <c r="HP14" i="5"/>
  <c r="HP20" i="5"/>
  <c r="HP21" i="5"/>
  <c r="HP18" i="5"/>
  <c r="HP10" i="5"/>
  <c r="HP16" i="5"/>
  <c r="HQ11" i="5"/>
  <c r="HP13" i="5"/>
  <c r="HP12" i="5"/>
  <c r="HQ18" i="5" l="1"/>
  <c r="HQ14" i="5"/>
  <c r="HQ20" i="5"/>
  <c r="HQ21" i="5"/>
  <c r="HQ15" i="5"/>
  <c r="HQ10" i="5"/>
  <c r="HQ16" i="5"/>
  <c r="HR11" i="5"/>
  <c r="HQ17" i="5"/>
  <c r="HQ19" i="5"/>
  <c r="HQ12" i="5"/>
  <c r="HQ13" i="5"/>
  <c r="HR17" i="5" l="1"/>
  <c r="HR21" i="5"/>
  <c r="HR13" i="5"/>
  <c r="HR15" i="5"/>
  <c r="HR10" i="5"/>
  <c r="HR18" i="5"/>
  <c r="HR16" i="5"/>
  <c r="HS11" i="5"/>
  <c r="HR12" i="5"/>
  <c r="HR19" i="5"/>
  <c r="HR20" i="5"/>
  <c r="HR14" i="5"/>
  <c r="HS21" i="5" l="1"/>
  <c r="HS20" i="5"/>
  <c r="HS12" i="5"/>
  <c r="HS10" i="5"/>
  <c r="HS18" i="5"/>
  <c r="HS16" i="5"/>
  <c r="HT11" i="5"/>
  <c r="HS19" i="5"/>
  <c r="HS15" i="5"/>
  <c r="HS14" i="5"/>
  <c r="HS13" i="5"/>
  <c r="HS17" i="5"/>
  <c r="HT21" i="5" l="1"/>
  <c r="HT20" i="5"/>
  <c r="HT19" i="5"/>
  <c r="HU11" i="5"/>
  <c r="HT12" i="5"/>
  <c r="HT17" i="5"/>
  <c r="HT13" i="5"/>
  <c r="HT18" i="5"/>
  <c r="HT16" i="5"/>
  <c r="HT15" i="5"/>
  <c r="HT10" i="5"/>
  <c r="HT14" i="5"/>
  <c r="HU21" i="5" l="1"/>
  <c r="HU20" i="5"/>
  <c r="HU19" i="5"/>
  <c r="HU18" i="5"/>
  <c r="HV11" i="5"/>
  <c r="HU12" i="5"/>
  <c r="HU17" i="5"/>
  <c r="HU13" i="5"/>
  <c r="HU14" i="5"/>
  <c r="HU15" i="5"/>
  <c r="HU10" i="5"/>
  <c r="HU16" i="5"/>
  <c r="HV21" i="5" l="1"/>
  <c r="HV20" i="5"/>
  <c r="HV19" i="5"/>
  <c r="HV18" i="5"/>
  <c r="HV17" i="5"/>
  <c r="HW11" i="5"/>
  <c r="HV12" i="5"/>
  <c r="HV13" i="5"/>
  <c r="HV14" i="5"/>
  <c r="HV15" i="5"/>
  <c r="HV16" i="5"/>
  <c r="HV10" i="5"/>
  <c r="HW20" i="5" l="1"/>
  <c r="HW19" i="5"/>
  <c r="HW18" i="5"/>
  <c r="HW16" i="5"/>
  <c r="HW21" i="5"/>
  <c r="HW12" i="5"/>
  <c r="HW13" i="5"/>
  <c r="HW17" i="5"/>
  <c r="HW14" i="5"/>
  <c r="HW15" i="5"/>
  <c r="HW10" i="5"/>
  <c r="HX11" i="5"/>
  <c r="HX19" i="5" l="1"/>
  <c r="HX17" i="5"/>
  <c r="HX15" i="5"/>
  <c r="HX13" i="5"/>
  <c r="HX14" i="5"/>
  <c r="HX10" i="5"/>
  <c r="HX16" i="5"/>
  <c r="HX20" i="5"/>
  <c r="HY11" i="5"/>
  <c r="HX12" i="5"/>
  <c r="HX21" i="5"/>
  <c r="HX18" i="5"/>
  <c r="HY18" i="5" l="1"/>
  <c r="HY14" i="5"/>
  <c r="HY17" i="5"/>
  <c r="HY15" i="5"/>
  <c r="HY10" i="5"/>
  <c r="HY16" i="5"/>
  <c r="HY19" i="5"/>
  <c r="HY20" i="5"/>
  <c r="HZ11" i="5"/>
  <c r="HY21" i="5"/>
  <c r="HY13" i="5"/>
  <c r="HY12" i="5"/>
  <c r="HZ17" i="5" l="1"/>
  <c r="HZ21" i="5"/>
  <c r="HZ13" i="5"/>
  <c r="HZ14" i="5"/>
  <c r="HZ15" i="5"/>
  <c r="HZ10" i="5"/>
  <c r="HZ16" i="5"/>
  <c r="HZ19" i="5"/>
  <c r="HZ20" i="5"/>
  <c r="IA11" i="5"/>
  <c r="HZ12" i="5"/>
  <c r="HZ18" i="5"/>
  <c r="IA21" i="5" l="1"/>
  <c r="IA20" i="5"/>
  <c r="IA12" i="5"/>
  <c r="IA10" i="5"/>
  <c r="IA17" i="5"/>
  <c r="IA15" i="5"/>
  <c r="IA16" i="5"/>
  <c r="IA19" i="5"/>
  <c r="IB11" i="5"/>
  <c r="IA18" i="5"/>
  <c r="IA14" i="5"/>
  <c r="IA13" i="5"/>
  <c r="IB21" i="5" l="1"/>
  <c r="IB20" i="5"/>
  <c r="IB19" i="5"/>
  <c r="IC11" i="5"/>
  <c r="IB16" i="5"/>
  <c r="IB10" i="5"/>
  <c r="IB18" i="5"/>
  <c r="IB12" i="5"/>
  <c r="IB14" i="5"/>
  <c r="IB13" i="5"/>
  <c r="IB17" i="5"/>
  <c r="IB15" i="5"/>
  <c r="IC21" i="5" l="1"/>
  <c r="IC20" i="5"/>
  <c r="IC19" i="5"/>
  <c r="IC18" i="5"/>
  <c r="ID11" i="5"/>
  <c r="IC12" i="5"/>
  <c r="IC13" i="5"/>
  <c r="IC17" i="5"/>
  <c r="IC15" i="5"/>
  <c r="IC16" i="5"/>
  <c r="IC10" i="5"/>
  <c r="IC14" i="5"/>
  <c r="ID21" i="5" l="1"/>
  <c r="ID20" i="5"/>
  <c r="ID19" i="5"/>
  <c r="ID18" i="5"/>
  <c r="ID17" i="5"/>
  <c r="IE11" i="5"/>
  <c r="ID12" i="5"/>
  <c r="ID13" i="5"/>
  <c r="ID14" i="5"/>
  <c r="ID10" i="5"/>
  <c r="ID16" i="5"/>
  <c r="ID15" i="5"/>
  <c r="IE20" i="5" l="1"/>
  <c r="IE19" i="5"/>
  <c r="IE18" i="5"/>
  <c r="IE16" i="5"/>
  <c r="IF11" i="5"/>
  <c r="IE12" i="5"/>
  <c r="IE13" i="5"/>
  <c r="IE14" i="5"/>
  <c r="IE15" i="5"/>
  <c r="IE21" i="5"/>
  <c r="IE17" i="5"/>
  <c r="IE10" i="5"/>
  <c r="IF19" i="5" l="1"/>
  <c r="IF17" i="5"/>
  <c r="IF15" i="5"/>
  <c r="IF12" i="5"/>
  <c r="IF13" i="5"/>
  <c r="IF18" i="5"/>
  <c r="IF14" i="5"/>
  <c r="IF20" i="5"/>
  <c r="IF21" i="5"/>
  <c r="IF10" i="5"/>
  <c r="IF16" i="5"/>
  <c r="IG11" i="5"/>
  <c r="IG18" i="5" l="1"/>
  <c r="IG14" i="5"/>
  <c r="IG13" i="5"/>
  <c r="IG19" i="5"/>
  <c r="IG20" i="5"/>
  <c r="IG21" i="5"/>
  <c r="IG15" i="5"/>
  <c r="IG10" i="5"/>
  <c r="IG17" i="5"/>
  <c r="IG16" i="5"/>
  <c r="IG12" i="5"/>
  <c r="IH11" i="5"/>
  <c r="IH17" i="5" l="1"/>
  <c r="IH21" i="5"/>
  <c r="IH13" i="5"/>
  <c r="IH19" i="5"/>
  <c r="IH20" i="5"/>
  <c r="IH18" i="5"/>
  <c r="IH14" i="5"/>
  <c r="IH15" i="5"/>
  <c r="IH10" i="5"/>
  <c r="IH16" i="5"/>
  <c r="IH12" i="5"/>
  <c r="II11" i="5"/>
  <c r="II21" i="5" l="1"/>
  <c r="II20" i="5"/>
  <c r="II12" i="5"/>
  <c r="II10" i="5"/>
  <c r="II18" i="5"/>
  <c r="II14" i="5"/>
  <c r="II15" i="5"/>
  <c r="II16" i="5"/>
  <c r="II17" i="5"/>
  <c r="IJ11" i="5"/>
  <c r="II13" i="5"/>
  <c r="II19" i="5"/>
  <c r="IJ21" i="5" l="1"/>
  <c r="IJ20" i="5"/>
  <c r="IJ19" i="5"/>
  <c r="IK11" i="5"/>
  <c r="IJ15" i="5"/>
  <c r="IJ16" i="5"/>
  <c r="IJ10" i="5"/>
  <c r="IJ17" i="5"/>
  <c r="IJ12" i="5"/>
  <c r="IJ14" i="5"/>
  <c r="IJ18" i="5"/>
  <c r="IJ13" i="5"/>
  <c r="IK21" i="5" l="1"/>
  <c r="IK20" i="5"/>
  <c r="IK19" i="5"/>
  <c r="IK18" i="5"/>
  <c r="IK16" i="5"/>
  <c r="IK10" i="5"/>
  <c r="IK17" i="5"/>
  <c r="IL11" i="5"/>
  <c r="IK12" i="5"/>
  <c r="IK14" i="5"/>
  <c r="IK15" i="5"/>
  <c r="IK13" i="5"/>
  <c r="IL21" i="5" l="1"/>
  <c r="IL20" i="5"/>
  <c r="IL19" i="5"/>
  <c r="IL18" i="5"/>
  <c r="IL17" i="5"/>
  <c r="IM11" i="5"/>
  <c r="IL12" i="5"/>
  <c r="IL13" i="5"/>
  <c r="IL16" i="5"/>
  <c r="IL15" i="5"/>
  <c r="IL10" i="5"/>
  <c r="IL14" i="5"/>
  <c r="IM20" i="5" l="1"/>
  <c r="IM19" i="5"/>
  <c r="IM18" i="5"/>
  <c r="IM16" i="5"/>
  <c r="IM17" i="5"/>
  <c r="IN11" i="5"/>
  <c r="IM21" i="5"/>
  <c r="IM12" i="5"/>
  <c r="IM13" i="5"/>
  <c r="IM14" i="5"/>
  <c r="IM15" i="5"/>
  <c r="IM10" i="5"/>
  <c r="IN19" i="5" l="1"/>
  <c r="IN17" i="5"/>
  <c r="IN15" i="5"/>
  <c r="IN20" i="5"/>
  <c r="IO11" i="5"/>
  <c r="IN21" i="5"/>
  <c r="IN12" i="5"/>
  <c r="IN13" i="5"/>
  <c r="IN14" i="5"/>
  <c r="IN16" i="5"/>
  <c r="IN10" i="5"/>
  <c r="IN18" i="5"/>
  <c r="IO18" i="5" l="1"/>
  <c r="IO14" i="5"/>
  <c r="IO21" i="5"/>
  <c r="IO12" i="5"/>
  <c r="IO13" i="5"/>
  <c r="IO15" i="5"/>
  <c r="IO10" i="5"/>
  <c r="IO16" i="5"/>
  <c r="IP11" i="5"/>
  <c r="IO19" i="5"/>
  <c r="IO20" i="5"/>
  <c r="IO17" i="5"/>
  <c r="IP17" i="5" l="1"/>
  <c r="IP21" i="5"/>
  <c r="IP13" i="5"/>
  <c r="IP14" i="5"/>
  <c r="IP15" i="5"/>
  <c r="IP10" i="5"/>
  <c r="IP16" i="5"/>
  <c r="IQ11" i="5"/>
  <c r="IP20" i="5"/>
  <c r="IP18" i="5"/>
  <c r="IP12" i="5"/>
  <c r="IP19" i="5"/>
  <c r="IQ21" i="5" l="1"/>
  <c r="IQ20" i="5"/>
  <c r="IQ12" i="5"/>
  <c r="IQ10" i="5"/>
  <c r="IQ13" i="5"/>
  <c r="IQ14" i="5"/>
  <c r="IQ15" i="5"/>
  <c r="IQ16" i="5"/>
  <c r="IQ19" i="5"/>
  <c r="IQ18" i="5"/>
  <c r="IQ17" i="5"/>
  <c r="IR11" i="5"/>
  <c r="IR21" i="5" l="1"/>
  <c r="IR20" i="5"/>
  <c r="IR19" i="5"/>
  <c r="IS11" i="5"/>
  <c r="IR14" i="5"/>
  <c r="IR15" i="5"/>
  <c r="IR16" i="5"/>
  <c r="IR10" i="5"/>
  <c r="IR18" i="5"/>
  <c r="IR17" i="5"/>
  <c r="IR13" i="5"/>
  <c r="IR12" i="5"/>
  <c r="IS21" i="5" l="1"/>
  <c r="IS20" i="5"/>
  <c r="IS19" i="5"/>
  <c r="IS18" i="5"/>
  <c r="IS15" i="5"/>
  <c r="IS16" i="5"/>
  <c r="IS10" i="5"/>
  <c r="IS17" i="5"/>
  <c r="IT11" i="5"/>
  <c r="IS12" i="5"/>
  <c r="IS14" i="5"/>
  <c r="IS13" i="5"/>
  <c r="IT21" i="5" l="1"/>
  <c r="IT20" i="5"/>
  <c r="IT19" i="5"/>
  <c r="IT18" i="5"/>
  <c r="IT17" i="5"/>
  <c r="IT16" i="5"/>
  <c r="IT10" i="5"/>
  <c r="IU11" i="5"/>
  <c r="IT12" i="5"/>
  <c r="IT15" i="5"/>
  <c r="IT14" i="5"/>
  <c r="IT13" i="5"/>
  <c r="IU20" i="5" l="1"/>
  <c r="IU19" i="5"/>
  <c r="IU18" i="5"/>
  <c r="IU16" i="5"/>
  <c r="IV11" i="5"/>
  <c r="IU17" i="5"/>
  <c r="IU12" i="5"/>
  <c r="IU13" i="5"/>
  <c r="IU21" i="5"/>
  <c r="IU15" i="5"/>
  <c r="IU10" i="5"/>
  <c r="IU14" i="5"/>
  <c r="IV19" i="5" l="1"/>
  <c r="IV17" i="5"/>
  <c r="IV15" i="5"/>
  <c r="IW11" i="5"/>
  <c r="IV18" i="5"/>
  <c r="IV12" i="5"/>
  <c r="IV13" i="5"/>
  <c r="IV14" i="5"/>
  <c r="IV20" i="5"/>
  <c r="IV21" i="5"/>
  <c r="IV16" i="5"/>
  <c r="IV10" i="5"/>
  <c r="IW18" i="5" l="1"/>
  <c r="IW14" i="5"/>
  <c r="IX11" i="5"/>
  <c r="IW12" i="5"/>
  <c r="IW17" i="5"/>
  <c r="IW13" i="5"/>
  <c r="IW19" i="5"/>
  <c r="IW20" i="5"/>
  <c r="IW21" i="5"/>
  <c r="IW16" i="5"/>
  <c r="IW15" i="5"/>
  <c r="IW10" i="5"/>
  <c r="IX17" i="5" l="1"/>
  <c r="IX21" i="5"/>
  <c r="IX13" i="5"/>
  <c r="IX12" i="5"/>
  <c r="IX18" i="5"/>
  <c r="IX19" i="5"/>
  <c r="IX20" i="5"/>
  <c r="IX14" i="5"/>
  <c r="IX15" i="5"/>
  <c r="IX10" i="5"/>
  <c r="IY11" i="5"/>
  <c r="IX16" i="5"/>
  <c r="IY21" i="5" l="1"/>
  <c r="IY20" i="5"/>
  <c r="IY12" i="5"/>
  <c r="IY10" i="5"/>
  <c r="IY18" i="5"/>
  <c r="IY19" i="5"/>
  <c r="IY17" i="5"/>
  <c r="IY13" i="5"/>
  <c r="IY14" i="5"/>
  <c r="IY15" i="5"/>
  <c r="IY16" i="5"/>
  <c r="IZ11" i="5"/>
  <c r="IZ21" i="5" l="1"/>
  <c r="IZ20" i="5"/>
  <c r="IZ19" i="5"/>
  <c r="JA11" i="5"/>
  <c r="IZ17" i="5"/>
  <c r="IZ13" i="5"/>
  <c r="IZ14" i="5"/>
  <c r="IZ15" i="5"/>
  <c r="IZ16" i="5"/>
  <c r="IZ10" i="5"/>
  <c r="IZ18" i="5"/>
  <c r="IZ12" i="5"/>
  <c r="JA21" i="5" l="1"/>
  <c r="JA20" i="5"/>
  <c r="JA19" i="5"/>
  <c r="JA18" i="5"/>
  <c r="JA14" i="5"/>
  <c r="JA15" i="5"/>
  <c r="JA16" i="5"/>
  <c r="JA10" i="5"/>
  <c r="JA17" i="5"/>
  <c r="JA13" i="5"/>
  <c r="JA12" i="5"/>
  <c r="JB11" i="5"/>
  <c r="JB21" i="5" l="1"/>
  <c r="JB20" i="5"/>
  <c r="JB19" i="5"/>
  <c r="JB18" i="5"/>
  <c r="JB17" i="5"/>
  <c r="JB15" i="5"/>
  <c r="JB16" i="5"/>
  <c r="JB10" i="5"/>
  <c r="JC11" i="5"/>
  <c r="JB14" i="5"/>
  <c r="JB13" i="5"/>
  <c r="JB12" i="5"/>
  <c r="JC20" i="5" l="1"/>
  <c r="JC19" i="5"/>
  <c r="JC18" i="5"/>
  <c r="JC16" i="5"/>
  <c r="JC10" i="5"/>
  <c r="JD11" i="5"/>
  <c r="JC21" i="5"/>
  <c r="JC12" i="5"/>
  <c r="JC13" i="5"/>
  <c r="JC15" i="5"/>
  <c r="JC17" i="5"/>
  <c r="JC14" i="5"/>
  <c r="JD19" i="5" l="1"/>
  <c r="JD18" i="5"/>
  <c r="JD17" i="5"/>
  <c r="JD15" i="5"/>
  <c r="JD16" i="5"/>
  <c r="JD20" i="5"/>
  <c r="JE11" i="5"/>
  <c r="JD21" i="5"/>
  <c r="JD12" i="5"/>
  <c r="JD13" i="5"/>
  <c r="JD10" i="5"/>
  <c r="JD14" i="5"/>
  <c r="JE18" i="5" l="1"/>
  <c r="JE14" i="5"/>
  <c r="JE19" i="5"/>
  <c r="JE20" i="5"/>
  <c r="JF11" i="5"/>
  <c r="JE21" i="5"/>
  <c r="JE12" i="5"/>
  <c r="JE13" i="5"/>
  <c r="JE17" i="5"/>
  <c r="JE15" i="5"/>
  <c r="JE16" i="5"/>
  <c r="JE10" i="5"/>
  <c r="JF17" i="5" l="1"/>
  <c r="JF21" i="5"/>
  <c r="JF13" i="5"/>
  <c r="JF20" i="5"/>
  <c r="JG11" i="5"/>
  <c r="JF12" i="5"/>
  <c r="JF14" i="5"/>
  <c r="JF18" i="5"/>
  <c r="JF19" i="5"/>
  <c r="JF16" i="5"/>
  <c r="JF10" i="5"/>
  <c r="JF15" i="5"/>
  <c r="JG21" i="5" l="1"/>
  <c r="JG20" i="5"/>
  <c r="JG12" i="5"/>
  <c r="JG10" i="5"/>
  <c r="JG13" i="5"/>
  <c r="JG14" i="5"/>
  <c r="JG17" i="5"/>
  <c r="JG15" i="5"/>
  <c r="JG18" i="5"/>
  <c r="JG19" i="5"/>
  <c r="JG16" i="5"/>
  <c r="JH11" i="5"/>
  <c r="JH21" i="5" l="1"/>
  <c r="JH20" i="5"/>
  <c r="JH19" i="5"/>
  <c r="JI11" i="5"/>
  <c r="JH12" i="5"/>
  <c r="JH13" i="5"/>
  <c r="JH14" i="5"/>
  <c r="JH17" i="5"/>
  <c r="JH15" i="5"/>
  <c r="JH18" i="5"/>
  <c r="JH16" i="5"/>
  <c r="JH10" i="5"/>
  <c r="JI21" i="5" l="1"/>
  <c r="JI20" i="5"/>
  <c r="JI19" i="5"/>
  <c r="JI18" i="5"/>
  <c r="JI13" i="5"/>
  <c r="JI14" i="5"/>
  <c r="JI17" i="5"/>
  <c r="JI15" i="5"/>
  <c r="JI16" i="5"/>
  <c r="JI10" i="5"/>
  <c r="JI12" i="5"/>
  <c r="JJ11" i="5"/>
  <c r="JJ21" i="5" l="1"/>
  <c r="JJ20" i="5"/>
  <c r="JJ19" i="5"/>
  <c r="JJ18" i="5"/>
  <c r="JJ17" i="5"/>
  <c r="JJ14" i="5"/>
  <c r="JJ15" i="5"/>
  <c r="JJ16" i="5"/>
  <c r="JJ10" i="5"/>
  <c r="JJ12" i="5"/>
  <c r="JK11" i="5"/>
  <c r="JJ13" i="5"/>
  <c r="JK20" i="5" l="1"/>
  <c r="JK19" i="5"/>
  <c r="JK18" i="5"/>
  <c r="JK16" i="5"/>
  <c r="JK15" i="5"/>
  <c r="JK21" i="5"/>
  <c r="JK17" i="5"/>
  <c r="JK10" i="5"/>
  <c r="JL11" i="5"/>
  <c r="JK13" i="5"/>
  <c r="JK14" i="5"/>
  <c r="JK12" i="5"/>
  <c r="JL19" i="5" l="1"/>
  <c r="JL18" i="5"/>
  <c r="JL17" i="5"/>
  <c r="JL15" i="5"/>
  <c r="JL21" i="5"/>
  <c r="JL10" i="5"/>
  <c r="JL16" i="5"/>
  <c r="JM11" i="5"/>
  <c r="JL12" i="5"/>
  <c r="JL13" i="5"/>
  <c r="JL20" i="5"/>
  <c r="JL14" i="5"/>
  <c r="JM18" i="5" l="1"/>
  <c r="JM14" i="5"/>
  <c r="JM17" i="5"/>
  <c r="JM16" i="5"/>
  <c r="JN11" i="5"/>
  <c r="JM12" i="5"/>
  <c r="JM13" i="5"/>
  <c r="JM19" i="5"/>
  <c r="JM10" i="5"/>
  <c r="JM20" i="5"/>
  <c r="JM15" i="5"/>
  <c r="JM21" i="5"/>
  <c r="JN17" i="5" l="1"/>
  <c r="JN21" i="5"/>
  <c r="JN13" i="5"/>
  <c r="JO11" i="5"/>
  <c r="JN12" i="5"/>
  <c r="JN18" i="5"/>
  <c r="JN19" i="5"/>
  <c r="JN16" i="5"/>
  <c r="JN10" i="5"/>
  <c r="JN20" i="5"/>
  <c r="JN15" i="5"/>
  <c r="JN14" i="5"/>
  <c r="JO21" i="5" l="1"/>
  <c r="JO20" i="5"/>
  <c r="JO12" i="5"/>
  <c r="JO10" i="5"/>
  <c r="JP11" i="5"/>
  <c r="JO18" i="5"/>
  <c r="JO19" i="5"/>
  <c r="JO13" i="5"/>
  <c r="JO14" i="5"/>
  <c r="JO16" i="5"/>
  <c r="JO15" i="5"/>
  <c r="JO17" i="5"/>
  <c r="JP21" i="5" l="1"/>
  <c r="JP20" i="5"/>
  <c r="JP19" i="5"/>
  <c r="JP18" i="5"/>
  <c r="JP12" i="5"/>
  <c r="JP13" i="5"/>
  <c r="JP14" i="5"/>
  <c r="JP15" i="5"/>
  <c r="JP10" i="5"/>
  <c r="JP17" i="5"/>
  <c r="JP1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Optional input. Select or type the Tag No. from Product_Registry.</t>
        </r>
      </text>
    </comment>
    <comment ref="B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Optional input. Select or paste the item / description from Product_Registry. You can fill either A or B; columns C onward will populate automatically.</t>
        </r>
      </text>
    </comment>
  </commentList>
</comments>
</file>

<file path=xl/sharedStrings.xml><?xml version="1.0" encoding="utf-8"?>
<sst xmlns="http://schemas.openxmlformats.org/spreadsheetml/2006/main" count="371" uniqueCount="203">
  <si>
    <t>How this version works</t>
  </si>
  <si>
    <t>Milestone Logic by Product Type</t>
  </si>
  <si>
    <t>Procurement Lead Times</t>
  </si>
  <si>
    <t>Validation Lists</t>
  </si>
  <si>
    <t>Selected Project Procurement Preview</t>
  </si>
  <si>
    <t>On Track</t>
  </si>
  <si>
    <t>Pending</t>
  </si>
  <si>
    <t>Note</t>
  </si>
  <si>
    <t>Product Type</t>
  </si>
  <si>
    <t>Seq</t>
  </si>
  <si>
    <t>Milestone</t>
  </si>
  <si>
    <t>Anchor / Basis</t>
  </si>
  <si>
    <t>Offset (Days)</t>
  </si>
  <si>
    <t>Component</t>
  </si>
  <si>
    <t>Lead Time (Days)</t>
  </si>
  <si>
    <t>Remark</t>
  </si>
  <si>
    <t>Watch</t>
  </si>
  <si>
    <t>Y</t>
  </si>
  <si>
    <t>Risk</t>
  </si>
  <si>
    <t>Selected Tag</t>
  </si>
  <si>
    <t>ROS</t>
  </si>
  <si>
    <t>Latest Arrival</t>
  </si>
  <si>
    <t>Default</t>
  </si>
  <si>
    <t>Contract Signed</t>
  </si>
  <si>
    <t>Input from registry</t>
  </si>
  <si>
    <t/>
  </si>
  <si>
    <t>Input date</t>
  </si>
  <si>
    <t>非防爆压缩机 Non Ex-proof COMPRESSOR</t>
  </si>
  <si>
    <t>At Risk</t>
  </si>
  <si>
    <t>N</t>
  </si>
  <si>
    <t>Delay</t>
  </si>
  <si>
    <t>Description</t>
  </si>
  <si>
    <t>Production Start</t>
  </si>
  <si>
    <t>Urgent Items</t>
  </si>
  <si>
    <t>Level 1 Schedule</t>
  </si>
  <si>
    <t>4 weeks after contract</t>
  </si>
  <si>
    <t>防爆压缩机 COMPRESSOR</t>
  </si>
  <si>
    <t>Completed</t>
  </si>
  <si>
    <t>Approval</t>
  </si>
  <si>
    <t>Input Frozen</t>
  </si>
  <si>
    <t>Drawing Approval</t>
  </si>
  <si>
    <t>20 days before drawing approval</t>
  </si>
  <si>
    <t>蒸发器 EVAPORATOR</t>
  </si>
  <si>
    <t>冰轮的正常交期三个月</t>
  </si>
  <si>
    <t>Hold</t>
  </si>
  <si>
    <t>Shipment</t>
  </si>
  <si>
    <t>BOM Pass to PR</t>
  </si>
  <si>
    <t>1 week before BOM pass to PR</t>
  </si>
  <si>
    <t>冷凝器 CONDENSER</t>
  </si>
  <si>
    <t>Lead Time</t>
  </si>
  <si>
    <t>Must Arrive By</t>
  </si>
  <si>
    <t>Latest PO / Prep By</t>
  </si>
  <si>
    <t>Days Until Need</t>
  </si>
  <si>
    <t>Urgency</t>
  </si>
  <si>
    <t>Components PO Plan</t>
  </si>
  <si>
    <t>3 days before components PO plan</t>
  </si>
  <si>
    <t>底座框架</t>
  </si>
  <si>
    <t>Product types used in dropdown</t>
  </si>
  <si>
    <t>Add new product types in col A</t>
  </si>
  <si>
    <t>PR Schedule</t>
  </si>
  <si>
    <t>1 week before components PO plan</t>
  </si>
  <si>
    <t>干燥过滤器</t>
  </si>
  <si>
    <t>Long-lead buy plan</t>
  </si>
  <si>
    <t>油分离器</t>
  </si>
  <si>
    <t>冷水机组</t>
  </si>
  <si>
    <t>Production Complete</t>
  </si>
  <si>
    <t>45-day production window</t>
  </si>
  <si>
    <t>阀件类</t>
  </si>
  <si>
    <t>非常见型号可延长到约3个月</t>
  </si>
  <si>
    <t>冷水</t>
  </si>
  <si>
    <t>Internal Test Start</t>
  </si>
  <si>
    <t>3 days before internal test</t>
  </si>
  <si>
    <t>橡胶软接头 / RUBBER FLEXIBLE JOINT</t>
  </si>
  <si>
    <t>ahu</t>
  </si>
  <si>
    <t>NOI Date</t>
  </si>
  <si>
    <t>FAT Start</t>
  </si>
  <si>
    <t>4 weeks before FAT</t>
  </si>
  <si>
    <t>减震垫 / DAMPING PAD VCS</t>
  </si>
  <si>
    <t>Internal Test Complete</t>
  </si>
  <si>
    <t>3 days before test complete</t>
  </si>
  <si>
    <t>铜管及配套弯头</t>
  </si>
  <si>
    <t>2 days before FAT start</t>
  </si>
  <si>
    <t>仪器仪表</t>
  </si>
  <si>
    <t>Delivery</t>
  </si>
  <si>
    <t>15 days before delivery</t>
  </si>
  <si>
    <t>电箱（FUCA）</t>
  </si>
  <si>
    <t>FAT Complete</t>
  </si>
  <si>
    <t>7-day FAT window</t>
  </si>
  <si>
    <t>填料函</t>
  </si>
  <si>
    <t>CMP填料函约2个月</t>
  </si>
  <si>
    <t>3 days before ROS</t>
  </si>
  <si>
    <t>电缆</t>
  </si>
  <si>
    <t>保温材料</t>
  </si>
  <si>
    <t>生产辅料</t>
  </si>
  <si>
    <t>TAG NO.</t>
  </si>
  <si>
    <t>DESCRIPTION</t>
  </si>
  <si>
    <t>PRODUCT TYPE</t>
  </si>
  <si>
    <t>CUSTOMER</t>
  </si>
  <si>
    <t>CONTRACT SIGNED</t>
  </si>
  <si>
    <t>CONTRACT NO.</t>
  </si>
  <si>
    <t>SALES REF</t>
  </si>
  <si>
    <t>PROJECT MANAGER</t>
  </si>
  <si>
    <t>ENGINEER OWNER</t>
  </si>
  <si>
    <t>PROCUREMENT OWNER</t>
  </si>
  <si>
    <t>PRODUCTION OWNER</t>
  </si>
  <si>
    <t>FAT OWNER</t>
  </si>
  <si>
    <t>NOTES</t>
  </si>
  <si>
    <t>LEVEL 1 PLAN</t>
  </si>
  <si>
    <t>COMPONENTS PO PLAN</t>
  </si>
  <si>
    <t>PRODUCTION START</t>
  </si>
  <si>
    <t>DELIVERY</t>
  </si>
  <si>
    <t>DAYS TO ROS</t>
  </si>
  <si>
    <t>Chiller Water Unit</t>
  </si>
  <si>
    <t>Sample Customer</t>
  </si>
  <si>
    <t>CN-2026-001</t>
  </si>
  <si>
    <t>P84 Pilot</t>
  </si>
  <si>
    <t>PM Owner</t>
  </si>
  <si>
    <t>Engineering Owner</t>
  </si>
  <si>
    <t>Procurement Owner</t>
  </si>
  <si>
    <t>Production Owner</t>
  </si>
  <si>
    <t>QA / FAT Owner</t>
  </si>
  <si>
    <t>Pilot order seeded from uploaded sample tracker.</t>
  </si>
  <si>
    <t>Input sheet only — key each project here. Milestone preview columns O:S are read-only and come from Project_Tracker.</t>
  </si>
  <si>
    <t>INPUT FROZEN</t>
  </si>
  <si>
    <t>DRAWING APPROVAL</t>
  </si>
  <si>
    <t>BOM PASS TO PR</t>
  </si>
  <si>
    <t>PR SCHEDULE</t>
  </si>
  <si>
    <t>PRODUCTION COMPLETE</t>
  </si>
  <si>
    <t>NOI DATE</t>
  </si>
  <si>
    <t>INTERNAL TEST START</t>
  </si>
  <si>
    <t>INTERNAL TEST COMPLETE</t>
  </si>
  <si>
    <t>FAT START</t>
  </si>
  <si>
    <t>FAT COMPLETE</t>
  </si>
  <si>
    <t>LEVEL 1 NO.</t>
  </si>
  <si>
    <t>BOM NO.</t>
  </si>
  <si>
    <t>PR NO.</t>
  </si>
  <si>
    <t>NOI NO.</t>
  </si>
  <si>
    <t>DELIVERY ACTUAL / ETA</t>
  </si>
  <si>
    <t>ARRIVAL STATUS</t>
  </si>
  <si>
    <t>OVERALL STATUS</t>
  </si>
  <si>
    <t>TYPE KEY</t>
  </si>
  <si>
    <t>RESOLVED TAG</t>
  </si>
  <si>
    <t>RESOLVED DESCRIPTION</t>
  </si>
  <si>
    <t>This sheet is auto-linked from Product_Registry. Edit only the white manual fields: reference numbers, delivery actual / ETA, arrival status, and notes.</t>
  </si>
  <si>
    <t>冷水机组 Delivery Dashboard</t>
  </si>
  <si>
    <t>Master dashboard linked to Product_Registry, Project_Tracker, Logic &amp; Lists, and BOM_Tracker.</t>
  </si>
  <si>
    <t>Customer</t>
  </si>
  <si>
    <t>Days to ROS</t>
  </si>
  <si>
    <t>Urgent BOM Items</t>
  </si>
  <si>
    <t>Project Manager</t>
  </si>
  <si>
    <t>Overall Status</t>
  </si>
  <si>
    <t>Phase status table</t>
  </si>
  <si>
    <t>Program Timeline / Daily Phase Gantt</t>
  </si>
  <si>
    <t>Phase</t>
  </si>
  <si>
    <t>Plan Start</t>
  </si>
  <si>
    <t>Plan Finish</t>
  </si>
  <si>
    <t>Reference</t>
  </si>
  <si>
    <t>Status</t>
  </si>
  <si>
    <t>Contract / Kickoff</t>
  </si>
  <si>
    <t>Drawing Freeze</t>
  </si>
  <si>
    <t>Input Frozen → Drawing Approval</t>
  </si>
  <si>
    <t>BOM Release</t>
  </si>
  <si>
    <t>Drawing Approval → BOM Pass</t>
  </si>
  <si>
    <t>PR / PO Planning</t>
  </si>
  <si>
    <t>PR Schedule → Components PO Plan</t>
  </si>
  <si>
    <t>Material Lead Time</t>
  </si>
  <si>
    <t>Components PO Plan → Production Start</t>
  </si>
  <si>
    <t>Production</t>
  </si>
  <si>
    <t>Production Start → Complete</t>
  </si>
  <si>
    <t>NOI / Docs</t>
  </si>
  <si>
    <t>NOI Date → FAT Start</t>
  </si>
  <si>
    <t>Internal Test</t>
  </si>
  <si>
    <t>Internal Test Start → Complete</t>
  </si>
  <si>
    <t>FAT</t>
  </si>
  <si>
    <t>FAT Start → Complete</t>
  </si>
  <si>
    <t>Delivery / ROS</t>
  </si>
  <si>
    <t>Delivery → ROS</t>
  </si>
  <si>
    <t>Select a Tag No. in A6. The daily phase Gantt updates automatically from the linked sheets.</t>
  </si>
  <si>
    <t>Level 1 Plan</t>
  </si>
  <si>
    <t>Persistent BOM / Procurement Tracker</t>
  </si>
  <si>
    <t>ARRIVAL DEADLINE</t>
  </si>
  <si>
    <t>SEQ</t>
  </si>
  <si>
    <t>COMPONENT</t>
  </si>
  <si>
    <t>LEAD TIME (DAYS)</t>
  </si>
  <si>
    <t>LATEST PO / PREP BY</t>
  </si>
  <si>
    <t>DAYS UNTIL NEED</t>
  </si>
  <si>
    <t>URGENCY</t>
  </si>
  <si>
    <t>ACTUAL PO DATE</t>
  </si>
  <si>
    <t>ORDERED STATUS</t>
  </si>
  <si>
    <t>VENDOR</t>
  </si>
  <si>
    <t>PO NO.</t>
  </si>
  <si>
    <t>Comments and Updates Log</t>
  </si>
  <si>
    <t>Date</t>
  </si>
  <si>
    <t>Tag No.</t>
  </si>
  <si>
    <t>Owner</t>
  </si>
  <si>
    <t>Update Type</t>
  </si>
  <si>
    <t>Issue / Status</t>
  </si>
  <si>
    <t>Comment</t>
  </si>
  <si>
    <t>Next Action</t>
  </si>
  <si>
    <t>Follow-up Date</t>
  </si>
  <si>
    <t>Open</t>
  </si>
  <si>
    <t>Pilot workbook created from current tracker logic.</t>
  </si>
  <si>
    <t>Validate live workflow with next project.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</si>
</sst>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"/>
    <numFmt numFmtId="165" formatCode=";;;"/>
    <numFmt numFmtId="166" formatCode="d"/>
  </numFmts>
  <fonts count="21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17365D"/>
      <name val="Calibri"/>
      <family val="2"/>
    </font>
    <font>
      <sz val="10"/>
      <color rgb="FF0000FF"/>
      <name val="Calibri"/>
      <family val="2"/>
    </font>
    <font>
      <b/>
      <sz val="9"/>
      <color rgb="FF17365D"/>
      <name val="Calibri"/>
      <family val="2"/>
    </font>
    <font>
      <i/>
      <sz val="9"/>
      <color rgb="FF666666"/>
      <name val="Calibri"/>
      <family val="2"/>
    </font>
    <font>
      <b/>
      <sz val="10"/>
      <color rgb="FFFFFFFF"/>
      <name val="Calibri"/>
      <family val="2"/>
    </font>
    <font>
      <sz val="10"/>
      <color rgb="FF008000"/>
      <name val="Calibri"/>
      <family val="2"/>
    </font>
    <font>
      <b/>
      <sz val="9"/>
      <color rgb="FFFFFFFF"/>
      <name val="Calibri"/>
      <family val="2"/>
    </font>
    <font>
      <sz val="10"/>
      <color rgb="FFFFFFFF"/>
      <name val="Calibri"/>
      <family val="2"/>
    </font>
    <font>
      <b/>
      <sz val="12"/>
      <color rgb="FF000000"/>
      <name val="Calibri"/>
      <family val="2"/>
    </font>
    <font>
      <b/>
      <sz val="14"/>
      <color rgb="FF0000FF"/>
      <name val="Calibri"/>
      <family val="2"/>
    </font>
    <font>
      <b/>
      <sz val="22"/>
      <color rgb="FF1F2937"/>
      <name val="Calibri"/>
      <family val="2"/>
    </font>
    <font>
      <b/>
      <sz val="10"/>
      <color rgb="FFFFFFFF"/>
      <name val="Calibri"/>
      <family val="2"/>
    </font>
    <font>
      <b/>
      <sz val="10"/>
      <color rgb="FF1F2937"/>
      <name val="Calibri"/>
      <family val="2"/>
    </font>
    <font>
      <b/>
      <sz val="9"/>
      <color rgb="FF1F2937"/>
      <name val="Calibri"/>
      <family val="2"/>
    </font>
    <font>
      <sz val="8"/>
      <color rgb="FF4B5563"/>
      <name val="Calibri"/>
      <family val="2"/>
    </font>
    <font>
      <sz val="10"/>
      <color rgb="FF1F2937"/>
      <name val="Calibri"/>
      <family val="2"/>
    </font>
    <font>
      <i/>
      <sz val="9"/>
      <color rgb="FF6B728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766E"/>
      </patternFill>
    </fill>
    <fill>
      <patternFill patternType="solid">
        <fgColor rgb="FFFFFFFF"/>
      </patternFill>
    </fill>
    <fill>
      <patternFill patternType="solid">
        <fgColor rgb="FFDCE6F1"/>
      </patternFill>
    </fill>
    <fill>
      <patternFill patternType="solid">
        <fgColor rgb="FFEAF3FF"/>
      </patternFill>
    </fill>
    <fill>
      <patternFill patternType="solid">
        <fgColor rgb="FFF5F7FA"/>
      </patternFill>
    </fill>
    <fill>
      <patternFill patternType="solid">
        <fgColor rgb="FFE8F5E9"/>
      </patternFill>
    </fill>
    <fill>
      <patternFill patternType="solid">
        <fgColor rgb="FF17365D"/>
      </patternFill>
    </fill>
    <fill>
      <patternFill patternType="solid">
        <fgColor rgb="FFF2F2F2"/>
      </patternFill>
    </fill>
    <fill>
      <patternFill patternType="solid">
        <fgColor rgb="FFE8EEF7"/>
      </patternFill>
    </fill>
    <fill>
      <patternFill patternType="solid">
        <fgColor rgb="FFF8F1D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/>
      <top style="thin">
        <color rgb="FFB7C9D6"/>
      </top>
      <bottom/>
      <diagonal/>
    </border>
    <border>
      <left/>
      <right style="thin">
        <color rgb="FFB7C9D6"/>
      </right>
      <top style="thin">
        <color rgb="FFB7C9D6"/>
      </top>
      <bottom/>
      <diagonal/>
    </border>
    <border>
      <left/>
      <right/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/>
      <top/>
      <bottom style="thin">
        <color rgb="FFB7C9D6"/>
      </bottom>
      <diagonal/>
    </border>
    <border>
      <left/>
      <right style="thin">
        <color rgb="FFB7C9D6"/>
      </right>
      <top/>
      <bottom style="thin">
        <color rgb="FFB7C9D6"/>
      </bottom>
      <diagonal/>
    </border>
    <border>
      <left/>
      <right/>
      <top/>
      <bottom style="thin">
        <color rgb="FFB7C9D6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164" fontId="3" fillId="7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164" fontId="3" fillId="7" borderId="1" xfId="0" applyNumberFormat="1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64" fontId="5" fillId="6" borderId="1" xfId="0" applyNumberFormat="1" applyFont="1" applyFill="1" applyBorder="1" applyAlignment="1">
      <alignment horizontal="center" vertical="center" wrapText="1"/>
    </xf>
    <xf numFmtId="164" fontId="9" fillId="8" borderId="1" xfId="0" applyNumberFormat="1" applyFont="1" applyFill="1" applyBorder="1" applyAlignment="1">
      <alignment horizontal="center" vertical="center" wrapText="1"/>
    </xf>
    <xf numFmtId="1" fontId="3" fillId="7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165" fontId="3" fillId="10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center" vertical="center" wrapText="1"/>
    </xf>
    <xf numFmtId="164" fontId="3" fillId="6" borderId="1" xfId="0" applyNumberFormat="1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16" fillId="5" borderId="9" xfId="0" applyFont="1" applyFill="1" applyBorder="1" applyAlignment="1">
      <alignment horizontal="center" vertical="center"/>
    </xf>
    <xf numFmtId="0" fontId="17" fillId="11" borderId="9" xfId="0" applyFont="1" applyFill="1" applyBorder="1" applyAlignment="1">
      <alignment horizontal="center" vertical="center"/>
    </xf>
    <xf numFmtId="166" fontId="18" fillId="12" borderId="9" xfId="0" applyNumberFormat="1" applyFont="1" applyFill="1" applyBorder="1" applyAlignment="1">
      <alignment horizontal="center" vertical="center"/>
    </xf>
    <xf numFmtId="0" fontId="16" fillId="4" borderId="9" xfId="0" applyFont="1" applyFill="1" applyBorder="1" applyAlignment="1">
      <alignment horizontal="left" vertical="center"/>
    </xf>
    <xf numFmtId="164" fontId="19" fillId="4" borderId="9" xfId="0" applyNumberFormat="1" applyFont="1" applyFill="1" applyBorder="1" applyAlignment="1">
      <alignment horizontal="center" vertical="center"/>
    </xf>
    <xf numFmtId="0" fontId="19" fillId="4" borderId="9" xfId="0" applyFont="1" applyFill="1" applyBorder="1" applyAlignment="1">
      <alignment horizontal="center" vertical="center"/>
    </xf>
    <xf numFmtId="165" fontId="3" fillId="7" borderId="9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 wrapText="1"/>
    </xf>
    <xf numFmtId="0" fontId="2" fillId="13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8" xfId="0" applyBorder="1"/>
    <xf numFmtId="0" fontId="0" fillId="0" borderId="7" xfId="0" applyBorder="1"/>
    <xf numFmtId="0" fontId="13" fillId="6" borderId="1" xfId="0" applyFont="1" applyFill="1" applyBorder="1" applyAlignment="1">
      <alignment horizontal="center" vertical="center" wrapText="1"/>
    </xf>
    <xf numFmtId="0" fontId="15" fillId="3" borderId="9" xfId="0" applyFont="1" applyFill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4" fillId="5" borderId="1" xfId="0" applyFont="1" applyFill="1" applyBorder="1" applyAlignment="1">
      <alignment horizontal="center" vertical="center" wrapText="1"/>
    </xf>
    <xf numFmtId="0" fontId="0" fillId="0" borderId="5" xfId="0" applyBorder="1"/>
    <xf numFmtId="1" fontId="12" fillId="7" borderId="1" xfId="0" applyNumberFormat="1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0" fillId="0" borderId="4" xfId="0" applyBorder="1"/>
    <xf numFmtId="0" fontId="12" fillId="7" borderId="1" xfId="0" applyFont="1" applyFill="1" applyBorder="1" applyAlignment="1">
      <alignment horizontal="center" vertical="center" wrapText="1"/>
    </xf>
    <xf numFmtId="164" fontId="12" fillId="7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/>
    <xf numFmtId="0" fontId="3" fillId="4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22">
    <dxf>
      <fill>
        <patternFill>
          <bgColor rgb="FFD9E2F3"/>
        </patternFill>
      </fill>
    </dxf>
    <dxf>
      <fill>
        <patternFill>
          <bgColor rgb="FFE2F0D9"/>
        </patternFill>
      </fill>
    </dxf>
    <dxf>
      <fill>
        <patternFill>
          <bgColor rgb="FFFFF4CC"/>
        </patternFill>
      </fill>
    </dxf>
    <dxf>
      <fill>
        <patternFill>
          <bgColor rgb="FFFCE4D6"/>
        </patternFill>
      </fill>
    </dxf>
    <dxf>
      <fill>
        <patternFill>
          <bgColor rgb="FFFDE9E7"/>
        </patternFill>
      </fill>
    </dxf>
    <dxf>
      <fill>
        <patternFill>
          <bgColor rgb="FFFFF4CC"/>
        </patternFill>
      </fill>
    </dxf>
    <dxf>
      <fill>
        <patternFill>
          <bgColor rgb="FFFDE9E7"/>
        </patternFill>
      </fill>
    </dxf>
    <dxf>
      <fill>
        <patternFill>
          <bgColor rgb="FFFFF4CC"/>
        </patternFill>
      </fill>
    </dxf>
    <dxf>
      <fill>
        <patternFill>
          <bgColor rgb="FFFDE9E7"/>
        </patternFill>
      </fill>
    </dxf>
    <dxf>
      <fill>
        <patternFill>
          <bgColor rgb="FF46A8D4"/>
        </patternFill>
      </fill>
    </dxf>
    <dxf>
      <fill>
        <patternFill>
          <bgColor rgb="FFF05F69"/>
        </patternFill>
      </fill>
    </dxf>
    <dxf>
      <fill>
        <patternFill>
          <bgColor rgb="FFF39A4A"/>
        </patternFill>
      </fill>
    </dxf>
    <dxf>
      <fill>
        <patternFill>
          <bgColor rgb="FFB7C04C"/>
        </patternFill>
      </fill>
    </dxf>
    <dxf>
      <fill>
        <patternFill>
          <bgColor rgb="FFD5B24A"/>
        </patternFill>
      </fill>
    </dxf>
    <dxf>
      <fill>
        <patternFill>
          <bgColor rgb="FF2FA6C4"/>
        </patternFill>
      </fill>
    </dxf>
    <dxf>
      <fill>
        <patternFill>
          <bgColor rgb="FFF17C67"/>
        </patternFill>
      </fill>
    </dxf>
    <dxf>
      <fill>
        <patternFill>
          <bgColor rgb="FFF39A4A"/>
        </patternFill>
      </fill>
    </dxf>
    <dxf>
      <fill>
        <patternFill>
          <bgColor rgb="FFB7C04C"/>
        </patternFill>
      </fill>
    </dxf>
    <dxf>
      <fill>
        <patternFill>
          <bgColor rgb="FFE7B33E"/>
        </patternFill>
      </fill>
    </dxf>
    <dxf>
      <font>
        <b/>
        <color rgb="FF4A5568"/>
      </font>
      <fill>
        <patternFill>
          <bgColor rgb="FFE8EEF7"/>
        </patternFill>
      </fill>
    </dxf>
    <dxf>
      <font>
        <b/>
        <color rgb="FF9A6700"/>
      </font>
      <fill>
        <patternFill>
          <bgColor rgb="FFFCE6C8"/>
        </patternFill>
      </fill>
    </dxf>
    <dxf>
      <font>
        <b/>
        <color rgb="FF2F855A"/>
      </font>
      <fill>
        <patternFill>
          <bgColor rgb="FFDDEF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144780</xdr:colOff>
      <xdr:row>4</xdr:row>
      <xdr:rowOff>0</xdr:rowOff>
    </xdr:from>
    <xdr:to>
      <xdr:col>4</xdr:col>
      <xdr:colOff>640080</xdr:colOff>
      <xdr:row>63</xdr:row>
      <xdr:rowOff>167640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81A4700-9AE2-134F-F8DF-AB7E3C1F5B0E}"/>
            </a:ext>
          </a:extLst>
        </xdr:cNvPr>
        <xdr:cNvSpPr txBox="1"/>
      </xdr:nvSpPr>
      <xdr:spPr>
        <a:xfrm>
          <a:off x="144780" y="998220"/>
          <a:ext cx="5433060" cy="10957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SG"/>
            <a:t>The file works in this flow:</a:t>
          </a:r>
        </a:p>
        <a:p>
          <a:r>
            <a:rPr lang="en-SG" b="1"/>
            <a:t>Product_Registry → Project_Tracker → Dashboard / BOM_Tracker / Comments_Log</a:t>
          </a:r>
          <a:endParaRPr lang="en-SG"/>
        </a:p>
        <a:p>
          <a:r>
            <a:rPr lang="en-SG"/>
            <a:t>So the normal habit should be:</a:t>
          </a:r>
        </a:p>
        <a:p>
          <a:r>
            <a:rPr lang="en-SG"/>
            <a:t>create or update the project in </a:t>
          </a:r>
          <a:r>
            <a:rPr lang="en-SG" b="1"/>
            <a:t>Product_Registry</a:t>
          </a:r>
          <a:r>
            <a:rPr lang="en-SG"/>
            <a:t> </a:t>
          </a:r>
        </a:p>
        <a:p>
          <a:r>
            <a:rPr lang="en-SG"/>
            <a:t>let </a:t>
          </a:r>
          <a:r>
            <a:rPr lang="en-SG" b="1"/>
            <a:t>Project_Tracker</a:t>
          </a:r>
          <a:r>
            <a:rPr lang="en-SG"/>
            <a:t> generate the dates </a:t>
          </a:r>
        </a:p>
        <a:p>
          <a:r>
            <a:rPr lang="en-SG"/>
            <a:t>check the schedule in </a:t>
          </a:r>
          <a:r>
            <a:rPr lang="en-SG" b="1"/>
            <a:t>Dashboard</a:t>
          </a:r>
          <a:r>
            <a:rPr lang="en-SG"/>
            <a:t> </a:t>
          </a:r>
        </a:p>
        <a:p>
          <a:r>
            <a:rPr lang="en-SG"/>
            <a:t>manage purchasing in </a:t>
          </a:r>
          <a:r>
            <a:rPr lang="en-SG" b="1"/>
            <a:t>BOM_Tracker</a:t>
          </a:r>
          <a:r>
            <a:rPr lang="en-SG"/>
            <a:t> </a:t>
          </a:r>
        </a:p>
        <a:p>
          <a:r>
            <a:rPr lang="en-SG"/>
            <a:t>record issues in </a:t>
          </a:r>
          <a:r>
            <a:rPr lang="en-SG" b="1"/>
            <a:t>Comments_Log</a:t>
          </a:r>
          <a:endParaRPr lang="en-SG"/>
        </a:p>
        <a:p>
          <a:br>
            <a:rPr lang="en-SG" sz="1100"/>
          </a:br>
          <a:r>
            <a:rPr lang="en-SG" b="1"/>
            <a:t>2) Product_Registry</a:t>
          </a:r>
        </a:p>
        <a:p>
          <a:r>
            <a:rPr lang="en-SG"/>
            <a:t>This is your </a:t>
          </a:r>
          <a:r>
            <a:rPr lang="en-SG" b="1"/>
            <a:t>master project list</a:t>
          </a:r>
          <a:r>
            <a:rPr lang="en-SG"/>
            <a:t>.</a:t>
          </a:r>
        </a:p>
        <a:p>
          <a:r>
            <a:rPr lang="en-SG" b="1"/>
            <a:t>What you should do here</a:t>
          </a:r>
        </a:p>
        <a:p>
          <a:r>
            <a:rPr lang="en-SG"/>
            <a:t>For each new project, add </a:t>
          </a:r>
          <a:r>
            <a:rPr lang="en-SG" b="1"/>
            <a:t>one row</a:t>
          </a:r>
          <a:r>
            <a:rPr lang="en-SG"/>
            <a:t> and fill in the main project details:</a:t>
          </a:r>
        </a:p>
        <a:p>
          <a:r>
            <a:rPr lang="en-SG" b="1"/>
            <a:t>A:</a:t>
          </a:r>
          <a:r>
            <a:rPr lang="en-SG"/>
            <a:t> Tag No. </a:t>
          </a:r>
        </a:p>
        <a:p>
          <a:r>
            <a:rPr lang="en-SG" b="1"/>
            <a:t>B:</a:t>
          </a:r>
          <a:r>
            <a:rPr lang="en-SG"/>
            <a:t> Description </a:t>
          </a:r>
        </a:p>
        <a:p>
          <a:r>
            <a:rPr lang="en-SG" b="1"/>
            <a:t>C:</a:t>
          </a:r>
          <a:r>
            <a:rPr lang="en-SG"/>
            <a:t> Product Type </a:t>
          </a:r>
        </a:p>
        <a:p>
          <a:r>
            <a:rPr lang="en-SG" b="1"/>
            <a:t>D:</a:t>
          </a:r>
          <a:r>
            <a:rPr lang="en-SG"/>
            <a:t> Customer </a:t>
          </a:r>
        </a:p>
        <a:p>
          <a:r>
            <a:rPr lang="en-SG" b="1"/>
            <a:t>E:</a:t>
          </a:r>
          <a:r>
            <a:rPr lang="en-SG"/>
            <a:t> Contract Signed </a:t>
          </a:r>
        </a:p>
        <a:p>
          <a:r>
            <a:rPr lang="en-SG" b="1"/>
            <a:t>F:</a:t>
          </a:r>
          <a:r>
            <a:rPr lang="en-SG"/>
            <a:t> ROS </a:t>
          </a:r>
        </a:p>
        <a:p>
          <a:r>
            <a:rPr lang="en-SG" b="1"/>
            <a:t>G:</a:t>
          </a:r>
          <a:r>
            <a:rPr lang="en-SG"/>
            <a:t> Contract No. </a:t>
          </a:r>
        </a:p>
        <a:p>
          <a:r>
            <a:rPr lang="en-SG" b="1"/>
            <a:t>H:</a:t>
          </a:r>
          <a:r>
            <a:rPr lang="en-SG"/>
            <a:t> Sales Ref </a:t>
          </a:r>
        </a:p>
        <a:p>
          <a:r>
            <a:rPr lang="en-SG" b="1"/>
            <a:t>I:</a:t>
          </a:r>
          <a:r>
            <a:rPr lang="en-SG"/>
            <a:t> Project Manager </a:t>
          </a:r>
        </a:p>
        <a:p>
          <a:r>
            <a:rPr lang="en-SG" b="1"/>
            <a:t>J:</a:t>
          </a:r>
          <a:r>
            <a:rPr lang="en-SG"/>
            <a:t> Engineer Owner </a:t>
          </a:r>
        </a:p>
        <a:p>
          <a:r>
            <a:rPr lang="en-SG" b="1"/>
            <a:t>K:</a:t>
          </a:r>
          <a:r>
            <a:rPr lang="en-SG"/>
            <a:t> Procurement Owner </a:t>
          </a:r>
        </a:p>
        <a:p>
          <a:r>
            <a:rPr lang="en-SG" b="1"/>
            <a:t>L:</a:t>
          </a:r>
          <a:r>
            <a:rPr lang="en-SG"/>
            <a:t> Production Owner </a:t>
          </a:r>
        </a:p>
        <a:p>
          <a:r>
            <a:rPr lang="en-SG" b="1"/>
            <a:t>M:</a:t>
          </a:r>
          <a:r>
            <a:rPr lang="en-SG"/>
            <a:t> FAT Owner </a:t>
          </a:r>
        </a:p>
        <a:p>
          <a:r>
            <a:rPr lang="en-SG" b="1"/>
            <a:t>N:</a:t>
          </a:r>
          <a:r>
            <a:rPr lang="en-SG"/>
            <a:t> Notes</a:t>
          </a:r>
          <a:br>
            <a:rPr lang="en-SG"/>
          </a:br>
          <a:br>
            <a:rPr lang="en-SG"/>
          </a:br>
          <a:r>
            <a:rPr lang="en-SG" b="1"/>
            <a:t>3) Project_Tracker</a:t>
          </a:r>
        </a:p>
        <a:p>
          <a:r>
            <a:rPr lang="en-SG"/>
            <a:t>This is the </a:t>
          </a:r>
          <a:r>
            <a:rPr lang="en-SG" b="1"/>
            <a:t>main scheduling engine</a:t>
          </a:r>
          <a:r>
            <a:rPr lang="en-SG"/>
            <a:t>.</a:t>
          </a:r>
        </a:p>
        <a:p>
          <a:r>
            <a:rPr lang="en-SG"/>
            <a:t>It calculates the milestone dates based on the project data and the logic rules.</a:t>
          </a:r>
        </a:p>
        <a:p>
          <a:r>
            <a:rPr lang="en-SG" b="1"/>
            <a:t>What you should input</a:t>
          </a:r>
        </a:p>
        <a:p>
          <a:r>
            <a:rPr lang="en-SG"/>
            <a:t>For each active project row, you can key in either:</a:t>
          </a:r>
        </a:p>
        <a:p>
          <a:r>
            <a:rPr lang="en-SG" b="1"/>
            <a:t>Column A: Tag No.</a:t>
          </a:r>
          <a:br>
            <a:rPr lang="en-SG"/>
          </a:br>
          <a:r>
            <a:rPr lang="en-SG"/>
            <a:t>or </a:t>
          </a:r>
        </a:p>
        <a:p>
          <a:r>
            <a:rPr lang="en-SG" b="1"/>
            <a:t>Column B: Description</a:t>
          </a:r>
          <a:r>
            <a:rPr lang="en-SG"/>
            <a:t> </a:t>
          </a:r>
        </a:p>
        <a:p>
          <a:r>
            <a:rPr lang="en-SG"/>
            <a:t>Once one of those matches the master data, the sheet resolves the project and fills the rest automatically.</a:t>
          </a:r>
        </a:p>
        <a:p>
          <a:r>
            <a:rPr lang="en-SG" b="1"/>
            <a:t>What fills automatically</a:t>
          </a:r>
        </a:p>
        <a:p>
          <a:r>
            <a:rPr lang="en-SG"/>
            <a:t>These columns are generated:</a:t>
          </a:r>
        </a:p>
        <a:p>
          <a:r>
            <a:rPr lang="en-SG"/>
            <a:t>product type </a:t>
          </a:r>
        </a:p>
        <a:p>
          <a:r>
            <a:rPr lang="en-SG"/>
            <a:t>customer </a:t>
          </a:r>
        </a:p>
        <a:p>
          <a:r>
            <a:rPr lang="en-SG"/>
            <a:t>owners </a:t>
          </a:r>
        </a:p>
        <a:p>
          <a:r>
            <a:rPr lang="en-SG"/>
            <a:t>contract date </a:t>
          </a:r>
        </a:p>
        <a:p>
          <a:r>
            <a:rPr lang="en-SG"/>
            <a:t>ROS </a:t>
          </a:r>
        </a:p>
        <a:p>
          <a:r>
            <a:rPr lang="en-SG"/>
            <a:t>milestone dates: </a:t>
          </a:r>
        </a:p>
        <a:p>
          <a:pPr lvl="1"/>
          <a:r>
            <a:rPr lang="en-SG"/>
            <a:t>Level 1 Plan </a:t>
          </a:r>
        </a:p>
        <a:p>
          <a:pPr lvl="1"/>
          <a:r>
            <a:rPr lang="en-SG"/>
            <a:t>Input Frozen </a:t>
          </a:r>
        </a:p>
        <a:p>
          <a:pPr lvl="1"/>
          <a:r>
            <a:rPr lang="en-SG"/>
            <a:t>Drawing Approval </a:t>
          </a:r>
        </a:p>
        <a:p>
          <a:pPr lvl="1"/>
          <a:r>
            <a:rPr lang="en-SG"/>
            <a:t>BOM Pass to PR </a:t>
          </a:r>
        </a:p>
        <a:p>
          <a:pPr lvl="1"/>
          <a:r>
            <a:rPr lang="en-SG"/>
            <a:t>PR Schedule </a:t>
          </a:r>
        </a:p>
        <a:p>
          <a:pPr lvl="1"/>
          <a:r>
            <a:rPr lang="en-SG"/>
            <a:t>Components PO Plan </a:t>
          </a:r>
        </a:p>
        <a:p>
          <a:pPr lvl="1"/>
          <a:r>
            <a:rPr lang="en-SG"/>
            <a:t>Production Start </a:t>
          </a:r>
        </a:p>
        <a:p>
          <a:pPr lvl="1"/>
          <a:r>
            <a:rPr lang="en-SG"/>
            <a:t>Production Complete </a:t>
          </a:r>
        </a:p>
        <a:p>
          <a:pPr lvl="1"/>
          <a:r>
            <a:rPr lang="en-SG"/>
            <a:t>NOI Date </a:t>
          </a:r>
        </a:p>
        <a:p>
          <a:pPr lvl="1"/>
          <a:r>
            <a:rPr lang="en-SG"/>
            <a:t>Internal Test Start / Complete </a:t>
          </a:r>
        </a:p>
        <a:p>
          <a:pPr lvl="1"/>
          <a:r>
            <a:rPr lang="en-SG"/>
            <a:t>FAT Start / Complete </a:t>
          </a:r>
        </a:p>
        <a:p>
          <a:pPr lvl="1"/>
          <a:r>
            <a:rPr lang="en-SG"/>
            <a:t>Delivery </a:t>
          </a:r>
        </a:p>
        <a:p>
          <a:r>
            <a:rPr lang="en-SG"/>
            <a:t>It also calculates:</a:t>
          </a:r>
        </a:p>
        <a:p>
          <a:r>
            <a:rPr lang="en-SG" b="1"/>
            <a:t>Overall Status</a:t>
          </a:r>
          <a:r>
            <a:rPr lang="en-SG"/>
            <a:t> </a:t>
          </a:r>
        </a:p>
        <a:p>
          <a:r>
            <a:rPr lang="en-SG" b="1"/>
            <a:t>Days to ROS</a:t>
          </a:r>
          <a:r>
            <a:rPr lang="en-SG"/>
            <a:t> </a:t>
          </a:r>
        </a:p>
        <a:p>
          <a:r>
            <a:rPr lang="en-SG" b="1"/>
            <a:t>What you can manually update here</a:t>
          </a:r>
        </a:p>
        <a:p>
          <a:r>
            <a:rPr lang="en-SG"/>
            <a:t>These are meant for working updates:</a:t>
          </a:r>
        </a:p>
        <a:p>
          <a:r>
            <a:rPr lang="en-SG" b="1"/>
            <a:t>AB:</a:t>
          </a:r>
          <a:r>
            <a:rPr lang="en-SG"/>
            <a:t> Level 1 No. </a:t>
          </a:r>
        </a:p>
        <a:p>
          <a:r>
            <a:rPr lang="en-SG" b="1"/>
            <a:t>AC:</a:t>
          </a:r>
          <a:r>
            <a:rPr lang="en-SG"/>
            <a:t> BOM No. </a:t>
          </a:r>
        </a:p>
        <a:p>
          <a:r>
            <a:rPr lang="en-SG" b="1"/>
            <a:t>AD:</a:t>
          </a:r>
          <a:r>
            <a:rPr lang="en-SG"/>
            <a:t> PR No. </a:t>
          </a:r>
        </a:p>
        <a:p>
          <a:r>
            <a:rPr lang="en-SG" b="1"/>
            <a:t>AE:</a:t>
          </a:r>
          <a:r>
            <a:rPr lang="en-SG"/>
            <a:t> NOI No. </a:t>
          </a:r>
        </a:p>
        <a:p>
          <a:r>
            <a:rPr lang="en-SG" b="1"/>
            <a:t>AF:</a:t>
          </a:r>
          <a:r>
            <a:rPr lang="en-SG"/>
            <a:t> Delivery Actual / ETA </a:t>
          </a:r>
        </a:p>
        <a:p>
          <a:r>
            <a:rPr lang="en-SG" b="1"/>
            <a:t>AG:</a:t>
          </a:r>
          <a:r>
            <a:rPr lang="en-SG"/>
            <a:t> Arrival Status </a:t>
          </a:r>
        </a:p>
        <a:p>
          <a:r>
            <a:rPr lang="en-SG" b="1"/>
            <a:t>AJ:</a:t>
          </a:r>
          <a:r>
            <a:rPr lang="en-SG"/>
            <a:t> Notes </a:t>
          </a:r>
        </a:p>
        <a:p>
          <a:r>
            <a:rPr lang="en-SG" b="1"/>
            <a:t>Best way to use it</a:t>
          </a:r>
        </a:p>
        <a:p>
          <a:r>
            <a:rPr lang="en-SG"/>
            <a:t>After adding a project in the registry:</a:t>
          </a:r>
        </a:p>
        <a:p>
          <a:r>
            <a:rPr lang="en-SG"/>
            <a:t>type the tag number in column A here</a:t>
          </a:r>
          <a:br>
            <a:rPr lang="en-SG"/>
          </a:br>
          <a:r>
            <a:rPr lang="en-SG"/>
            <a:t>or </a:t>
          </a:r>
        </a:p>
        <a:p>
          <a:r>
            <a:rPr lang="en-SG"/>
            <a:t>paste the description in column B </a:t>
          </a:r>
        </a:p>
        <a:p>
          <a:r>
            <a:rPr lang="en-SG"/>
            <a:t>Then review the generated dates.</a:t>
          </a:r>
        </a:p>
        <a:p>
          <a:r>
            <a:rPr lang="en-SG" b="1"/>
            <a:t>Important</a:t>
          </a:r>
        </a:p>
        <a:p>
          <a:r>
            <a:rPr lang="en-SG"/>
            <a:t>Do </a:t>
          </a:r>
          <a:r>
            <a:rPr lang="en-SG" b="1"/>
            <a:t>not overwrite the formula columns</a:t>
          </a:r>
          <a:r>
            <a:rPr lang="en-SG"/>
            <a:t> from C onward unless you intentionally want to redesign the workbook.</a:t>
          </a:r>
        </a:p>
        <a:p>
          <a:endParaRPr lang="en-SG"/>
        </a:p>
        <a:p>
          <a:endParaRPr lang="en-SG" sz="1100"/>
        </a:p>
      </xdr:txBody>
    </xdr:sp>
    <xdr:clientData/>
  </xdr:twoCellAnchor>
  <xdr:twoCellAnchor>
    <xdr:from>
      <xdr:col>4</xdr:col>
      <xdr:colOff>1066800</xdr:colOff>
      <xdr:row>3</xdr:row>
      <xdr:rowOff>129540</xdr:rowOff>
    </xdr:from>
    <xdr:to>
      <xdr:col>11</xdr:col>
      <xdr:colOff>312420</xdr:colOff>
      <xdr:row>61</xdr:row>
      <xdr:rowOff>68580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D4791C5-B46D-9719-C99C-957EB84E68A0}"/>
            </a:ext>
          </a:extLst>
        </xdr:cNvPr>
        <xdr:cNvSpPr txBox="1"/>
      </xdr:nvSpPr>
      <xdr:spPr>
        <a:xfrm>
          <a:off x="6004560" y="944880"/>
          <a:ext cx="6012180" cy="105460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SG" b="1"/>
            <a:t>4) Dashboard</a:t>
          </a:r>
        </a:p>
        <a:p>
          <a:r>
            <a:rPr lang="en-SG"/>
            <a:t>This is the </a:t>
          </a:r>
          <a:r>
            <a:rPr lang="en-SG" b="1"/>
            <a:t>visual reporting page</a:t>
          </a:r>
          <a:r>
            <a:rPr lang="en-SG"/>
            <a:t>.</a:t>
          </a:r>
        </a:p>
        <a:p>
          <a:r>
            <a:rPr lang="en-SG"/>
            <a:t>It is mainly for viewing, not for building the data.</a:t>
          </a:r>
        </a:p>
        <a:p>
          <a:r>
            <a:rPr lang="en-SG" b="1"/>
            <a:t>How to use it</a:t>
          </a:r>
        </a:p>
        <a:p>
          <a:r>
            <a:rPr lang="en-SG"/>
            <a:t>Go to </a:t>
          </a:r>
          <a:r>
            <a:rPr lang="en-SG" b="1"/>
            <a:t>cell A6</a:t>
          </a:r>
          <a:r>
            <a:rPr lang="en-SG"/>
            <a:t> and enter the </a:t>
          </a:r>
          <a:r>
            <a:rPr lang="en-SG" b="1"/>
            <a:t>Tag No.</a:t>
          </a:r>
          <a:r>
            <a:rPr lang="en-SG"/>
            <a:t> of the project you want to see.</a:t>
          </a:r>
        </a:p>
        <a:p>
          <a:r>
            <a:rPr lang="en-SG"/>
            <a:t>Once you do that, the page updates:</a:t>
          </a:r>
        </a:p>
        <a:p>
          <a:r>
            <a:rPr lang="en-SG"/>
            <a:t>description </a:t>
          </a:r>
        </a:p>
        <a:p>
          <a:r>
            <a:rPr lang="en-SG"/>
            <a:t>customer </a:t>
          </a:r>
        </a:p>
        <a:p>
          <a:r>
            <a:rPr lang="en-SG"/>
            <a:t>product type </a:t>
          </a:r>
        </a:p>
        <a:p>
          <a:r>
            <a:rPr lang="en-SG"/>
            <a:t>ROS </a:t>
          </a:r>
        </a:p>
        <a:p>
          <a:r>
            <a:rPr lang="en-SG"/>
            <a:t>production start </a:t>
          </a:r>
        </a:p>
        <a:p>
          <a:r>
            <a:rPr lang="en-SG"/>
            <a:t>PO planning date </a:t>
          </a:r>
        </a:p>
        <a:p>
          <a:r>
            <a:rPr lang="en-SG"/>
            <a:t>phase status table </a:t>
          </a:r>
        </a:p>
        <a:p>
          <a:r>
            <a:rPr lang="en-SG"/>
            <a:t>daily Gantt chart</a:t>
          </a:r>
        </a:p>
        <a:p>
          <a:br>
            <a:rPr lang="en-SG" sz="1100"/>
          </a:br>
          <a:r>
            <a:rPr lang="en-SG" b="1"/>
            <a:t>5) Logic &amp; Lists</a:t>
          </a:r>
        </a:p>
        <a:p>
          <a:r>
            <a:rPr lang="en-SG"/>
            <a:t>This is the </a:t>
          </a:r>
          <a:r>
            <a:rPr lang="en-SG" b="1"/>
            <a:t>rules page</a:t>
          </a:r>
          <a:r>
            <a:rPr lang="en-SG"/>
            <a:t>.</a:t>
          </a:r>
        </a:p>
        <a:p>
          <a:r>
            <a:rPr lang="en-SG"/>
            <a:t>You only touch this page when you want to change the standard planning logic.</a:t>
          </a:r>
        </a:p>
        <a:p>
          <a:r>
            <a:rPr lang="en-SG"/>
            <a:t>It has 3 main parts.</a:t>
          </a:r>
        </a:p>
        <a:p>
          <a:r>
            <a:rPr lang="en-SG" b="1"/>
            <a:t>A. Milestone Logic by Product Type</a:t>
          </a:r>
        </a:p>
        <a:p>
          <a:r>
            <a:rPr lang="en-SG"/>
            <a:t>This section defines how dates are calculated.</a:t>
          </a:r>
        </a:p>
        <a:p>
          <a:r>
            <a:rPr lang="en-SG"/>
            <a:t>For each product type, the sheet stores:</a:t>
          </a:r>
        </a:p>
        <a:p>
          <a:r>
            <a:rPr lang="en-SG"/>
            <a:t>milestone name </a:t>
          </a:r>
        </a:p>
        <a:p>
          <a:r>
            <a:rPr lang="en-SG"/>
            <a:t>anchor / basis </a:t>
          </a:r>
        </a:p>
        <a:p>
          <a:r>
            <a:rPr lang="en-SG"/>
            <a:t>offset in days </a:t>
          </a:r>
        </a:p>
        <a:p>
          <a:r>
            <a:rPr lang="en-SG"/>
            <a:t>note </a:t>
          </a:r>
        </a:p>
        <a:p>
          <a:r>
            <a:rPr lang="en-SG"/>
            <a:t>Example:</a:t>
          </a:r>
        </a:p>
        <a:p>
          <a:r>
            <a:rPr lang="en-SG"/>
            <a:t>Production Start = Production Complete minus 45 days </a:t>
          </a:r>
        </a:p>
        <a:p>
          <a:r>
            <a:rPr lang="en-SG"/>
            <a:t>Delivery = ROS minus 3 days</a:t>
          </a:r>
        </a:p>
        <a:p>
          <a:br>
            <a:rPr lang="en-SG" sz="1100"/>
          </a:br>
          <a:r>
            <a:rPr lang="en-SG" b="1"/>
            <a:t>How it works</a:t>
          </a:r>
        </a:p>
        <a:p>
          <a:r>
            <a:rPr lang="en-SG"/>
            <a:t>If your project’s product type exists in this table, that logic is used.</a:t>
          </a:r>
          <a:br>
            <a:rPr lang="en-SG"/>
          </a:br>
          <a:r>
            <a:rPr lang="en-SG"/>
            <a:t>If not, the workbook uses </a:t>
          </a:r>
          <a:r>
            <a:rPr lang="en-SG" b="1"/>
            <a:t>Default</a:t>
          </a:r>
          <a:r>
            <a:rPr lang="en-SG"/>
            <a:t>.</a:t>
          </a:r>
        </a:p>
        <a:p>
          <a:r>
            <a:rPr lang="en-SG" b="1"/>
            <a:t>B. Procurement Lead Times</a:t>
          </a:r>
        </a:p>
        <a:p>
          <a:r>
            <a:rPr lang="en-SG"/>
            <a:t>This section stores the standard lead time for each of the 17 BOM components.</a:t>
          </a:r>
        </a:p>
        <a:p>
          <a:r>
            <a:rPr lang="en-SG"/>
            <a:t>Examples:</a:t>
          </a:r>
        </a:p>
        <a:p>
          <a:r>
            <a:rPr lang="en-SG"/>
            <a:t>compressor </a:t>
          </a:r>
        </a:p>
        <a:p>
          <a:r>
            <a:rPr lang="en-SG"/>
            <a:t>evaporator </a:t>
          </a:r>
        </a:p>
        <a:p>
          <a:r>
            <a:rPr lang="en-SG"/>
            <a:t>condenser </a:t>
          </a:r>
        </a:p>
        <a:p>
          <a:r>
            <a:rPr lang="en-SG"/>
            <a:t>cables </a:t>
          </a:r>
        </a:p>
        <a:p>
          <a:r>
            <a:rPr lang="en-SG"/>
            <a:t>insulation </a:t>
          </a:r>
        </a:p>
        <a:p>
          <a:r>
            <a:rPr lang="en-SG"/>
            <a:t>etc. </a:t>
          </a:r>
        </a:p>
        <a:p>
          <a:r>
            <a:rPr lang="en-SG"/>
            <a:t>These lead times drive the </a:t>
          </a:r>
          <a:r>
            <a:rPr lang="en-SG" b="1"/>
            <a:t>BOM_Tracker</a:t>
          </a:r>
          <a:r>
            <a:rPr lang="en-SG"/>
            <a:t>.</a:t>
          </a:r>
        </a:p>
        <a:p>
          <a:r>
            <a:rPr lang="en-SG" b="1"/>
            <a:t>C. Validation / preview area</a:t>
          </a:r>
        </a:p>
        <a:p>
          <a:r>
            <a:rPr lang="en-SG"/>
            <a:t>There is also a helper area showing:</a:t>
          </a:r>
        </a:p>
        <a:p>
          <a:r>
            <a:rPr lang="en-SG"/>
            <a:t>selected tag </a:t>
          </a:r>
        </a:p>
        <a:p>
          <a:r>
            <a:rPr lang="en-SG"/>
            <a:t>selected project procurement preview </a:t>
          </a:r>
        </a:p>
        <a:p>
          <a:r>
            <a:rPr lang="en-SG"/>
            <a:t>latest PO/prep dates </a:t>
          </a:r>
        </a:p>
        <a:p>
          <a:r>
            <a:rPr lang="en-SG"/>
            <a:t>This is mainly for checking the logic.</a:t>
          </a:r>
        </a:p>
        <a:p>
          <a:r>
            <a:rPr lang="en-SG" b="1"/>
            <a:t>When to edit this page</a:t>
          </a:r>
        </a:p>
        <a:p>
          <a:r>
            <a:rPr lang="en-SG"/>
            <a:t>Edit it only when:</a:t>
          </a:r>
        </a:p>
        <a:p>
          <a:r>
            <a:rPr lang="en-SG"/>
            <a:t>standard milestone timing changes </a:t>
          </a:r>
        </a:p>
        <a:p>
          <a:r>
            <a:rPr lang="en-SG"/>
            <a:t>production duration changes </a:t>
          </a:r>
        </a:p>
        <a:p>
          <a:r>
            <a:rPr lang="en-SG"/>
            <a:t>procurement lead times change </a:t>
          </a:r>
        </a:p>
        <a:p>
          <a:r>
            <a:rPr lang="en-SG"/>
            <a:t>a new product type needs its own rule set</a:t>
          </a:r>
        </a:p>
        <a:p>
          <a:endParaRPr lang="en-SG" sz="1100"/>
        </a:p>
      </xdr:txBody>
    </xdr:sp>
    <xdr:clientData/>
  </xdr:twoCellAnchor>
  <xdr:twoCellAnchor>
    <xdr:from>
      <xdr:col>12</xdr:col>
      <xdr:colOff>45720</xdr:colOff>
      <xdr:row>3</xdr:row>
      <xdr:rowOff>114300</xdr:rowOff>
    </xdr:from>
    <xdr:to>
      <xdr:col>20</xdr:col>
      <xdr:colOff>198120</xdr:colOff>
      <xdr:row>59</xdr:row>
      <xdr:rowOff>30480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9B9E9C2-A8A3-D5DE-31CA-C579533B27B8}"/>
            </a:ext>
          </a:extLst>
        </xdr:cNvPr>
        <xdr:cNvSpPr txBox="1"/>
      </xdr:nvSpPr>
      <xdr:spPr>
        <a:xfrm>
          <a:off x="12359640" y="929640"/>
          <a:ext cx="5029200" cy="101574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SG" b="1"/>
            <a:t>6) BOM_Tracker</a:t>
          </a:r>
        </a:p>
        <a:p>
          <a:r>
            <a:rPr lang="en-SG"/>
            <a:t>This is the </a:t>
          </a:r>
          <a:r>
            <a:rPr lang="en-SG" b="1"/>
            <a:t>procurement control page</a:t>
          </a:r>
          <a:r>
            <a:rPr lang="en-SG"/>
            <a:t>.</a:t>
          </a:r>
        </a:p>
        <a:p>
          <a:r>
            <a:rPr lang="en-SG"/>
            <a:t>It expands each project into a fixed list of component lines.</a:t>
          </a:r>
        </a:p>
        <a:p>
          <a:r>
            <a:rPr lang="en-SG" b="1"/>
            <a:t>How it works</a:t>
          </a:r>
        </a:p>
        <a:p>
          <a:r>
            <a:rPr lang="en-SG"/>
            <a:t>Each project gets </a:t>
          </a:r>
          <a:r>
            <a:rPr lang="en-SG" b="1"/>
            <a:t>17 component rows</a:t>
          </a:r>
          <a:r>
            <a:rPr lang="en-SG"/>
            <a:t>.</a:t>
          </a:r>
        </a:p>
        <a:p>
          <a:r>
            <a:rPr lang="en-SG"/>
            <a:t>For each row, the sheet auto-calculates:</a:t>
          </a:r>
        </a:p>
        <a:p>
          <a:r>
            <a:rPr lang="en-SG"/>
            <a:t>tag no. </a:t>
          </a:r>
        </a:p>
        <a:p>
          <a:r>
            <a:rPr lang="en-SG"/>
            <a:t>description </a:t>
          </a:r>
        </a:p>
        <a:p>
          <a:r>
            <a:rPr lang="en-SG"/>
            <a:t>product type </a:t>
          </a:r>
        </a:p>
        <a:p>
          <a:r>
            <a:rPr lang="en-SG"/>
            <a:t>arrival deadline </a:t>
          </a:r>
        </a:p>
        <a:p>
          <a:r>
            <a:rPr lang="en-SG"/>
            <a:t>component </a:t>
          </a:r>
        </a:p>
        <a:p>
          <a:r>
            <a:rPr lang="en-SG"/>
            <a:t>lead time </a:t>
          </a:r>
        </a:p>
        <a:p>
          <a:r>
            <a:rPr lang="en-SG"/>
            <a:t>latest PO / prep by date </a:t>
          </a:r>
        </a:p>
        <a:p>
          <a:r>
            <a:rPr lang="en-SG"/>
            <a:t>days until needed </a:t>
          </a:r>
        </a:p>
        <a:p>
          <a:r>
            <a:rPr lang="en-SG"/>
            <a:t>urgency</a:t>
          </a:r>
        </a:p>
        <a:p>
          <a:r>
            <a:rPr lang="en-SG" b="1"/>
            <a:t>Urgency is auto-labeled as</a:t>
          </a:r>
        </a:p>
        <a:p>
          <a:r>
            <a:rPr lang="en-SG" b="1"/>
            <a:t>OK</a:t>
          </a:r>
          <a:r>
            <a:rPr lang="en-SG"/>
            <a:t> </a:t>
          </a:r>
        </a:p>
        <a:p>
          <a:r>
            <a:rPr lang="en-SG" b="1"/>
            <a:t>PREPARE</a:t>
          </a:r>
          <a:r>
            <a:rPr lang="en-SG"/>
            <a:t> </a:t>
          </a:r>
        </a:p>
        <a:p>
          <a:r>
            <a:rPr lang="en-SG" b="1"/>
            <a:t>URGENT</a:t>
          </a:r>
          <a:r>
            <a:rPr lang="en-SG"/>
            <a:t> </a:t>
          </a:r>
        </a:p>
        <a:p>
          <a:r>
            <a:rPr lang="en-SG" b="1"/>
            <a:t>OVERDUE</a:t>
          </a:r>
          <a:r>
            <a:rPr lang="en-SG"/>
            <a:t> </a:t>
          </a:r>
        </a:p>
        <a:p>
          <a:r>
            <a:rPr lang="en-SG" b="1"/>
            <a:t>ORDERED</a:t>
          </a:r>
          <a:r>
            <a:rPr lang="en-SG"/>
            <a:t> </a:t>
          </a:r>
        </a:p>
        <a:p>
          <a:r>
            <a:rPr lang="en-SG" b="1"/>
            <a:t>What you should manually update here</a:t>
          </a:r>
        </a:p>
        <a:p>
          <a:r>
            <a:rPr lang="en-SG"/>
            <a:t>These are the working fields:</a:t>
          </a:r>
        </a:p>
        <a:p>
          <a:r>
            <a:rPr lang="en-SG" b="1"/>
            <a:t>K:</a:t>
          </a:r>
          <a:r>
            <a:rPr lang="en-SG"/>
            <a:t> Actual PO Date </a:t>
          </a:r>
        </a:p>
        <a:p>
          <a:r>
            <a:rPr lang="en-SG" b="1"/>
            <a:t>M:</a:t>
          </a:r>
          <a:r>
            <a:rPr lang="en-SG"/>
            <a:t> Vendor </a:t>
          </a:r>
        </a:p>
        <a:p>
          <a:r>
            <a:rPr lang="en-SG" b="1"/>
            <a:t>N:</a:t>
          </a:r>
          <a:r>
            <a:rPr lang="en-SG"/>
            <a:t> PO No. </a:t>
          </a:r>
        </a:p>
        <a:p>
          <a:r>
            <a:rPr lang="en-SG" b="1"/>
            <a:t>O:</a:t>
          </a:r>
          <a:r>
            <a:rPr lang="en-SG"/>
            <a:t> Notes</a:t>
          </a:r>
        </a:p>
        <a:p>
          <a:br>
            <a:rPr lang="en-SG" sz="1100"/>
          </a:br>
          <a:br>
            <a:rPr lang="en-SG" sz="1100"/>
          </a:br>
          <a:r>
            <a:rPr lang="en-SG" b="1"/>
            <a:t>7) Comments_Log</a:t>
          </a:r>
        </a:p>
        <a:p>
          <a:r>
            <a:rPr lang="en-SG"/>
            <a:t>This is the manual action log.</a:t>
          </a:r>
        </a:p>
        <a:p>
          <a:r>
            <a:rPr lang="en-SG" b="1"/>
            <a:t>What to fill in</a:t>
          </a:r>
        </a:p>
        <a:p>
          <a:r>
            <a:rPr lang="en-SG"/>
            <a:t>Date </a:t>
          </a:r>
        </a:p>
        <a:p>
          <a:r>
            <a:rPr lang="en-SG"/>
            <a:t>Tag No. </a:t>
          </a:r>
        </a:p>
        <a:p>
          <a:r>
            <a:rPr lang="en-SG"/>
            <a:t>Owner </a:t>
          </a:r>
        </a:p>
        <a:p>
          <a:r>
            <a:rPr lang="en-SG"/>
            <a:t>Update Type </a:t>
          </a:r>
        </a:p>
        <a:p>
          <a:r>
            <a:rPr lang="en-SG"/>
            <a:t>Issue / Status </a:t>
          </a:r>
        </a:p>
        <a:p>
          <a:r>
            <a:rPr lang="en-SG"/>
            <a:t>Comment </a:t>
          </a:r>
        </a:p>
        <a:p>
          <a:r>
            <a:rPr lang="en-SG"/>
            <a:t>Next Action </a:t>
          </a:r>
        </a:p>
        <a:p>
          <a:r>
            <a:rPr lang="en-SG"/>
            <a:t>Follow-up Date </a:t>
          </a:r>
        </a:p>
        <a:p>
          <a:r>
            <a:rPr lang="en-SG" b="1"/>
            <a:t>Best use</a:t>
          </a:r>
        </a:p>
        <a:p>
          <a:r>
            <a:rPr lang="en-SG"/>
            <a:t>Use this for:</a:t>
          </a:r>
        </a:p>
        <a:p>
          <a:r>
            <a:rPr lang="en-SG"/>
            <a:t>delay reasons </a:t>
          </a:r>
        </a:p>
        <a:p>
          <a:r>
            <a:rPr lang="en-SG"/>
            <a:t>design freeze changes </a:t>
          </a:r>
        </a:p>
        <a:p>
          <a:r>
            <a:rPr lang="en-SG"/>
            <a:t>vendor issues </a:t>
          </a:r>
        </a:p>
        <a:p>
          <a:r>
            <a:rPr lang="en-SG"/>
            <a:t>FAT changes </a:t>
          </a:r>
        </a:p>
        <a:p>
          <a:r>
            <a:rPr lang="en-SG"/>
            <a:t>customer comments </a:t>
          </a:r>
        </a:p>
        <a:p>
          <a:r>
            <a:rPr lang="en-SG"/>
            <a:t>action follow-up </a:t>
          </a:r>
        </a:p>
        <a:p>
          <a:r>
            <a:rPr lang="en-SG"/>
            <a:t>This is useful when the schedule shows risk but you also need the reason and next step.</a:t>
          </a:r>
        </a:p>
        <a:p>
          <a:endParaRPr lang="en-SG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899160</xdr:colOff>
      <xdr:row>39</xdr:row>
      <xdr:rowOff>152400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34398EEA-DDEB-2F92-4879-D33561E505C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152400</xdr:colOff>
      <xdr:row>40</xdr:row>
      <xdr:rowOff>12700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B4143CCE-651A-F985-9463-729D17DDF99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7724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showGridLines="0" zoomScale="119" workbookViewId="0">
      <selection activeCell="U34" sqref="U34"/>
    </sheetView>
  </sheetViews>
  <sheetFormatPr baseColWidth="10" defaultColWidth="8.83203125" defaultRowHeight="15" x14ac:dyDescent="0.2"/>
  <cols>
    <col min="1" max="8" width="18" customWidth="1"/>
  </cols>
  <sheetData>
    <row r="1" spans="1:8" ht="21" x14ac:dyDescent="0.2">
      <c r="A1" s="58"/>
      <c r="B1" s="52"/>
      <c r="C1" s="52"/>
      <c r="D1" s="52"/>
      <c r="E1" s="52"/>
      <c r="F1" s="52"/>
      <c r="G1" s="52"/>
      <c r="H1" s="49"/>
    </row>
    <row r="3" spans="1:8" ht="28.75" customHeight="1" x14ac:dyDescent="0.2">
      <c r="A3" s="1" t="s">
        <v>0</v>
      </c>
    </row>
    <row r="5" spans="1:8" x14ac:dyDescent="0.2">
      <c r="A5" s="57"/>
      <c r="B5" s="56"/>
      <c r="C5" s="56"/>
      <c r="D5" s="56"/>
      <c r="E5" s="56"/>
      <c r="F5" s="56"/>
      <c r="G5" s="56"/>
      <c r="H5" s="56"/>
    </row>
    <row r="6" spans="1:8" x14ac:dyDescent="0.2">
      <c r="A6" s="57"/>
      <c r="B6" s="56"/>
      <c r="C6" s="56"/>
      <c r="D6" s="56"/>
      <c r="E6" s="56"/>
      <c r="F6" s="56"/>
      <c r="G6" s="56"/>
      <c r="H6" s="56"/>
    </row>
    <row r="7" spans="1:8" x14ac:dyDescent="0.2">
      <c r="A7" s="57"/>
      <c r="B7" s="56"/>
      <c r="C7" s="56"/>
      <c r="D7" s="56"/>
      <c r="E7" s="56"/>
      <c r="F7" s="56"/>
      <c r="G7" s="56"/>
      <c r="H7" s="56"/>
    </row>
    <row r="8" spans="1:8" x14ac:dyDescent="0.2">
      <c r="A8" s="57"/>
      <c r="B8" s="56"/>
      <c r="C8" s="56"/>
      <c r="D8" s="56"/>
      <c r="E8" s="56"/>
      <c r="F8" s="56"/>
      <c r="G8" s="56"/>
      <c r="H8" s="56"/>
    </row>
    <row r="9" spans="1:8" x14ac:dyDescent="0.2">
      <c r="A9" s="57"/>
      <c r="B9" s="56"/>
      <c r="C9" s="56"/>
      <c r="D9" s="56"/>
      <c r="E9" s="56"/>
      <c r="F9" s="56"/>
      <c r="G9" s="56"/>
      <c r="H9" s="56"/>
    </row>
    <row r="10" spans="1:8" x14ac:dyDescent="0.2">
      <c r="A10" s="57"/>
      <c r="B10" s="56"/>
      <c r="C10" s="56"/>
      <c r="D10" s="56"/>
      <c r="E10" s="56"/>
      <c r="F10" s="56"/>
      <c r="G10" s="56"/>
      <c r="H10" s="56"/>
    </row>
    <row r="12" spans="1:8" x14ac:dyDescent="0.2">
      <c r="A12" s="37"/>
    </row>
    <row r="14" spans="1:8" x14ac:dyDescent="0.2">
      <c r="A14" s="55"/>
      <c r="B14" s="56"/>
      <c r="C14" s="56"/>
      <c r="D14" s="56"/>
      <c r="E14" s="56"/>
      <c r="F14" s="56"/>
      <c r="G14" s="56"/>
      <c r="H14" s="56"/>
    </row>
    <row r="15" spans="1:8" x14ac:dyDescent="0.2">
      <c r="A15" s="55"/>
      <c r="B15" s="56"/>
      <c r="C15" s="56"/>
      <c r="D15" s="56"/>
      <c r="E15" s="56"/>
      <c r="F15" s="56"/>
      <c r="G15" s="56"/>
      <c r="H15" s="56"/>
    </row>
    <row r="16" spans="1:8" x14ac:dyDescent="0.2">
      <c r="A16" s="55"/>
      <c r="B16" s="56"/>
      <c r="C16" s="56"/>
      <c r="D16" s="56"/>
      <c r="E16" s="56"/>
      <c r="F16" s="56"/>
      <c r="G16" s="56"/>
      <c r="H16" s="56"/>
    </row>
    <row r="17" spans="1:8" x14ac:dyDescent="0.2">
      <c r="A17" s="55"/>
      <c r="B17" s="56"/>
      <c r="C17" s="56"/>
      <c r="D17" s="56"/>
      <c r="E17" s="56"/>
      <c r="F17" s="56"/>
      <c r="G17" s="56"/>
      <c r="H17" s="56"/>
    </row>
  </sheetData>
  <mergeCells count="11">
    <mergeCell ref="A17:H17"/>
    <mergeCell ref="A9:H9"/>
    <mergeCell ref="A1:H1"/>
    <mergeCell ref="A15:H15"/>
    <mergeCell ref="A7:H7"/>
    <mergeCell ref="A16:H16"/>
    <mergeCell ref="A10:H10"/>
    <mergeCell ref="A14:H14"/>
    <mergeCell ref="A5:H5"/>
    <mergeCell ref="A8:H8"/>
    <mergeCell ref="A6:H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P47"/>
  <sheetViews>
    <sheetView showGridLines="0" topLeftCell="D1" zoomScale="125" zoomScaleNormal="93" workbookViewId="0">
      <selection activeCell="E14" sqref="E14"/>
    </sheetView>
  </sheetViews>
  <sheetFormatPr baseColWidth="10" defaultColWidth="8.83203125" defaultRowHeight="15" x14ac:dyDescent="0.2"/>
  <cols>
    <col min="1" max="1" width="22" customWidth="1"/>
    <col min="2" max="3" width="12" customWidth="1"/>
    <col min="4" max="4" width="40.6640625" customWidth="1"/>
    <col min="5" max="5" width="11" customWidth="1"/>
    <col min="6" max="6" width="2" customWidth="1"/>
    <col min="7" max="7" width="2.33203125" customWidth="1"/>
    <col min="8" max="8" width="6.5" customWidth="1"/>
    <col min="9" max="9" width="14.1640625" customWidth="1"/>
    <col min="10" max="10" width="7.6640625" customWidth="1"/>
    <col min="11" max="11" width="14.1640625" customWidth="1"/>
    <col min="12" max="12" width="6.1640625" customWidth="1"/>
    <col min="13" max="13" width="11.83203125" customWidth="1"/>
    <col min="14" max="24" width="2.33203125" hidden="1" customWidth="1"/>
    <col min="25" max="82" width="2.33203125" customWidth="1"/>
    <col min="83" max="83" width="2.33203125" hidden="1" customWidth="1"/>
    <col min="84" max="89" width="2.33203125" customWidth="1"/>
    <col min="90" max="90" width="2.33203125" hidden="1" customWidth="1"/>
    <col min="91" max="95" width="2.33203125" customWidth="1"/>
    <col min="96" max="96" width="11.5" customWidth="1"/>
    <col min="97" max="100" width="2.33203125" customWidth="1"/>
    <col min="101" max="101" width="1.5" customWidth="1"/>
    <col min="102" max="112" width="2.33203125" hidden="1" customWidth="1"/>
    <col min="113" max="113" width="1.5" hidden="1" customWidth="1"/>
    <col min="114" max="116" width="2.33203125" hidden="1" customWidth="1"/>
    <col min="117" max="117" width="1.1640625" hidden="1" customWidth="1"/>
    <col min="118" max="192" width="2.33203125" hidden="1" customWidth="1"/>
    <col min="193" max="193" width="0.1640625" hidden="1" customWidth="1"/>
    <col min="194" max="195" width="2.33203125" customWidth="1"/>
    <col min="196" max="196" width="5.1640625" customWidth="1"/>
    <col min="197" max="198" width="4.33203125" customWidth="1"/>
    <col min="199" max="218" width="2.33203125" customWidth="1"/>
    <col min="219" max="219" width="10.6640625" customWidth="1"/>
    <col min="220" max="276" width="2.33203125" customWidth="1"/>
  </cols>
  <sheetData>
    <row r="1" spans="1:276" x14ac:dyDescent="0.2">
      <c r="A1" s="38" t="s">
        <v>144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40"/>
    </row>
    <row r="2" spans="1:276" x14ac:dyDescent="0.2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3"/>
    </row>
    <row r="3" spans="1:276" x14ac:dyDescent="0.2">
      <c r="A3" s="51" t="s">
        <v>145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49"/>
    </row>
    <row r="5" spans="1:276" x14ac:dyDescent="0.2">
      <c r="A5" s="48" t="s">
        <v>19</v>
      </c>
      <c r="B5" s="49"/>
      <c r="C5" s="48" t="s">
        <v>31</v>
      </c>
      <c r="D5" s="49"/>
      <c r="E5" s="48" t="s">
        <v>146</v>
      </c>
      <c r="F5" s="49"/>
      <c r="G5" s="48" t="s">
        <v>8</v>
      </c>
      <c r="H5" s="49"/>
      <c r="I5" s="48" t="s">
        <v>20</v>
      </c>
      <c r="J5" s="49"/>
      <c r="K5" s="48" t="s">
        <v>32</v>
      </c>
      <c r="L5" s="49"/>
      <c r="M5" s="48" t="s">
        <v>54</v>
      </c>
      <c r="N5" s="49"/>
      <c r="O5" s="48" t="s">
        <v>147</v>
      </c>
      <c r="P5" s="49"/>
      <c r="Q5" s="48" t="s">
        <v>148</v>
      </c>
      <c r="R5" s="49"/>
      <c r="S5" s="48" t="s">
        <v>149</v>
      </c>
      <c r="T5" s="49"/>
      <c r="U5" s="48" t="s">
        <v>150</v>
      </c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49"/>
    </row>
    <row r="6" spans="1:276" x14ac:dyDescent="0.2">
      <c r="A6" s="44">
        <v>123456</v>
      </c>
      <c r="B6" s="40"/>
      <c r="C6" s="53" t="str">
        <f>IFERROR(INDEX(Project_Tracker!$B$2:$B$101,MATCH($A$6,Project_Tracker!$AL$2:$AL$101,0)),"")</f>
        <v>Chiller Water Unit</v>
      </c>
      <c r="D6" s="40"/>
      <c r="E6" s="53" t="str">
        <f>IFERROR(INDEX(Project_Tracker!$D$2:$D$101,MATCH($A$6,Project_Tracker!$AL$2:$AL$101,0)),"")</f>
        <v>Sample Customer</v>
      </c>
      <c r="F6" s="40"/>
      <c r="G6" s="53" t="str">
        <f>IFERROR(INDEX(Project_Tracker!$C$2:$C$101,MATCH($A$6,Project_Tracker!$AL$2:$AL$101,0)),"")</f>
        <v>冷水机组</v>
      </c>
      <c r="H6" s="40"/>
      <c r="I6" s="54">
        <f>IFERROR(INDEX(Project_Tracker!$F$2:$F$101,MATCH($A$6,Project_Tracker!$AL$2:$AL$101,0)),"")</f>
        <v>46315</v>
      </c>
      <c r="J6" s="40"/>
      <c r="K6" s="54">
        <f>IFERROR(INDEX(Project_Tracker!$T$2:$T$101,MATCH($A$6,Project_Tracker!$AL$2:$AL$101,0)),"")</f>
        <v>46244</v>
      </c>
      <c r="L6" s="40"/>
      <c r="M6" s="54">
        <f>IFERROR(INDEX(Project_Tracker!$S$2:$S$101,MATCH($A$6,Project_Tracker!$AL$2:$AL$101,0)),"")</f>
        <v>46104</v>
      </c>
      <c r="N6" s="40"/>
      <c r="O6" s="50">
        <f ca="1">IFERROR(INDEX(Project_Tracker!$AI$2:$AI$101,MATCH($A$6,Project_Tracker!$AL$2:$AL$101,0)),"")</f>
        <v>63</v>
      </c>
      <c r="P6" s="40"/>
      <c r="Q6" s="50">
        <f ca="1">COUNTIFS(BOM_Tracker!$A$6:$A$1705,$A$6,BOM_Tracker!$J$6:$J$1705,"URGENT")+COUNTIFS(BOM_Tracker!$A$6:$A$1705,$A$6,BOM_Tracker!$J$6:$J$1705,"OVERDUE")</f>
        <v>17</v>
      </c>
      <c r="R6" s="40"/>
      <c r="S6" s="53" t="str">
        <f>IFERROR(VLOOKUP($A$6,Project_Tracker!$A$2:$AJ$101,9,FALSE),"")</f>
        <v>PM Owner</v>
      </c>
      <c r="T6" s="40"/>
      <c r="U6" s="53" t="str">
        <f ca="1">IFERROR(VLOOKUP($A$6,Project_Tracker!$A$2:$AJ$101,34,FALSE),"")</f>
        <v>On Track</v>
      </c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40"/>
    </row>
    <row r="7" spans="1:276" x14ac:dyDescent="0.2">
      <c r="A7" s="41"/>
      <c r="B7" s="43"/>
      <c r="C7" s="41"/>
      <c r="D7" s="43"/>
      <c r="E7" s="41"/>
      <c r="F7" s="43"/>
      <c r="G7" s="41"/>
      <c r="H7" s="43"/>
      <c r="I7" s="41"/>
      <c r="J7" s="43"/>
      <c r="K7" s="41"/>
      <c r="L7" s="43"/>
      <c r="M7" s="41"/>
      <c r="N7" s="43"/>
      <c r="O7" s="41"/>
      <c r="P7" s="43"/>
      <c r="Q7" s="41"/>
      <c r="R7" s="43"/>
      <c r="S7" s="41"/>
      <c r="T7" s="43"/>
      <c r="U7" s="41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3"/>
    </row>
    <row r="9" spans="1:276" ht="20" customHeight="1" x14ac:dyDescent="0.2">
      <c r="A9" s="45" t="s">
        <v>151</v>
      </c>
      <c r="B9" s="46"/>
      <c r="C9" s="46"/>
      <c r="D9" s="46"/>
      <c r="E9" s="47"/>
      <c r="G9" s="45" t="s">
        <v>152</v>
      </c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46"/>
      <c r="CU9" s="46"/>
      <c r="CV9" s="46"/>
      <c r="CW9" s="46"/>
      <c r="CX9" s="46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46"/>
      <c r="DJ9" s="46"/>
      <c r="DK9" s="46"/>
      <c r="DL9" s="46"/>
      <c r="DM9" s="46"/>
      <c r="DN9" s="46"/>
      <c r="DO9" s="46"/>
      <c r="DP9" s="46"/>
      <c r="DQ9" s="46"/>
      <c r="DR9" s="46"/>
      <c r="DS9" s="46"/>
      <c r="DT9" s="46"/>
      <c r="DU9" s="46"/>
      <c r="DV9" s="46"/>
      <c r="DW9" s="46"/>
      <c r="DX9" s="46"/>
      <c r="DY9" s="46"/>
      <c r="DZ9" s="46"/>
      <c r="EA9" s="46"/>
      <c r="EB9" s="46"/>
      <c r="EC9" s="46"/>
      <c r="ED9" s="46"/>
      <c r="EE9" s="46"/>
      <c r="EF9" s="46"/>
      <c r="EG9" s="46"/>
      <c r="EH9" s="46"/>
      <c r="EI9" s="46"/>
      <c r="EJ9" s="46"/>
      <c r="EK9" s="46"/>
      <c r="EL9" s="46"/>
      <c r="EM9" s="46"/>
      <c r="EN9" s="46"/>
      <c r="EO9" s="46"/>
      <c r="EP9" s="46"/>
      <c r="EQ9" s="46"/>
      <c r="ER9" s="46"/>
      <c r="ES9" s="46"/>
      <c r="ET9" s="46"/>
      <c r="EU9" s="46"/>
      <c r="EV9" s="46"/>
      <c r="EW9" s="46"/>
      <c r="EX9" s="46"/>
      <c r="EY9" s="46"/>
      <c r="EZ9" s="46"/>
      <c r="FA9" s="46"/>
      <c r="FB9" s="46"/>
      <c r="FC9" s="46"/>
      <c r="FD9" s="46"/>
      <c r="FE9" s="46"/>
      <c r="FF9" s="46"/>
      <c r="FG9" s="46"/>
      <c r="FH9" s="46"/>
      <c r="FI9" s="46"/>
      <c r="FJ9" s="46"/>
      <c r="FK9" s="46"/>
      <c r="FL9" s="46"/>
      <c r="FM9" s="46"/>
      <c r="FN9" s="46"/>
      <c r="FO9" s="46"/>
      <c r="FP9" s="46"/>
      <c r="FQ9" s="46"/>
      <c r="FR9" s="46"/>
      <c r="FS9" s="46"/>
      <c r="FT9" s="46"/>
      <c r="FU9" s="46"/>
      <c r="FV9" s="46"/>
      <c r="FW9" s="46"/>
      <c r="FX9" s="46"/>
      <c r="FY9" s="46"/>
      <c r="FZ9" s="46"/>
      <c r="GA9" s="46"/>
      <c r="GB9" s="46"/>
      <c r="GC9" s="46"/>
      <c r="GD9" s="46"/>
      <c r="GE9" s="46"/>
      <c r="GF9" s="46"/>
      <c r="GG9" s="46"/>
      <c r="GH9" s="46"/>
      <c r="GI9" s="46"/>
      <c r="GJ9" s="46"/>
      <c r="GK9" s="46"/>
      <c r="GL9" s="46"/>
      <c r="GM9" s="46"/>
      <c r="GN9" s="46"/>
      <c r="GO9" s="46"/>
      <c r="GP9" s="46"/>
      <c r="GQ9" s="46"/>
      <c r="GR9" s="46"/>
      <c r="GS9" s="46"/>
      <c r="GT9" s="46"/>
      <c r="GU9" s="46"/>
      <c r="GV9" s="46"/>
      <c r="GW9" s="46"/>
      <c r="GX9" s="46"/>
      <c r="GY9" s="46"/>
      <c r="GZ9" s="46"/>
      <c r="HA9" s="46"/>
      <c r="HB9" s="46"/>
      <c r="HC9" s="46"/>
      <c r="HD9" s="46"/>
      <c r="HE9" s="46"/>
      <c r="HF9" s="46"/>
      <c r="HG9" s="46"/>
      <c r="HH9" s="46"/>
      <c r="HI9" s="46"/>
      <c r="HJ9" s="46"/>
      <c r="HK9" s="46"/>
      <c r="HL9" s="46"/>
      <c r="HM9" s="46"/>
      <c r="HN9" s="46"/>
      <c r="HO9" s="46"/>
      <c r="HP9" s="46"/>
      <c r="HQ9" s="46"/>
      <c r="HR9" s="46"/>
      <c r="HS9" s="46"/>
      <c r="HT9" s="46"/>
      <c r="HU9" s="46"/>
      <c r="HV9" s="46"/>
      <c r="HW9" s="46"/>
      <c r="HX9" s="46"/>
      <c r="HY9" s="46"/>
      <c r="HZ9" s="46"/>
      <c r="IA9" s="46"/>
      <c r="IB9" s="46"/>
      <c r="IC9" s="46"/>
      <c r="ID9" s="46"/>
      <c r="IE9" s="46"/>
      <c r="IF9" s="46"/>
      <c r="IG9" s="46"/>
      <c r="IH9" s="46"/>
      <c r="II9" s="46"/>
      <c r="IJ9" s="46"/>
      <c r="IK9" s="46"/>
      <c r="IL9" s="46"/>
      <c r="IM9" s="46"/>
      <c r="IN9" s="46"/>
      <c r="IO9" s="46"/>
      <c r="IP9" s="46"/>
      <c r="IQ9" s="46"/>
      <c r="IR9" s="46"/>
      <c r="IS9" s="46"/>
      <c r="IT9" s="46"/>
      <c r="IU9" s="46"/>
      <c r="IV9" s="46"/>
      <c r="IW9" s="46"/>
      <c r="IX9" s="46"/>
      <c r="IY9" s="46"/>
      <c r="IZ9" s="46"/>
      <c r="JA9" s="46"/>
      <c r="JB9" s="46"/>
      <c r="JC9" s="46"/>
      <c r="JD9" s="46"/>
      <c r="JE9" s="46"/>
      <c r="JF9" s="46"/>
      <c r="JG9" s="46"/>
      <c r="JH9" s="46"/>
      <c r="JI9" s="46"/>
      <c r="JJ9" s="46"/>
      <c r="JK9" s="46"/>
      <c r="JL9" s="46"/>
      <c r="JM9" s="46"/>
      <c r="JN9" s="46"/>
      <c r="JO9" s="46"/>
      <c r="JP9" s="47"/>
    </row>
    <row r="10" spans="1:276" ht="18" customHeight="1" x14ac:dyDescent="0.2">
      <c r="A10" s="29" t="s">
        <v>153</v>
      </c>
      <c r="B10" s="29" t="s">
        <v>154</v>
      </c>
      <c r="C10" s="29" t="s">
        <v>155</v>
      </c>
      <c r="D10" s="29" t="s">
        <v>156</v>
      </c>
      <c r="E10" s="29" t="s">
        <v>157</v>
      </c>
      <c r="G10" s="30" t="str">
        <f t="shared" ref="G10:BR10" si="0">IF(G11="","",IF(DAY(G11)=1,TEXT(G11,"mmm"),""))</f>
        <v>Feb</v>
      </c>
      <c r="H10" s="30" t="str">
        <f t="shared" si="0"/>
        <v/>
      </c>
      <c r="I10" s="30" t="str">
        <f t="shared" si="0"/>
        <v/>
      </c>
      <c r="J10" s="30" t="str">
        <f t="shared" si="0"/>
        <v/>
      </c>
      <c r="K10" s="30" t="str">
        <f t="shared" si="0"/>
        <v/>
      </c>
      <c r="L10" s="30" t="str">
        <f t="shared" si="0"/>
        <v/>
      </c>
      <c r="M10" s="30" t="str">
        <f t="shared" si="0"/>
        <v/>
      </c>
      <c r="N10" s="30" t="str">
        <f t="shared" si="0"/>
        <v/>
      </c>
      <c r="O10" s="30" t="str">
        <f t="shared" si="0"/>
        <v/>
      </c>
      <c r="P10" s="30" t="str">
        <f t="shared" si="0"/>
        <v/>
      </c>
      <c r="Q10" s="30" t="str">
        <f t="shared" si="0"/>
        <v/>
      </c>
      <c r="R10" s="30" t="str">
        <f t="shared" si="0"/>
        <v/>
      </c>
      <c r="S10" s="30" t="str">
        <f t="shared" si="0"/>
        <v/>
      </c>
      <c r="T10" s="30" t="str">
        <f t="shared" si="0"/>
        <v/>
      </c>
      <c r="U10" s="30" t="str">
        <f t="shared" si="0"/>
        <v/>
      </c>
      <c r="V10" s="30" t="str">
        <f t="shared" si="0"/>
        <v/>
      </c>
      <c r="W10" s="30" t="str">
        <f t="shared" si="0"/>
        <v/>
      </c>
      <c r="X10" s="30" t="str">
        <f t="shared" si="0"/>
        <v/>
      </c>
      <c r="Y10" s="30" t="str">
        <f t="shared" si="0"/>
        <v/>
      </c>
      <c r="Z10" s="30" t="str">
        <f t="shared" si="0"/>
        <v/>
      </c>
      <c r="AA10" s="30" t="str">
        <f t="shared" si="0"/>
        <v/>
      </c>
      <c r="AB10" s="30" t="str">
        <f t="shared" si="0"/>
        <v/>
      </c>
      <c r="AC10" s="30" t="str">
        <f t="shared" si="0"/>
        <v/>
      </c>
      <c r="AD10" s="30" t="str">
        <f t="shared" si="0"/>
        <v/>
      </c>
      <c r="AE10" s="30" t="str">
        <f t="shared" si="0"/>
        <v/>
      </c>
      <c r="AF10" s="30" t="str">
        <f t="shared" si="0"/>
        <v/>
      </c>
      <c r="AG10" s="30" t="str">
        <f t="shared" si="0"/>
        <v/>
      </c>
      <c r="AH10" s="30" t="str">
        <f t="shared" si="0"/>
        <v/>
      </c>
      <c r="AI10" s="30" t="str">
        <f t="shared" si="0"/>
        <v>Mar</v>
      </c>
      <c r="AJ10" s="30" t="str">
        <f t="shared" si="0"/>
        <v/>
      </c>
      <c r="AK10" s="30" t="str">
        <f t="shared" si="0"/>
        <v/>
      </c>
      <c r="AL10" s="30" t="str">
        <f t="shared" si="0"/>
        <v/>
      </c>
      <c r="AM10" s="30" t="str">
        <f t="shared" si="0"/>
        <v/>
      </c>
      <c r="AN10" s="30" t="str">
        <f t="shared" si="0"/>
        <v/>
      </c>
      <c r="AO10" s="30" t="str">
        <f t="shared" si="0"/>
        <v/>
      </c>
      <c r="AP10" s="30" t="str">
        <f t="shared" si="0"/>
        <v/>
      </c>
      <c r="AQ10" s="30" t="str">
        <f t="shared" si="0"/>
        <v/>
      </c>
      <c r="AR10" s="30" t="str">
        <f t="shared" si="0"/>
        <v/>
      </c>
      <c r="AS10" s="30" t="str">
        <f t="shared" si="0"/>
        <v/>
      </c>
      <c r="AT10" s="30" t="str">
        <f t="shared" si="0"/>
        <v/>
      </c>
      <c r="AU10" s="30" t="str">
        <f t="shared" si="0"/>
        <v/>
      </c>
      <c r="AV10" s="30" t="str">
        <f t="shared" si="0"/>
        <v/>
      </c>
      <c r="AW10" s="30" t="str">
        <f t="shared" si="0"/>
        <v/>
      </c>
      <c r="AX10" s="30" t="str">
        <f t="shared" si="0"/>
        <v/>
      </c>
      <c r="AY10" s="30" t="str">
        <f t="shared" si="0"/>
        <v/>
      </c>
      <c r="AZ10" s="30" t="str">
        <f t="shared" si="0"/>
        <v/>
      </c>
      <c r="BA10" s="30" t="str">
        <f t="shared" si="0"/>
        <v/>
      </c>
      <c r="BB10" s="30" t="str">
        <f t="shared" si="0"/>
        <v/>
      </c>
      <c r="BC10" s="30" t="str">
        <f t="shared" si="0"/>
        <v/>
      </c>
      <c r="BD10" s="30" t="str">
        <f t="shared" si="0"/>
        <v/>
      </c>
      <c r="BE10" s="30" t="str">
        <f t="shared" si="0"/>
        <v/>
      </c>
      <c r="BF10" s="30" t="str">
        <f t="shared" si="0"/>
        <v/>
      </c>
      <c r="BG10" s="30" t="str">
        <f t="shared" si="0"/>
        <v/>
      </c>
      <c r="BH10" s="30" t="str">
        <f t="shared" si="0"/>
        <v/>
      </c>
      <c r="BI10" s="30" t="str">
        <f t="shared" si="0"/>
        <v/>
      </c>
      <c r="BJ10" s="30" t="str">
        <f t="shared" si="0"/>
        <v/>
      </c>
      <c r="BK10" s="30" t="str">
        <f t="shared" si="0"/>
        <v/>
      </c>
      <c r="BL10" s="30" t="str">
        <f t="shared" si="0"/>
        <v/>
      </c>
      <c r="BM10" s="30" t="str">
        <f t="shared" si="0"/>
        <v/>
      </c>
      <c r="BN10" s="30" t="str">
        <f t="shared" si="0"/>
        <v>Apr</v>
      </c>
      <c r="BO10" s="30" t="str">
        <f t="shared" si="0"/>
        <v/>
      </c>
      <c r="BP10" s="30" t="str">
        <f t="shared" si="0"/>
        <v/>
      </c>
      <c r="BQ10" s="30" t="str">
        <f t="shared" si="0"/>
        <v/>
      </c>
      <c r="BR10" s="30" t="str">
        <f t="shared" si="0"/>
        <v/>
      </c>
      <c r="BS10" s="30" t="str">
        <f t="shared" ref="BS10:ED10" si="1">IF(BS11="","",IF(DAY(BS11)=1,TEXT(BS11,"mmm"),""))</f>
        <v/>
      </c>
      <c r="BT10" s="30" t="str">
        <f t="shared" si="1"/>
        <v/>
      </c>
      <c r="BU10" s="30" t="str">
        <f t="shared" si="1"/>
        <v/>
      </c>
      <c r="BV10" s="30" t="str">
        <f t="shared" si="1"/>
        <v/>
      </c>
      <c r="BW10" s="30" t="str">
        <f t="shared" si="1"/>
        <v/>
      </c>
      <c r="BX10" s="30" t="str">
        <f t="shared" si="1"/>
        <v/>
      </c>
      <c r="BY10" s="30" t="str">
        <f t="shared" si="1"/>
        <v/>
      </c>
      <c r="BZ10" s="30" t="str">
        <f t="shared" si="1"/>
        <v/>
      </c>
      <c r="CA10" s="30" t="str">
        <f t="shared" si="1"/>
        <v/>
      </c>
      <c r="CB10" s="30" t="str">
        <f t="shared" si="1"/>
        <v/>
      </c>
      <c r="CC10" s="30" t="str">
        <f t="shared" si="1"/>
        <v/>
      </c>
      <c r="CD10" s="30" t="str">
        <f t="shared" si="1"/>
        <v/>
      </c>
      <c r="CE10" s="30" t="str">
        <f t="shared" si="1"/>
        <v/>
      </c>
      <c r="CF10" s="30" t="str">
        <f t="shared" si="1"/>
        <v/>
      </c>
      <c r="CG10" s="30" t="str">
        <f t="shared" si="1"/>
        <v/>
      </c>
      <c r="CH10" s="30" t="str">
        <f t="shared" si="1"/>
        <v/>
      </c>
      <c r="CI10" s="30" t="str">
        <f t="shared" si="1"/>
        <v/>
      </c>
      <c r="CJ10" s="30" t="str">
        <f t="shared" si="1"/>
        <v/>
      </c>
      <c r="CK10" s="30" t="str">
        <f t="shared" si="1"/>
        <v/>
      </c>
      <c r="CL10" s="30" t="str">
        <f t="shared" si="1"/>
        <v/>
      </c>
      <c r="CM10" s="30" t="str">
        <f t="shared" si="1"/>
        <v/>
      </c>
      <c r="CN10" s="30" t="str">
        <f t="shared" si="1"/>
        <v/>
      </c>
      <c r="CO10" s="30" t="str">
        <f t="shared" si="1"/>
        <v/>
      </c>
      <c r="CP10" s="30" t="str">
        <f t="shared" si="1"/>
        <v/>
      </c>
      <c r="CQ10" s="30" t="str">
        <f t="shared" si="1"/>
        <v/>
      </c>
      <c r="CR10" s="30" t="str">
        <f t="shared" si="1"/>
        <v>May</v>
      </c>
      <c r="CS10" s="30" t="str">
        <f t="shared" si="1"/>
        <v/>
      </c>
      <c r="CT10" s="30" t="str">
        <f t="shared" si="1"/>
        <v/>
      </c>
      <c r="CU10" s="30" t="str">
        <f t="shared" si="1"/>
        <v/>
      </c>
      <c r="CV10" s="30" t="str">
        <f t="shared" si="1"/>
        <v/>
      </c>
      <c r="CW10" s="30" t="str">
        <f t="shared" si="1"/>
        <v/>
      </c>
      <c r="CX10" s="30" t="str">
        <f t="shared" si="1"/>
        <v/>
      </c>
      <c r="CY10" s="30" t="str">
        <f t="shared" si="1"/>
        <v/>
      </c>
      <c r="CZ10" s="30" t="str">
        <f t="shared" si="1"/>
        <v/>
      </c>
      <c r="DA10" s="30" t="str">
        <f t="shared" si="1"/>
        <v/>
      </c>
      <c r="DB10" s="30" t="str">
        <f t="shared" si="1"/>
        <v/>
      </c>
      <c r="DC10" s="30" t="str">
        <f t="shared" si="1"/>
        <v/>
      </c>
      <c r="DD10" s="30" t="str">
        <f t="shared" si="1"/>
        <v/>
      </c>
      <c r="DE10" s="30" t="str">
        <f t="shared" si="1"/>
        <v/>
      </c>
      <c r="DF10" s="30" t="str">
        <f t="shared" si="1"/>
        <v/>
      </c>
      <c r="DG10" s="30" t="str">
        <f t="shared" si="1"/>
        <v/>
      </c>
      <c r="DH10" s="30" t="str">
        <f t="shared" si="1"/>
        <v/>
      </c>
      <c r="DI10" s="30" t="str">
        <f t="shared" si="1"/>
        <v/>
      </c>
      <c r="DJ10" s="30" t="str">
        <f t="shared" si="1"/>
        <v/>
      </c>
      <c r="DK10" s="30" t="str">
        <f t="shared" si="1"/>
        <v/>
      </c>
      <c r="DL10" s="30" t="str">
        <f t="shared" si="1"/>
        <v/>
      </c>
      <c r="DM10" s="30" t="str">
        <f t="shared" si="1"/>
        <v/>
      </c>
      <c r="DN10" s="30" t="str">
        <f t="shared" si="1"/>
        <v/>
      </c>
      <c r="DO10" s="30" t="str">
        <f t="shared" si="1"/>
        <v/>
      </c>
      <c r="DP10" s="30" t="str">
        <f t="shared" si="1"/>
        <v/>
      </c>
      <c r="DQ10" s="30" t="str">
        <f t="shared" si="1"/>
        <v/>
      </c>
      <c r="DR10" s="30" t="str">
        <f t="shared" si="1"/>
        <v/>
      </c>
      <c r="DS10" s="30" t="str">
        <f t="shared" si="1"/>
        <v/>
      </c>
      <c r="DT10" s="30" t="str">
        <f t="shared" si="1"/>
        <v/>
      </c>
      <c r="DU10" s="30" t="str">
        <f t="shared" si="1"/>
        <v/>
      </c>
      <c r="DV10" s="30" t="str">
        <f t="shared" si="1"/>
        <v/>
      </c>
      <c r="DW10" s="30" t="str">
        <f t="shared" si="1"/>
        <v>Jun</v>
      </c>
      <c r="DX10" s="30" t="str">
        <f t="shared" si="1"/>
        <v/>
      </c>
      <c r="DY10" s="30" t="str">
        <f t="shared" si="1"/>
        <v/>
      </c>
      <c r="DZ10" s="30" t="str">
        <f t="shared" si="1"/>
        <v/>
      </c>
      <c r="EA10" s="30" t="str">
        <f t="shared" si="1"/>
        <v/>
      </c>
      <c r="EB10" s="30" t="str">
        <f t="shared" si="1"/>
        <v/>
      </c>
      <c r="EC10" s="30" t="str">
        <f t="shared" si="1"/>
        <v/>
      </c>
      <c r="ED10" s="30" t="str">
        <f t="shared" si="1"/>
        <v/>
      </c>
      <c r="EE10" s="30" t="str">
        <f t="shared" ref="EE10:GP10" si="2">IF(EE11="","",IF(DAY(EE11)=1,TEXT(EE11,"mmm"),""))</f>
        <v/>
      </c>
      <c r="EF10" s="30" t="str">
        <f t="shared" si="2"/>
        <v/>
      </c>
      <c r="EG10" s="30" t="str">
        <f t="shared" si="2"/>
        <v/>
      </c>
      <c r="EH10" s="30" t="str">
        <f t="shared" si="2"/>
        <v/>
      </c>
      <c r="EI10" s="30" t="str">
        <f t="shared" si="2"/>
        <v/>
      </c>
      <c r="EJ10" s="30" t="str">
        <f t="shared" si="2"/>
        <v/>
      </c>
      <c r="EK10" s="30" t="str">
        <f t="shared" si="2"/>
        <v/>
      </c>
      <c r="EL10" s="30" t="str">
        <f t="shared" si="2"/>
        <v/>
      </c>
      <c r="EM10" s="30" t="str">
        <f t="shared" si="2"/>
        <v/>
      </c>
      <c r="EN10" s="30" t="str">
        <f t="shared" si="2"/>
        <v/>
      </c>
      <c r="EO10" s="30" t="str">
        <f t="shared" si="2"/>
        <v/>
      </c>
      <c r="EP10" s="30" t="str">
        <f t="shared" si="2"/>
        <v/>
      </c>
      <c r="EQ10" s="30" t="str">
        <f t="shared" si="2"/>
        <v/>
      </c>
      <c r="ER10" s="30" t="str">
        <f t="shared" si="2"/>
        <v/>
      </c>
      <c r="ES10" s="30" t="str">
        <f t="shared" si="2"/>
        <v/>
      </c>
      <c r="ET10" s="30" t="str">
        <f t="shared" si="2"/>
        <v/>
      </c>
      <c r="EU10" s="30" t="str">
        <f t="shared" si="2"/>
        <v/>
      </c>
      <c r="EV10" s="30" t="str">
        <f t="shared" si="2"/>
        <v/>
      </c>
      <c r="EW10" s="30" t="str">
        <f t="shared" si="2"/>
        <v/>
      </c>
      <c r="EX10" s="30" t="str">
        <f t="shared" si="2"/>
        <v/>
      </c>
      <c r="EY10" s="30" t="str">
        <f t="shared" si="2"/>
        <v/>
      </c>
      <c r="EZ10" s="30" t="str">
        <f t="shared" si="2"/>
        <v/>
      </c>
      <c r="FA10" s="30" t="str">
        <f t="shared" si="2"/>
        <v>Jul</v>
      </c>
      <c r="FB10" s="30" t="str">
        <f t="shared" si="2"/>
        <v/>
      </c>
      <c r="FC10" s="30" t="str">
        <f t="shared" si="2"/>
        <v/>
      </c>
      <c r="FD10" s="30" t="str">
        <f t="shared" si="2"/>
        <v/>
      </c>
      <c r="FE10" s="30" t="str">
        <f t="shared" si="2"/>
        <v/>
      </c>
      <c r="FF10" s="30" t="str">
        <f t="shared" si="2"/>
        <v/>
      </c>
      <c r="FG10" s="30" t="str">
        <f t="shared" si="2"/>
        <v/>
      </c>
      <c r="FH10" s="30" t="str">
        <f t="shared" si="2"/>
        <v/>
      </c>
      <c r="FI10" s="30" t="str">
        <f t="shared" si="2"/>
        <v/>
      </c>
      <c r="FJ10" s="30" t="str">
        <f t="shared" si="2"/>
        <v/>
      </c>
      <c r="FK10" s="30" t="str">
        <f t="shared" si="2"/>
        <v/>
      </c>
      <c r="FL10" s="30" t="str">
        <f t="shared" si="2"/>
        <v/>
      </c>
      <c r="FM10" s="30" t="str">
        <f t="shared" si="2"/>
        <v/>
      </c>
      <c r="FN10" s="30" t="str">
        <f t="shared" si="2"/>
        <v/>
      </c>
      <c r="FO10" s="30" t="str">
        <f t="shared" si="2"/>
        <v/>
      </c>
      <c r="FP10" s="30" t="str">
        <f t="shared" si="2"/>
        <v/>
      </c>
      <c r="FQ10" s="30" t="str">
        <f t="shared" si="2"/>
        <v/>
      </c>
      <c r="FR10" s="30" t="str">
        <f t="shared" si="2"/>
        <v/>
      </c>
      <c r="FS10" s="30" t="str">
        <f t="shared" si="2"/>
        <v/>
      </c>
      <c r="FT10" s="30" t="str">
        <f t="shared" si="2"/>
        <v/>
      </c>
      <c r="FU10" s="30" t="str">
        <f t="shared" si="2"/>
        <v/>
      </c>
      <c r="FV10" s="30" t="str">
        <f t="shared" si="2"/>
        <v/>
      </c>
      <c r="FW10" s="30" t="str">
        <f t="shared" si="2"/>
        <v/>
      </c>
      <c r="FX10" s="30" t="str">
        <f t="shared" si="2"/>
        <v/>
      </c>
      <c r="FY10" s="30" t="str">
        <f t="shared" si="2"/>
        <v/>
      </c>
      <c r="FZ10" s="30" t="str">
        <f t="shared" si="2"/>
        <v/>
      </c>
      <c r="GA10" s="30" t="str">
        <f t="shared" si="2"/>
        <v/>
      </c>
      <c r="GB10" s="30" t="str">
        <f t="shared" si="2"/>
        <v/>
      </c>
      <c r="GC10" s="30" t="str">
        <f t="shared" si="2"/>
        <v/>
      </c>
      <c r="GD10" s="30" t="str">
        <f t="shared" si="2"/>
        <v/>
      </c>
      <c r="GE10" s="30" t="str">
        <f t="shared" si="2"/>
        <v/>
      </c>
      <c r="GF10" s="30" t="str">
        <f t="shared" si="2"/>
        <v>Aug</v>
      </c>
      <c r="GG10" s="30" t="str">
        <f t="shared" si="2"/>
        <v/>
      </c>
      <c r="GH10" s="30" t="str">
        <f t="shared" si="2"/>
        <v/>
      </c>
      <c r="GI10" s="30" t="str">
        <f t="shared" si="2"/>
        <v/>
      </c>
      <c r="GJ10" s="30" t="str">
        <f t="shared" si="2"/>
        <v/>
      </c>
      <c r="GK10" s="30" t="str">
        <f t="shared" si="2"/>
        <v/>
      </c>
      <c r="GL10" s="30" t="str">
        <f t="shared" si="2"/>
        <v/>
      </c>
      <c r="GM10" s="30" t="str">
        <f t="shared" si="2"/>
        <v/>
      </c>
      <c r="GN10" s="30" t="str">
        <f t="shared" si="2"/>
        <v/>
      </c>
      <c r="GO10" s="30" t="str">
        <f t="shared" si="2"/>
        <v/>
      </c>
      <c r="GP10" s="30" t="str">
        <f t="shared" si="2"/>
        <v/>
      </c>
      <c r="GQ10" s="30" t="str">
        <f t="shared" ref="GQ10:JB10" si="3">IF(GQ11="","",IF(DAY(GQ11)=1,TEXT(GQ11,"mmm"),""))</f>
        <v/>
      </c>
      <c r="GR10" s="30" t="str">
        <f t="shared" si="3"/>
        <v/>
      </c>
      <c r="GS10" s="30" t="str">
        <f t="shared" si="3"/>
        <v/>
      </c>
      <c r="GT10" s="30" t="str">
        <f t="shared" si="3"/>
        <v/>
      </c>
      <c r="GU10" s="30" t="str">
        <f t="shared" si="3"/>
        <v/>
      </c>
      <c r="GV10" s="30" t="str">
        <f t="shared" si="3"/>
        <v/>
      </c>
      <c r="GW10" s="30" t="str">
        <f t="shared" si="3"/>
        <v/>
      </c>
      <c r="GX10" s="30" t="str">
        <f t="shared" si="3"/>
        <v/>
      </c>
      <c r="GY10" s="30" t="str">
        <f t="shared" si="3"/>
        <v/>
      </c>
      <c r="GZ10" s="30" t="str">
        <f t="shared" si="3"/>
        <v/>
      </c>
      <c r="HA10" s="30" t="str">
        <f t="shared" si="3"/>
        <v/>
      </c>
      <c r="HB10" s="30" t="str">
        <f t="shared" si="3"/>
        <v/>
      </c>
      <c r="HC10" s="30" t="str">
        <f t="shared" si="3"/>
        <v/>
      </c>
      <c r="HD10" s="30" t="str">
        <f t="shared" si="3"/>
        <v/>
      </c>
      <c r="HE10" s="30" t="str">
        <f t="shared" si="3"/>
        <v/>
      </c>
      <c r="HF10" s="30" t="str">
        <f t="shared" si="3"/>
        <v/>
      </c>
      <c r="HG10" s="30" t="str">
        <f t="shared" si="3"/>
        <v/>
      </c>
      <c r="HH10" s="30" t="str">
        <f t="shared" si="3"/>
        <v/>
      </c>
      <c r="HI10" s="30" t="str">
        <f t="shared" si="3"/>
        <v/>
      </c>
      <c r="HJ10" s="30" t="str">
        <f t="shared" si="3"/>
        <v/>
      </c>
      <c r="HK10" s="30" t="str">
        <f t="shared" si="3"/>
        <v>Sep</v>
      </c>
      <c r="HL10" s="30" t="str">
        <f t="shared" si="3"/>
        <v/>
      </c>
      <c r="HM10" s="30" t="str">
        <f t="shared" si="3"/>
        <v/>
      </c>
      <c r="HN10" s="30" t="str">
        <f t="shared" si="3"/>
        <v/>
      </c>
      <c r="HO10" s="30" t="str">
        <f t="shared" si="3"/>
        <v/>
      </c>
      <c r="HP10" s="30" t="str">
        <f t="shared" si="3"/>
        <v/>
      </c>
      <c r="HQ10" s="30" t="str">
        <f t="shared" si="3"/>
        <v/>
      </c>
      <c r="HR10" s="30" t="str">
        <f t="shared" si="3"/>
        <v/>
      </c>
      <c r="HS10" s="30" t="str">
        <f t="shared" si="3"/>
        <v/>
      </c>
      <c r="HT10" s="30" t="str">
        <f t="shared" si="3"/>
        <v/>
      </c>
      <c r="HU10" s="30" t="str">
        <f t="shared" si="3"/>
        <v/>
      </c>
      <c r="HV10" s="30" t="str">
        <f t="shared" si="3"/>
        <v/>
      </c>
      <c r="HW10" s="30" t="str">
        <f t="shared" si="3"/>
        <v/>
      </c>
      <c r="HX10" s="30" t="str">
        <f t="shared" si="3"/>
        <v/>
      </c>
      <c r="HY10" s="30" t="str">
        <f t="shared" si="3"/>
        <v/>
      </c>
      <c r="HZ10" s="30" t="str">
        <f t="shared" si="3"/>
        <v/>
      </c>
      <c r="IA10" s="30" t="str">
        <f t="shared" si="3"/>
        <v/>
      </c>
      <c r="IB10" s="30" t="str">
        <f t="shared" si="3"/>
        <v/>
      </c>
      <c r="IC10" s="30" t="str">
        <f t="shared" si="3"/>
        <v/>
      </c>
      <c r="ID10" s="30" t="str">
        <f t="shared" si="3"/>
        <v/>
      </c>
      <c r="IE10" s="30" t="str">
        <f t="shared" si="3"/>
        <v/>
      </c>
      <c r="IF10" s="30" t="str">
        <f t="shared" si="3"/>
        <v/>
      </c>
      <c r="IG10" s="30" t="str">
        <f t="shared" si="3"/>
        <v/>
      </c>
      <c r="IH10" s="30" t="str">
        <f t="shared" si="3"/>
        <v/>
      </c>
      <c r="II10" s="30" t="str">
        <f t="shared" si="3"/>
        <v/>
      </c>
      <c r="IJ10" s="30" t="str">
        <f t="shared" si="3"/>
        <v/>
      </c>
      <c r="IK10" s="30" t="str">
        <f t="shared" si="3"/>
        <v/>
      </c>
      <c r="IL10" s="30" t="str">
        <f t="shared" si="3"/>
        <v/>
      </c>
      <c r="IM10" s="30" t="str">
        <f t="shared" si="3"/>
        <v/>
      </c>
      <c r="IN10" s="30" t="str">
        <f t="shared" si="3"/>
        <v/>
      </c>
      <c r="IO10" s="30" t="str">
        <f t="shared" si="3"/>
        <v>Oct</v>
      </c>
      <c r="IP10" s="30" t="str">
        <f t="shared" si="3"/>
        <v/>
      </c>
      <c r="IQ10" s="30" t="str">
        <f t="shared" si="3"/>
        <v/>
      </c>
      <c r="IR10" s="30" t="str">
        <f t="shared" si="3"/>
        <v/>
      </c>
      <c r="IS10" s="30" t="str">
        <f t="shared" si="3"/>
        <v/>
      </c>
      <c r="IT10" s="30" t="str">
        <f t="shared" si="3"/>
        <v/>
      </c>
      <c r="IU10" s="30" t="str">
        <f t="shared" si="3"/>
        <v/>
      </c>
      <c r="IV10" s="30" t="str">
        <f t="shared" si="3"/>
        <v/>
      </c>
      <c r="IW10" s="30" t="str">
        <f t="shared" si="3"/>
        <v/>
      </c>
      <c r="IX10" s="30" t="str">
        <f t="shared" si="3"/>
        <v/>
      </c>
      <c r="IY10" s="30" t="str">
        <f t="shared" si="3"/>
        <v/>
      </c>
      <c r="IZ10" s="30" t="str">
        <f t="shared" si="3"/>
        <v/>
      </c>
      <c r="JA10" s="30" t="str">
        <f t="shared" si="3"/>
        <v/>
      </c>
      <c r="JB10" s="30" t="str">
        <f t="shared" si="3"/>
        <v/>
      </c>
      <c r="JC10" s="30" t="str">
        <f t="shared" ref="JC10:JP10" si="4">IF(JC11="","",IF(DAY(JC11)=1,TEXT(JC11,"mmm"),""))</f>
        <v/>
      </c>
      <c r="JD10" s="30" t="str">
        <f t="shared" si="4"/>
        <v/>
      </c>
      <c r="JE10" s="30" t="str">
        <f t="shared" si="4"/>
        <v/>
      </c>
      <c r="JF10" s="30" t="str">
        <f t="shared" si="4"/>
        <v/>
      </c>
      <c r="JG10" s="30" t="str">
        <f t="shared" si="4"/>
        <v/>
      </c>
      <c r="JH10" s="30" t="str">
        <f t="shared" si="4"/>
        <v/>
      </c>
      <c r="JI10" s="30" t="str">
        <f t="shared" si="4"/>
        <v/>
      </c>
      <c r="JJ10" s="30" t="str">
        <f t="shared" si="4"/>
        <v/>
      </c>
      <c r="JK10" s="30" t="str">
        <f t="shared" si="4"/>
        <v/>
      </c>
      <c r="JL10" s="30" t="str">
        <f t="shared" si="4"/>
        <v/>
      </c>
      <c r="JM10" s="30" t="str">
        <f t="shared" si="4"/>
        <v/>
      </c>
      <c r="JN10" s="30" t="str">
        <f t="shared" si="4"/>
        <v/>
      </c>
      <c r="JO10" s="30" t="str">
        <f t="shared" si="4"/>
        <v/>
      </c>
      <c r="JP10" s="30" t="str">
        <f t="shared" si="4"/>
        <v/>
      </c>
    </row>
    <row r="11" spans="1:276" ht="18" customHeight="1" x14ac:dyDescent="0.2">
      <c r="G11" s="31">
        <f>IF($A$6="","",DATE(YEAR(MIN($B$12:$B$21)),MONTH(MIN($B$12:$B$21)),1))</f>
        <v>46054</v>
      </c>
      <c r="H11" s="31">
        <f t="shared" ref="H11:BS11" si="5">IF(G11="","",G11+1)</f>
        <v>46055</v>
      </c>
      <c r="I11" s="31">
        <f t="shared" si="5"/>
        <v>46056</v>
      </c>
      <c r="J11" s="31">
        <f t="shared" si="5"/>
        <v>46057</v>
      </c>
      <c r="K11" s="31">
        <f t="shared" si="5"/>
        <v>46058</v>
      </c>
      <c r="L11" s="31">
        <f t="shared" si="5"/>
        <v>46059</v>
      </c>
      <c r="M11" s="31">
        <f t="shared" si="5"/>
        <v>46060</v>
      </c>
      <c r="N11" s="31">
        <f t="shared" si="5"/>
        <v>46061</v>
      </c>
      <c r="O11" s="31">
        <f t="shared" si="5"/>
        <v>46062</v>
      </c>
      <c r="P11" s="31">
        <f t="shared" si="5"/>
        <v>46063</v>
      </c>
      <c r="Q11" s="31">
        <f t="shared" si="5"/>
        <v>46064</v>
      </c>
      <c r="R11" s="31">
        <f t="shared" si="5"/>
        <v>46065</v>
      </c>
      <c r="S11" s="31">
        <f t="shared" si="5"/>
        <v>46066</v>
      </c>
      <c r="T11" s="31">
        <f t="shared" si="5"/>
        <v>46067</v>
      </c>
      <c r="U11" s="31">
        <f t="shared" si="5"/>
        <v>46068</v>
      </c>
      <c r="V11" s="31">
        <f t="shared" si="5"/>
        <v>46069</v>
      </c>
      <c r="W11" s="31">
        <f t="shared" si="5"/>
        <v>46070</v>
      </c>
      <c r="X11" s="31">
        <f t="shared" si="5"/>
        <v>46071</v>
      </c>
      <c r="Y11" s="31">
        <f t="shared" si="5"/>
        <v>46072</v>
      </c>
      <c r="Z11" s="31">
        <f t="shared" si="5"/>
        <v>46073</v>
      </c>
      <c r="AA11" s="31">
        <f t="shared" si="5"/>
        <v>46074</v>
      </c>
      <c r="AB11" s="31">
        <f t="shared" si="5"/>
        <v>46075</v>
      </c>
      <c r="AC11" s="31">
        <f t="shared" si="5"/>
        <v>46076</v>
      </c>
      <c r="AD11" s="31">
        <f t="shared" si="5"/>
        <v>46077</v>
      </c>
      <c r="AE11" s="31">
        <f t="shared" si="5"/>
        <v>46078</v>
      </c>
      <c r="AF11" s="31">
        <f t="shared" si="5"/>
        <v>46079</v>
      </c>
      <c r="AG11" s="31">
        <f t="shared" si="5"/>
        <v>46080</v>
      </c>
      <c r="AH11" s="31">
        <f t="shared" si="5"/>
        <v>46081</v>
      </c>
      <c r="AI11" s="31">
        <f t="shared" si="5"/>
        <v>46082</v>
      </c>
      <c r="AJ11" s="31">
        <f t="shared" si="5"/>
        <v>46083</v>
      </c>
      <c r="AK11" s="31">
        <f t="shared" si="5"/>
        <v>46084</v>
      </c>
      <c r="AL11" s="31">
        <f t="shared" si="5"/>
        <v>46085</v>
      </c>
      <c r="AM11" s="31">
        <f t="shared" si="5"/>
        <v>46086</v>
      </c>
      <c r="AN11" s="31">
        <f t="shared" si="5"/>
        <v>46087</v>
      </c>
      <c r="AO11" s="31">
        <f t="shared" si="5"/>
        <v>46088</v>
      </c>
      <c r="AP11" s="31">
        <f t="shared" si="5"/>
        <v>46089</v>
      </c>
      <c r="AQ11" s="31">
        <f t="shared" si="5"/>
        <v>46090</v>
      </c>
      <c r="AR11" s="31">
        <f t="shared" si="5"/>
        <v>46091</v>
      </c>
      <c r="AS11" s="31">
        <f t="shared" si="5"/>
        <v>46092</v>
      </c>
      <c r="AT11" s="31">
        <f t="shared" si="5"/>
        <v>46093</v>
      </c>
      <c r="AU11" s="31">
        <f t="shared" si="5"/>
        <v>46094</v>
      </c>
      <c r="AV11" s="31">
        <f t="shared" si="5"/>
        <v>46095</v>
      </c>
      <c r="AW11" s="31">
        <f t="shared" si="5"/>
        <v>46096</v>
      </c>
      <c r="AX11" s="31">
        <f t="shared" si="5"/>
        <v>46097</v>
      </c>
      <c r="AY11" s="31">
        <f t="shared" si="5"/>
        <v>46098</v>
      </c>
      <c r="AZ11" s="31">
        <f t="shared" si="5"/>
        <v>46099</v>
      </c>
      <c r="BA11" s="31">
        <f t="shared" si="5"/>
        <v>46100</v>
      </c>
      <c r="BB11" s="31">
        <f t="shared" si="5"/>
        <v>46101</v>
      </c>
      <c r="BC11" s="31">
        <f t="shared" si="5"/>
        <v>46102</v>
      </c>
      <c r="BD11" s="31">
        <f t="shared" si="5"/>
        <v>46103</v>
      </c>
      <c r="BE11" s="31">
        <f t="shared" si="5"/>
        <v>46104</v>
      </c>
      <c r="BF11" s="31">
        <f t="shared" si="5"/>
        <v>46105</v>
      </c>
      <c r="BG11" s="31">
        <f t="shared" si="5"/>
        <v>46106</v>
      </c>
      <c r="BH11" s="31">
        <f t="shared" si="5"/>
        <v>46107</v>
      </c>
      <c r="BI11" s="31">
        <f t="shared" si="5"/>
        <v>46108</v>
      </c>
      <c r="BJ11" s="31">
        <f t="shared" si="5"/>
        <v>46109</v>
      </c>
      <c r="BK11" s="31">
        <f t="shared" si="5"/>
        <v>46110</v>
      </c>
      <c r="BL11" s="31">
        <f t="shared" si="5"/>
        <v>46111</v>
      </c>
      <c r="BM11" s="31">
        <f t="shared" si="5"/>
        <v>46112</v>
      </c>
      <c r="BN11" s="31">
        <f t="shared" si="5"/>
        <v>46113</v>
      </c>
      <c r="BO11" s="31">
        <f t="shared" si="5"/>
        <v>46114</v>
      </c>
      <c r="BP11" s="31">
        <f t="shared" si="5"/>
        <v>46115</v>
      </c>
      <c r="BQ11" s="31">
        <f t="shared" si="5"/>
        <v>46116</v>
      </c>
      <c r="BR11" s="31">
        <f t="shared" si="5"/>
        <v>46117</v>
      </c>
      <c r="BS11" s="31">
        <f t="shared" si="5"/>
        <v>46118</v>
      </c>
      <c r="BT11" s="31">
        <f t="shared" ref="BT11:EE11" si="6">IF(BS11="","",BS11+1)</f>
        <v>46119</v>
      </c>
      <c r="BU11" s="31">
        <f t="shared" si="6"/>
        <v>46120</v>
      </c>
      <c r="BV11" s="31">
        <f t="shared" si="6"/>
        <v>46121</v>
      </c>
      <c r="BW11" s="31">
        <f t="shared" si="6"/>
        <v>46122</v>
      </c>
      <c r="BX11" s="31">
        <f t="shared" si="6"/>
        <v>46123</v>
      </c>
      <c r="BY11" s="31">
        <f t="shared" si="6"/>
        <v>46124</v>
      </c>
      <c r="BZ11" s="31">
        <f t="shared" si="6"/>
        <v>46125</v>
      </c>
      <c r="CA11" s="31">
        <f t="shared" si="6"/>
        <v>46126</v>
      </c>
      <c r="CB11" s="31">
        <f t="shared" si="6"/>
        <v>46127</v>
      </c>
      <c r="CC11" s="31">
        <f t="shared" si="6"/>
        <v>46128</v>
      </c>
      <c r="CD11" s="31">
        <f t="shared" si="6"/>
        <v>46129</v>
      </c>
      <c r="CE11" s="31">
        <f t="shared" si="6"/>
        <v>46130</v>
      </c>
      <c r="CF11" s="31">
        <f t="shared" si="6"/>
        <v>46131</v>
      </c>
      <c r="CG11" s="31">
        <f t="shared" si="6"/>
        <v>46132</v>
      </c>
      <c r="CH11" s="31">
        <f t="shared" si="6"/>
        <v>46133</v>
      </c>
      <c r="CI11" s="31">
        <f t="shared" si="6"/>
        <v>46134</v>
      </c>
      <c r="CJ11" s="31">
        <f t="shared" si="6"/>
        <v>46135</v>
      </c>
      <c r="CK11" s="31">
        <f t="shared" si="6"/>
        <v>46136</v>
      </c>
      <c r="CL11" s="31">
        <f t="shared" si="6"/>
        <v>46137</v>
      </c>
      <c r="CM11" s="31">
        <f t="shared" si="6"/>
        <v>46138</v>
      </c>
      <c r="CN11" s="31">
        <f t="shared" si="6"/>
        <v>46139</v>
      </c>
      <c r="CO11" s="31">
        <f t="shared" si="6"/>
        <v>46140</v>
      </c>
      <c r="CP11" s="31">
        <f t="shared" si="6"/>
        <v>46141</v>
      </c>
      <c r="CQ11" s="31">
        <f t="shared" si="6"/>
        <v>46142</v>
      </c>
      <c r="CR11" s="31">
        <f t="shared" si="6"/>
        <v>46143</v>
      </c>
      <c r="CS11" s="31">
        <f t="shared" si="6"/>
        <v>46144</v>
      </c>
      <c r="CT11" s="31">
        <f t="shared" si="6"/>
        <v>46145</v>
      </c>
      <c r="CU11" s="31">
        <f t="shared" si="6"/>
        <v>46146</v>
      </c>
      <c r="CV11" s="31">
        <f t="shared" si="6"/>
        <v>46147</v>
      </c>
      <c r="CW11" s="31">
        <f t="shared" si="6"/>
        <v>46148</v>
      </c>
      <c r="CX11" s="31">
        <f t="shared" si="6"/>
        <v>46149</v>
      </c>
      <c r="CY11" s="31">
        <f t="shared" si="6"/>
        <v>46150</v>
      </c>
      <c r="CZ11" s="31">
        <f t="shared" si="6"/>
        <v>46151</v>
      </c>
      <c r="DA11" s="31">
        <f t="shared" si="6"/>
        <v>46152</v>
      </c>
      <c r="DB11" s="31">
        <f t="shared" si="6"/>
        <v>46153</v>
      </c>
      <c r="DC11" s="31">
        <f t="shared" si="6"/>
        <v>46154</v>
      </c>
      <c r="DD11" s="31">
        <f t="shared" si="6"/>
        <v>46155</v>
      </c>
      <c r="DE11" s="31">
        <f t="shared" si="6"/>
        <v>46156</v>
      </c>
      <c r="DF11" s="31">
        <f t="shared" si="6"/>
        <v>46157</v>
      </c>
      <c r="DG11" s="31">
        <f t="shared" si="6"/>
        <v>46158</v>
      </c>
      <c r="DH11" s="31">
        <f t="shared" si="6"/>
        <v>46159</v>
      </c>
      <c r="DI11" s="31">
        <f t="shared" si="6"/>
        <v>46160</v>
      </c>
      <c r="DJ11" s="31">
        <f t="shared" si="6"/>
        <v>46161</v>
      </c>
      <c r="DK11" s="31">
        <f t="shared" si="6"/>
        <v>46162</v>
      </c>
      <c r="DL11" s="31">
        <f t="shared" si="6"/>
        <v>46163</v>
      </c>
      <c r="DM11" s="31">
        <f t="shared" si="6"/>
        <v>46164</v>
      </c>
      <c r="DN11" s="31">
        <f t="shared" si="6"/>
        <v>46165</v>
      </c>
      <c r="DO11" s="31">
        <f t="shared" si="6"/>
        <v>46166</v>
      </c>
      <c r="DP11" s="31">
        <f t="shared" si="6"/>
        <v>46167</v>
      </c>
      <c r="DQ11" s="31">
        <f t="shared" si="6"/>
        <v>46168</v>
      </c>
      <c r="DR11" s="31">
        <f t="shared" si="6"/>
        <v>46169</v>
      </c>
      <c r="DS11" s="31">
        <f t="shared" si="6"/>
        <v>46170</v>
      </c>
      <c r="DT11" s="31">
        <f t="shared" si="6"/>
        <v>46171</v>
      </c>
      <c r="DU11" s="31">
        <f t="shared" si="6"/>
        <v>46172</v>
      </c>
      <c r="DV11" s="31">
        <f t="shared" si="6"/>
        <v>46173</v>
      </c>
      <c r="DW11" s="31">
        <f t="shared" si="6"/>
        <v>46174</v>
      </c>
      <c r="DX11" s="31">
        <f t="shared" si="6"/>
        <v>46175</v>
      </c>
      <c r="DY11" s="31">
        <f t="shared" si="6"/>
        <v>46176</v>
      </c>
      <c r="DZ11" s="31">
        <f t="shared" si="6"/>
        <v>46177</v>
      </c>
      <c r="EA11" s="31">
        <f t="shared" si="6"/>
        <v>46178</v>
      </c>
      <c r="EB11" s="31">
        <f t="shared" si="6"/>
        <v>46179</v>
      </c>
      <c r="EC11" s="31">
        <f t="shared" si="6"/>
        <v>46180</v>
      </c>
      <c r="ED11" s="31">
        <f t="shared" si="6"/>
        <v>46181</v>
      </c>
      <c r="EE11" s="31">
        <f t="shared" si="6"/>
        <v>46182</v>
      </c>
      <c r="EF11" s="31">
        <f t="shared" ref="EF11:GQ11" si="7">IF(EE11="","",EE11+1)</f>
        <v>46183</v>
      </c>
      <c r="EG11" s="31">
        <f t="shared" si="7"/>
        <v>46184</v>
      </c>
      <c r="EH11" s="31">
        <f t="shared" si="7"/>
        <v>46185</v>
      </c>
      <c r="EI11" s="31">
        <f t="shared" si="7"/>
        <v>46186</v>
      </c>
      <c r="EJ11" s="31">
        <f t="shared" si="7"/>
        <v>46187</v>
      </c>
      <c r="EK11" s="31">
        <f t="shared" si="7"/>
        <v>46188</v>
      </c>
      <c r="EL11" s="31">
        <f t="shared" si="7"/>
        <v>46189</v>
      </c>
      <c r="EM11" s="31">
        <f t="shared" si="7"/>
        <v>46190</v>
      </c>
      <c r="EN11" s="31">
        <f t="shared" si="7"/>
        <v>46191</v>
      </c>
      <c r="EO11" s="31">
        <f t="shared" si="7"/>
        <v>46192</v>
      </c>
      <c r="EP11" s="31">
        <f t="shared" si="7"/>
        <v>46193</v>
      </c>
      <c r="EQ11" s="31">
        <f t="shared" si="7"/>
        <v>46194</v>
      </c>
      <c r="ER11" s="31">
        <f t="shared" si="7"/>
        <v>46195</v>
      </c>
      <c r="ES11" s="31">
        <f t="shared" si="7"/>
        <v>46196</v>
      </c>
      <c r="ET11" s="31">
        <f t="shared" si="7"/>
        <v>46197</v>
      </c>
      <c r="EU11" s="31">
        <f t="shared" si="7"/>
        <v>46198</v>
      </c>
      <c r="EV11" s="31">
        <f t="shared" si="7"/>
        <v>46199</v>
      </c>
      <c r="EW11" s="31">
        <f t="shared" si="7"/>
        <v>46200</v>
      </c>
      <c r="EX11" s="31">
        <f t="shared" si="7"/>
        <v>46201</v>
      </c>
      <c r="EY11" s="31">
        <f t="shared" si="7"/>
        <v>46202</v>
      </c>
      <c r="EZ11" s="31">
        <f t="shared" si="7"/>
        <v>46203</v>
      </c>
      <c r="FA11" s="31">
        <f t="shared" si="7"/>
        <v>46204</v>
      </c>
      <c r="FB11" s="31">
        <f t="shared" si="7"/>
        <v>46205</v>
      </c>
      <c r="FC11" s="31">
        <f t="shared" si="7"/>
        <v>46206</v>
      </c>
      <c r="FD11" s="31">
        <f t="shared" si="7"/>
        <v>46207</v>
      </c>
      <c r="FE11" s="31">
        <f t="shared" si="7"/>
        <v>46208</v>
      </c>
      <c r="FF11" s="31">
        <f t="shared" si="7"/>
        <v>46209</v>
      </c>
      <c r="FG11" s="31">
        <f t="shared" si="7"/>
        <v>46210</v>
      </c>
      <c r="FH11" s="31">
        <f t="shared" si="7"/>
        <v>46211</v>
      </c>
      <c r="FI11" s="31">
        <f t="shared" si="7"/>
        <v>46212</v>
      </c>
      <c r="FJ11" s="31">
        <f t="shared" si="7"/>
        <v>46213</v>
      </c>
      <c r="FK11" s="31">
        <f t="shared" si="7"/>
        <v>46214</v>
      </c>
      <c r="FL11" s="31">
        <f t="shared" si="7"/>
        <v>46215</v>
      </c>
      <c r="FM11" s="31">
        <f t="shared" si="7"/>
        <v>46216</v>
      </c>
      <c r="FN11" s="31">
        <f t="shared" si="7"/>
        <v>46217</v>
      </c>
      <c r="FO11" s="31">
        <f t="shared" si="7"/>
        <v>46218</v>
      </c>
      <c r="FP11" s="31">
        <f t="shared" si="7"/>
        <v>46219</v>
      </c>
      <c r="FQ11" s="31">
        <f t="shared" si="7"/>
        <v>46220</v>
      </c>
      <c r="FR11" s="31">
        <f t="shared" si="7"/>
        <v>46221</v>
      </c>
      <c r="FS11" s="31">
        <f t="shared" si="7"/>
        <v>46222</v>
      </c>
      <c r="FT11" s="31">
        <f t="shared" si="7"/>
        <v>46223</v>
      </c>
      <c r="FU11" s="31">
        <f t="shared" si="7"/>
        <v>46224</v>
      </c>
      <c r="FV11" s="31">
        <f t="shared" si="7"/>
        <v>46225</v>
      </c>
      <c r="FW11" s="31">
        <f t="shared" si="7"/>
        <v>46226</v>
      </c>
      <c r="FX11" s="31">
        <f t="shared" si="7"/>
        <v>46227</v>
      </c>
      <c r="FY11" s="31">
        <f t="shared" si="7"/>
        <v>46228</v>
      </c>
      <c r="FZ11" s="31">
        <f t="shared" si="7"/>
        <v>46229</v>
      </c>
      <c r="GA11" s="31">
        <f t="shared" si="7"/>
        <v>46230</v>
      </c>
      <c r="GB11" s="31">
        <f t="shared" si="7"/>
        <v>46231</v>
      </c>
      <c r="GC11" s="31">
        <f t="shared" si="7"/>
        <v>46232</v>
      </c>
      <c r="GD11" s="31">
        <f t="shared" si="7"/>
        <v>46233</v>
      </c>
      <c r="GE11" s="31">
        <f t="shared" si="7"/>
        <v>46234</v>
      </c>
      <c r="GF11" s="31">
        <f t="shared" si="7"/>
        <v>46235</v>
      </c>
      <c r="GG11" s="31">
        <f t="shared" si="7"/>
        <v>46236</v>
      </c>
      <c r="GH11" s="31">
        <f t="shared" si="7"/>
        <v>46237</v>
      </c>
      <c r="GI11" s="31">
        <f t="shared" si="7"/>
        <v>46238</v>
      </c>
      <c r="GJ11" s="31">
        <f t="shared" si="7"/>
        <v>46239</v>
      </c>
      <c r="GK11" s="31">
        <f t="shared" si="7"/>
        <v>46240</v>
      </c>
      <c r="GL11" s="31">
        <f t="shared" si="7"/>
        <v>46241</v>
      </c>
      <c r="GM11" s="31">
        <f t="shared" si="7"/>
        <v>46242</v>
      </c>
      <c r="GN11" s="31">
        <f t="shared" si="7"/>
        <v>46243</v>
      </c>
      <c r="GO11" s="31">
        <f t="shared" si="7"/>
        <v>46244</v>
      </c>
      <c r="GP11" s="31">
        <f t="shared" si="7"/>
        <v>46245</v>
      </c>
      <c r="GQ11" s="31">
        <f t="shared" si="7"/>
        <v>46246</v>
      </c>
      <c r="GR11" s="31">
        <f t="shared" ref="GR11:JC11" si="8">IF(GQ11="","",GQ11+1)</f>
        <v>46247</v>
      </c>
      <c r="GS11" s="31">
        <f t="shared" si="8"/>
        <v>46248</v>
      </c>
      <c r="GT11" s="31">
        <f t="shared" si="8"/>
        <v>46249</v>
      </c>
      <c r="GU11" s="31">
        <f t="shared" si="8"/>
        <v>46250</v>
      </c>
      <c r="GV11" s="31">
        <f t="shared" si="8"/>
        <v>46251</v>
      </c>
      <c r="GW11" s="31">
        <f t="shared" si="8"/>
        <v>46252</v>
      </c>
      <c r="GX11" s="31">
        <f t="shared" si="8"/>
        <v>46253</v>
      </c>
      <c r="GY11" s="31">
        <f t="shared" si="8"/>
        <v>46254</v>
      </c>
      <c r="GZ11" s="31">
        <f t="shared" si="8"/>
        <v>46255</v>
      </c>
      <c r="HA11" s="31">
        <f t="shared" si="8"/>
        <v>46256</v>
      </c>
      <c r="HB11" s="31">
        <f t="shared" si="8"/>
        <v>46257</v>
      </c>
      <c r="HC11" s="31">
        <f t="shared" si="8"/>
        <v>46258</v>
      </c>
      <c r="HD11" s="31">
        <f t="shared" si="8"/>
        <v>46259</v>
      </c>
      <c r="HE11" s="31">
        <f t="shared" si="8"/>
        <v>46260</v>
      </c>
      <c r="HF11" s="31">
        <f t="shared" si="8"/>
        <v>46261</v>
      </c>
      <c r="HG11" s="31">
        <f t="shared" si="8"/>
        <v>46262</v>
      </c>
      <c r="HH11" s="31">
        <f t="shared" si="8"/>
        <v>46263</v>
      </c>
      <c r="HI11" s="31">
        <f t="shared" si="8"/>
        <v>46264</v>
      </c>
      <c r="HJ11" s="31">
        <f t="shared" si="8"/>
        <v>46265</v>
      </c>
      <c r="HK11" s="31">
        <f t="shared" si="8"/>
        <v>46266</v>
      </c>
      <c r="HL11" s="31">
        <f t="shared" si="8"/>
        <v>46267</v>
      </c>
      <c r="HM11" s="31">
        <f t="shared" si="8"/>
        <v>46268</v>
      </c>
      <c r="HN11" s="31">
        <f t="shared" si="8"/>
        <v>46269</v>
      </c>
      <c r="HO11" s="31">
        <f t="shared" si="8"/>
        <v>46270</v>
      </c>
      <c r="HP11" s="31">
        <f t="shared" si="8"/>
        <v>46271</v>
      </c>
      <c r="HQ11" s="31">
        <f t="shared" si="8"/>
        <v>46272</v>
      </c>
      <c r="HR11" s="31">
        <f t="shared" si="8"/>
        <v>46273</v>
      </c>
      <c r="HS11" s="31">
        <f t="shared" si="8"/>
        <v>46274</v>
      </c>
      <c r="HT11" s="31">
        <f t="shared" si="8"/>
        <v>46275</v>
      </c>
      <c r="HU11" s="31">
        <f t="shared" si="8"/>
        <v>46276</v>
      </c>
      <c r="HV11" s="31">
        <f t="shared" si="8"/>
        <v>46277</v>
      </c>
      <c r="HW11" s="31">
        <f t="shared" si="8"/>
        <v>46278</v>
      </c>
      <c r="HX11" s="31">
        <f t="shared" si="8"/>
        <v>46279</v>
      </c>
      <c r="HY11" s="31">
        <f t="shared" si="8"/>
        <v>46280</v>
      </c>
      <c r="HZ11" s="31">
        <f t="shared" si="8"/>
        <v>46281</v>
      </c>
      <c r="IA11" s="31">
        <f t="shared" si="8"/>
        <v>46282</v>
      </c>
      <c r="IB11" s="31">
        <f t="shared" si="8"/>
        <v>46283</v>
      </c>
      <c r="IC11" s="31">
        <f t="shared" si="8"/>
        <v>46284</v>
      </c>
      <c r="ID11" s="31">
        <f t="shared" si="8"/>
        <v>46285</v>
      </c>
      <c r="IE11" s="31">
        <f t="shared" si="8"/>
        <v>46286</v>
      </c>
      <c r="IF11" s="31">
        <f t="shared" si="8"/>
        <v>46287</v>
      </c>
      <c r="IG11" s="31">
        <f t="shared" si="8"/>
        <v>46288</v>
      </c>
      <c r="IH11" s="31">
        <f t="shared" si="8"/>
        <v>46289</v>
      </c>
      <c r="II11" s="31">
        <f t="shared" si="8"/>
        <v>46290</v>
      </c>
      <c r="IJ11" s="31">
        <f t="shared" si="8"/>
        <v>46291</v>
      </c>
      <c r="IK11" s="31">
        <f t="shared" si="8"/>
        <v>46292</v>
      </c>
      <c r="IL11" s="31">
        <f t="shared" si="8"/>
        <v>46293</v>
      </c>
      <c r="IM11" s="31">
        <f t="shared" si="8"/>
        <v>46294</v>
      </c>
      <c r="IN11" s="31">
        <f t="shared" si="8"/>
        <v>46295</v>
      </c>
      <c r="IO11" s="31">
        <f t="shared" si="8"/>
        <v>46296</v>
      </c>
      <c r="IP11" s="31">
        <f t="shared" si="8"/>
        <v>46297</v>
      </c>
      <c r="IQ11" s="31">
        <f t="shared" si="8"/>
        <v>46298</v>
      </c>
      <c r="IR11" s="31">
        <f t="shared" si="8"/>
        <v>46299</v>
      </c>
      <c r="IS11" s="31">
        <f t="shared" si="8"/>
        <v>46300</v>
      </c>
      <c r="IT11" s="31">
        <f t="shared" si="8"/>
        <v>46301</v>
      </c>
      <c r="IU11" s="31">
        <f t="shared" si="8"/>
        <v>46302</v>
      </c>
      <c r="IV11" s="31">
        <f t="shared" si="8"/>
        <v>46303</v>
      </c>
      <c r="IW11" s="31">
        <f t="shared" si="8"/>
        <v>46304</v>
      </c>
      <c r="IX11" s="31">
        <f t="shared" si="8"/>
        <v>46305</v>
      </c>
      <c r="IY11" s="31">
        <f t="shared" si="8"/>
        <v>46306</v>
      </c>
      <c r="IZ11" s="31">
        <f t="shared" si="8"/>
        <v>46307</v>
      </c>
      <c r="JA11" s="31">
        <f t="shared" si="8"/>
        <v>46308</v>
      </c>
      <c r="JB11" s="31">
        <f t="shared" si="8"/>
        <v>46309</v>
      </c>
      <c r="JC11" s="31">
        <f t="shared" si="8"/>
        <v>46310</v>
      </c>
      <c r="JD11" s="31">
        <f t="shared" ref="JD11:JP11" si="9">IF(JC11="","",JC11+1)</f>
        <v>46311</v>
      </c>
      <c r="JE11" s="31">
        <f t="shared" si="9"/>
        <v>46312</v>
      </c>
      <c r="JF11" s="31">
        <f t="shared" si="9"/>
        <v>46313</v>
      </c>
      <c r="JG11" s="31">
        <f t="shared" si="9"/>
        <v>46314</v>
      </c>
      <c r="JH11" s="31">
        <f t="shared" si="9"/>
        <v>46315</v>
      </c>
      <c r="JI11" s="31">
        <f t="shared" si="9"/>
        <v>46316</v>
      </c>
      <c r="JJ11" s="31">
        <f t="shared" si="9"/>
        <v>46317</v>
      </c>
      <c r="JK11" s="31">
        <f t="shared" si="9"/>
        <v>46318</v>
      </c>
      <c r="JL11" s="31">
        <f t="shared" si="9"/>
        <v>46319</v>
      </c>
      <c r="JM11" s="31">
        <f t="shared" si="9"/>
        <v>46320</v>
      </c>
      <c r="JN11" s="31">
        <f t="shared" si="9"/>
        <v>46321</v>
      </c>
      <c r="JO11" s="31">
        <f t="shared" si="9"/>
        <v>46322</v>
      </c>
      <c r="JP11" s="31">
        <f t="shared" si="9"/>
        <v>46323</v>
      </c>
    </row>
    <row r="12" spans="1:276" ht="22" customHeight="1" x14ac:dyDescent="0.2">
      <c r="A12" s="32" t="s">
        <v>158</v>
      </c>
      <c r="B12" s="33">
        <f>IF($B$32="","",$B$32)</f>
        <v>46091</v>
      </c>
      <c r="C12" s="33">
        <f>IF($B$33="","",$B$33)</f>
        <v>46119</v>
      </c>
      <c r="D12" s="33" t="str">
        <f>IFERROR(INDEX(Project_Tracker!$G$2:$G$101,MATCH($A$6,Project_Tracker!$AL$2:$AL$101,0)),"")</f>
        <v>CN-2026-001</v>
      </c>
      <c r="E12" s="34" t="str">
        <f t="shared" ref="E12:E21" ca="1" si="10">IF($C12="","",IF(TODAY()&gt;$C12,"Done",IF(TODAY()&lt;$B12,"Planned","Current")))</f>
        <v>Done</v>
      </c>
      <c r="G12" s="35" t="str">
        <f t="shared" ref="G12:P21" si="11">IF(G$11="","",IF(AND(G$11&gt;=$B12,G$11&lt;=$C12),1,""))</f>
        <v/>
      </c>
      <c r="H12" s="35" t="str">
        <f t="shared" si="11"/>
        <v/>
      </c>
      <c r="I12" s="35" t="str">
        <f t="shared" si="11"/>
        <v/>
      </c>
      <c r="J12" s="35" t="str">
        <f t="shared" si="11"/>
        <v/>
      </c>
      <c r="K12" s="35" t="str">
        <f t="shared" si="11"/>
        <v/>
      </c>
      <c r="L12" s="35" t="str">
        <f t="shared" si="11"/>
        <v/>
      </c>
      <c r="M12" s="35" t="str">
        <f t="shared" si="11"/>
        <v/>
      </c>
      <c r="N12" s="35" t="str">
        <f t="shared" si="11"/>
        <v/>
      </c>
      <c r="O12" s="35" t="str">
        <f t="shared" si="11"/>
        <v/>
      </c>
      <c r="P12" s="35" t="str">
        <f t="shared" si="11"/>
        <v/>
      </c>
      <c r="Q12" s="35" t="str">
        <f t="shared" ref="Q12:Z21" si="12">IF(Q$11="","",IF(AND(Q$11&gt;=$B12,Q$11&lt;=$C12),1,""))</f>
        <v/>
      </c>
      <c r="R12" s="35" t="str">
        <f t="shared" si="12"/>
        <v/>
      </c>
      <c r="S12" s="35" t="str">
        <f t="shared" si="12"/>
        <v/>
      </c>
      <c r="T12" s="35" t="str">
        <f t="shared" si="12"/>
        <v/>
      </c>
      <c r="U12" s="35" t="str">
        <f t="shared" si="12"/>
        <v/>
      </c>
      <c r="V12" s="35" t="str">
        <f t="shared" si="12"/>
        <v/>
      </c>
      <c r="W12" s="35" t="str">
        <f t="shared" si="12"/>
        <v/>
      </c>
      <c r="X12" s="35" t="str">
        <f t="shared" si="12"/>
        <v/>
      </c>
      <c r="Y12" s="35" t="str">
        <f t="shared" si="12"/>
        <v/>
      </c>
      <c r="Z12" s="35" t="str">
        <f t="shared" si="12"/>
        <v/>
      </c>
      <c r="AA12" s="35" t="str">
        <f t="shared" ref="AA12:AJ21" si="13">IF(AA$11="","",IF(AND(AA$11&gt;=$B12,AA$11&lt;=$C12),1,""))</f>
        <v/>
      </c>
      <c r="AB12" s="35" t="str">
        <f t="shared" si="13"/>
        <v/>
      </c>
      <c r="AC12" s="35" t="str">
        <f t="shared" si="13"/>
        <v/>
      </c>
      <c r="AD12" s="35" t="str">
        <f t="shared" si="13"/>
        <v/>
      </c>
      <c r="AE12" s="35" t="str">
        <f t="shared" si="13"/>
        <v/>
      </c>
      <c r="AF12" s="35" t="str">
        <f t="shared" si="13"/>
        <v/>
      </c>
      <c r="AG12" s="35" t="str">
        <f t="shared" si="13"/>
        <v/>
      </c>
      <c r="AH12" s="35" t="str">
        <f t="shared" si="13"/>
        <v/>
      </c>
      <c r="AI12" s="35" t="str">
        <f t="shared" si="13"/>
        <v/>
      </c>
      <c r="AJ12" s="35" t="str">
        <f t="shared" si="13"/>
        <v/>
      </c>
      <c r="AK12" s="35" t="str">
        <f t="shared" ref="AK12:AT21" si="14">IF(AK$11="","",IF(AND(AK$11&gt;=$B12,AK$11&lt;=$C12),1,""))</f>
        <v/>
      </c>
      <c r="AL12" s="35" t="str">
        <f t="shared" si="14"/>
        <v/>
      </c>
      <c r="AM12" s="35" t="str">
        <f t="shared" si="14"/>
        <v/>
      </c>
      <c r="AN12" s="35" t="str">
        <f t="shared" si="14"/>
        <v/>
      </c>
      <c r="AO12" s="35" t="str">
        <f t="shared" si="14"/>
        <v/>
      </c>
      <c r="AP12" s="35" t="str">
        <f t="shared" si="14"/>
        <v/>
      </c>
      <c r="AQ12" s="35" t="str">
        <f t="shared" si="14"/>
        <v/>
      </c>
      <c r="AR12" s="35">
        <f t="shared" si="14"/>
        <v>1</v>
      </c>
      <c r="AS12" s="35">
        <f t="shared" si="14"/>
        <v>1</v>
      </c>
      <c r="AT12" s="35">
        <f t="shared" si="14"/>
        <v>1</v>
      </c>
      <c r="AU12" s="35">
        <f t="shared" ref="AU12:BD21" si="15">IF(AU$11="","",IF(AND(AU$11&gt;=$B12,AU$11&lt;=$C12),1,""))</f>
        <v>1</v>
      </c>
      <c r="AV12" s="35">
        <f t="shared" si="15"/>
        <v>1</v>
      </c>
      <c r="AW12" s="35">
        <f t="shared" si="15"/>
        <v>1</v>
      </c>
      <c r="AX12" s="35">
        <f t="shared" si="15"/>
        <v>1</v>
      </c>
      <c r="AY12" s="35">
        <f t="shared" si="15"/>
        <v>1</v>
      </c>
      <c r="AZ12" s="35">
        <f t="shared" si="15"/>
        <v>1</v>
      </c>
      <c r="BA12" s="35">
        <f t="shared" si="15"/>
        <v>1</v>
      </c>
      <c r="BB12" s="35">
        <f t="shared" si="15"/>
        <v>1</v>
      </c>
      <c r="BC12" s="35">
        <f t="shared" si="15"/>
        <v>1</v>
      </c>
      <c r="BD12" s="35">
        <f t="shared" si="15"/>
        <v>1</v>
      </c>
      <c r="BE12" s="35">
        <f t="shared" ref="BE12:BN21" si="16">IF(BE$11="","",IF(AND(BE$11&gt;=$B12,BE$11&lt;=$C12),1,""))</f>
        <v>1</v>
      </c>
      <c r="BF12" s="35">
        <f t="shared" si="16"/>
        <v>1</v>
      </c>
      <c r="BG12" s="35">
        <f t="shared" si="16"/>
        <v>1</v>
      </c>
      <c r="BH12" s="35">
        <f t="shared" si="16"/>
        <v>1</v>
      </c>
      <c r="BI12" s="35">
        <f t="shared" si="16"/>
        <v>1</v>
      </c>
      <c r="BJ12" s="35">
        <f t="shared" si="16"/>
        <v>1</v>
      </c>
      <c r="BK12" s="35">
        <f t="shared" si="16"/>
        <v>1</v>
      </c>
      <c r="BL12" s="35">
        <f t="shared" si="16"/>
        <v>1</v>
      </c>
      <c r="BM12" s="35">
        <f t="shared" si="16"/>
        <v>1</v>
      </c>
      <c r="BN12" s="35">
        <f t="shared" si="16"/>
        <v>1</v>
      </c>
      <c r="BO12" s="35">
        <f t="shared" ref="BO12:BX21" si="17">IF(BO$11="","",IF(AND(BO$11&gt;=$B12,BO$11&lt;=$C12),1,""))</f>
        <v>1</v>
      </c>
      <c r="BP12" s="35">
        <f t="shared" si="17"/>
        <v>1</v>
      </c>
      <c r="BQ12" s="35">
        <f t="shared" si="17"/>
        <v>1</v>
      </c>
      <c r="BR12" s="35">
        <f t="shared" si="17"/>
        <v>1</v>
      </c>
      <c r="BS12" s="35">
        <f t="shared" si="17"/>
        <v>1</v>
      </c>
      <c r="BT12" s="35">
        <f t="shared" si="17"/>
        <v>1</v>
      </c>
      <c r="BU12" s="35" t="str">
        <f t="shared" si="17"/>
        <v/>
      </c>
      <c r="BV12" s="35" t="str">
        <f t="shared" si="17"/>
        <v/>
      </c>
      <c r="BW12" s="35" t="str">
        <f t="shared" si="17"/>
        <v/>
      </c>
      <c r="BX12" s="35" t="str">
        <f t="shared" si="17"/>
        <v/>
      </c>
      <c r="BY12" s="35" t="str">
        <f t="shared" ref="BY12:CH21" si="18">IF(BY$11="","",IF(AND(BY$11&gt;=$B12,BY$11&lt;=$C12),1,""))</f>
        <v/>
      </c>
      <c r="BZ12" s="35" t="str">
        <f t="shared" si="18"/>
        <v/>
      </c>
      <c r="CA12" s="35" t="str">
        <f t="shared" si="18"/>
        <v/>
      </c>
      <c r="CB12" s="35" t="str">
        <f t="shared" si="18"/>
        <v/>
      </c>
      <c r="CC12" s="35" t="str">
        <f t="shared" si="18"/>
        <v/>
      </c>
      <c r="CD12" s="35" t="str">
        <f t="shared" si="18"/>
        <v/>
      </c>
      <c r="CE12" s="35" t="str">
        <f t="shared" si="18"/>
        <v/>
      </c>
      <c r="CF12" s="35" t="str">
        <f t="shared" si="18"/>
        <v/>
      </c>
      <c r="CG12" s="35" t="str">
        <f t="shared" si="18"/>
        <v/>
      </c>
      <c r="CH12" s="35" t="str">
        <f t="shared" si="18"/>
        <v/>
      </c>
      <c r="CI12" s="35" t="str">
        <f t="shared" ref="CI12:CR21" si="19">IF(CI$11="","",IF(AND(CI$11&gt;=$B12,CI$11&lt;=$C12),1,""))</f>
        <v/>
      </c>
      <c r="CJ12" s="35" t="str">
        <f t="shared" si="19"/>
        <v/>
      </c>
      <c r="CK12" s="35" t="str">
        <f t="shared" si="19"/>
        <v/>
      </c>
      <c r="CL12" s="35" t="str">
        <f t="shared" si="19"/>
        <v/>
      </c>
      <c r="CM12" s="35" t="str">
        <f t="shared" si="19"/>
        <v/>
      </c>
      <c r="CN12" s="35" t="str">
        <f t="shared" si="19"/>
        <v/>
      </c>
      <c r="CO12" s="35" t="str">
        <f t="shared" si="19"/>
        <v/>
      </c>
      <c r="CP12" s="35" t="str">
        <f t="shared" si="19"/>
        <v/>
      </c>
      <c r="CQ12" s="35" t="str">
        <f t="shared" si="19"/>
        <v/>
      </c>
      <c r="CR12" s="35" t="str">
        <f t="shared" si="19"/>
        <v/>
      </c>
      <c r="CS12" s="35" t="str">
        <f t="shared" ref="CS12:DB21" si="20">IF(CS$11="","",IF(AND(CS$11&gt;=$B12,CS$11&lt;=$C12),1,""))</f>
        <v/>
      </c>
      <c r="CT12" s="35" t="str">
        <f t="shared" si="20"/>
        <v/>
      </c>
      <c r="CU12" s="35" t="str">
        <f t="shared" si="20"/>
        <v/>
      </c>
      <c r="CV12" s="35" t="str">
        <f t="shared" si="20"/>
        <v/>
      </c>
      <c r="CW12" s="35" t="str">
        <f t="shared" si="20"/>
        <v/>
      </c>
      <c r="CX12" s="35" t="str">
        <f t="shared" si="20"/>
        <v/>
      </c>
      <c r="CY12" s="35" t="str">
        <f t="shared" si="20"/>
        <v/>
      </c>
      <c r="CZ12" s="35" t="str">
        <f t="shared" si="20"/>
        <v/>
      </c>
      <c r="DA12" s="35" t="str">
        <f t="shared" si="20"/>
        <v/>
      </c>
      <c r="DB12" s="35" t="str">
        <f t="shared" si="20"/>
        <v/>
      </c>
      <c r="DC12" s="35" t="str">
        <f t="shared" ref="DC12:DL21" si="21">IF(DC$11="","",IF(AND(DC$11&gt;=$B12,DC$11&lt;=$C12),1,""))</f>
        <v/>
      </c>
      <c r="DD12" s="35" t="str">
        <f t="shared" si="21"/>
        <v/>
      </c>
      <c r="DE12" s="35" t="str">
        <f t="shared" si="21"/>
        <v/>
      </c>
      <c r="DF12" s="35" t="str">
        <f t="shared" si="21"/>
        <v/>
      </c>
      <c r="DG12" s="35" t="str">
        <f t="shared" si="21"/>
        <v/>
      </c>
      <c r="DH12" s="35" t="str">
        <f t="shared" si="21"/>
        <v/>
      </c>
      <c r="DI12" s="35" t="str">
        <f t="shared" si="21"/>
        <v/>
      </c>
      <c r="DJ12" s="35" t="str">
        <f t="shared" si="21"/>
        <v/>
      </c>
      <c r="DK12" s="35" t="str">
        <f t="shared" si="21"/>
        <v/>
      </c>
      <c r="DL12" s="35" t="str">
        <f t="shared" si="21"/>
        <v/>
      </c>
      <c r="DM12" s="35" t="str">
        <f t="shared" ref="DM12:DV21" si="22">IF(DM$11="","",IF(AND(DM$11&gt;=$B12,DM$11&lt;=$C12),1,""))</f>
        <v/>
      </c>
      <c r="DN12" s="35" t="str">
        <f t="shared" si="22"/>
        <v/>
      </c>
      <c r="DO12" s="35" t="str">
        <f t="shared" si="22"/>
        <v/>
      </c>
      <c r="DP12" s="35" t="str">
        <f t="shared" si="22"/>
        <v/>
      </c>
      <c r="DQ12" s="35" t="str">
        <f t="shared" si="22"/>
        <v/>
      </c>
      <c r="DR12" s="35" t="str">
        <f t="shared" si="22"/>
        <v/>
      </c>
      <c r="DS12" s="35" t="str">
        <f t="shared" si="22"/>
        <v/>
      </c>
      <c r="DT12" s="35" t="str">
        <f t="shared" si="22"/>
        <v/>
      </c>
      <c r="DU12" s="35" t="str">
        <f t="shared" si="22"/>
        <v/>
      </c>
      <c r="DV12" s="35" t="str">
        <f t="shared" si="22"/>
        <v/>
      </c>
      <c r="DW12" s="35" t="str">
        <f t="shared" ref="DW12:EF21" si="23">IF(DW$11="","",IF(AND(DW$11&gt;=$B12,DW$11&lt;=$C12),1,""))</f>
        <v/>
      </c>
      <c r="DX12" s="35" t="str">
        <f t="shared" si="23"/>
        <v/>
      </c>
      <c r="DY12" s="35" t="str">
        <f t="shared" si="23"/>
        <v/>
      </c>
      <c r="DZ12" s="35" t="str">
        <f t="shared" si="23"/>
        <v/>
      </c>
      <c r="EA12" s="35" t="str">
        <f t="shared" si="23"/>
        <v/>
      </c>
      <c r="EB12" s="35" t="str">
        <f t="shared" si="23"/>
        <v/>
      </c>
      <c r="EC12" s="35" t="str">
        <f t="shared" si="23"/>
        <v/>
      </c>
      <c r="ED12" s="35" t="str">
        <f t="shared" si="23"/>
        <v/>
      </c>
      <c r="EE12" s="35" t="str">
        <f t="shared" si="23"/>
        <v/>
      </c>
      <c r="EF12" s="35" t="str">
        <f t="shared" si="23"/>
        <v/>
      </c>
      <c r="EG12" s="35" t="str">
        <f t="shared" ref="EG12:EP21" si="24">IF(EG$11="","",IF(AND(EG$11&gt;=$B12,EG$11&lt;=$C12),1,""))</f>
        <v/>
      </c>
      <c r="EH12" s="35" t="str">
        <f t="shared" si="24"/>
        <v/>
      </c>
      <c r="EI12" s="35" t="str">
        <f t="shared" si="24"/>
        <v/>
      </c>
      <c r="EJ12" s="35" t="str">
        <f t="shared" si="24"/>
        <v/>
      </c>
      <c r="EK12" s="35" t="str">
        <f t="shared" si="24"/>
        <v/>
      </c>
      <c r="EL12" s="35" t="str">
        <f t="shared" si="24"/>
        <v/>
      </c>
      <c r="EM12" s="35" t="str">
        <f t="shared" si="24"/>
        <v/>
      </c>
      <c r="EN12" s="35" t="str">
        <f t="shared" si="24"/>
        <v/>
      </c>
      <c r="EO12" s="35" t="str">
        <f t="shared" si="24"/>
        <v/>
      </c>
      <c r="EP12" s="35" t="str">
        <f t="shared" si="24"/>
        <v/>
      </c>
      <c r="EQ12" s="35" t="str">
        <f t="shared" ref="EQ12:EZ21" si="25">IF(EQ$11="","",IF(AND(EQ$11&gt;=$B12,EQ$11&lt;=$C12),1,""))</f>
        <v/>
      </c>
      <c r="ER12" s="35" t="str">
        <f t="shared" si="25"/>
        <v/>
      </c>
      <c r="ES12" s="35" t="str">
        <f t="shared" si="25"/>
        <v/>
      </c>
      <c r="ET12" s="35" t="str">
        <f t="shared" si="25"/>
        <v/>
      </c>
      <c r="EU12" s="35" t="str">
        <f t="shared" si="25"/>
        <v/>
      </c>
      <c r="EV12" s="35" t="str">
        <f t="shared" si="25"/>
        <v/>
      </c>
      <c r="EW12" s="35" t="str">
        <f t="shared" si="25"/>
        <v/>
      </c>
      <c r="EX12" s="35" t="str">
        <f t="shared" si="25"/>
        <v/>
      </c>
      <c r="EY12" s="35" t="str">
        <f t="shared" si="25"/>
        <v/>
      </c>
      <c r="EZ12" s="35" t="str">
        <f t="shared" si="25"/>
        <v/>
      </c>
      <c r="FA12" s="35" t="str">
        <f t="shared" ref="FA12:FJ21" si="26">IF(FA$11="","",IF(AND(FA$11&gt;=$B12,FA$11&lt;=$C12),1,""))</f>
        <v/>
      </c>
      <c r="FB12" s="35" t="str">
        <f t="shared" si="26"/>
        <v/>
      </c>
      <c r="FC12" s="35" t="str">
        <f t="shared" si="26"/>
        <v/>
      </c>
      <c r="FD12" s="35" t="str">
        <f t="shared" si="26"/>
        <v/>
      </c>
      <c r="FE12" s="35" t="str">
        <f t="shared" si="26"/>
        <v/>
      </c>
      <c r="FF12" s="35" t="str">
        <f t="shared" si="26"/>
        <v/>
      </c>
      <c r="FG12" s="35" t="str">
        <f t="shared" si="26"/>
        <v/>
      </c>
      <c r="FH12" s="35" t="str">
        <f t="shared" si="26"/>
        <v/>
      </c>
      <c r="FI12" s="35" t="str">
        <f t="shared" si="26"/>
        <v/>
      </c>
      <c r="FJ12" s="35" t="str">
        <f t="shared" si="26"/>
        <v/>
      </c>
      <c r="FK12" s="35" t="str">
        <f t="shared" ref="FK12:FT21" si="27">IF(FK$11="","",IF(AND(FK$11&gt;=$B12,FK$11&lt;=$C12),1,""))</f>
        <v/>
      </c>
      <c r="FL12" s="35" t="str">
        <f t="shared" si="27"/>
        <v/>
      </c>
      <c r="FM12" s="35" t="str">
        <f t="shared" si="27"/>
        <v/>
      </c>
      <c r="FN12" s="35" t="str">
        <f t="shared" si="27"/>
        <v/>
      </c>
      <c r="FO12" s="35" t="str">
        <f t="shared" si="27"/>
        <v/>
      </c>
      <c r="FP12" s="35" t="str">
        <f t="shared" si="27"/>
        <v/>
      </c>
      <c r="FQ12" s="35" t="str">
        <f t="shared" si="27"/>
        <v/>
      </c>
      <c r="FR12" s="35" t="str">
        <f t="shared" si="27"/>
        <v/>
      </c>
      <c r="FS12" s="35" t="str">
        <f t="shared" si="27"/>
        <v/>
      </c>
      <c r="FT12" s="35" t="str">
        <f t="shared" si="27"/>
        <v/>
      </c>
      <c r="FU12" s="35" t="str">
        <f t="shared" ref="FU12:GD21" si="28">IF(FU$11="","",IF(AND(FU$11&gt;=$B12,FU$11&lt;=$C12),1,""))</f>
        <v/>
      </c>
      <c r="FV12" s="35" t="str">
        <f t="shared" si="28"/>
        <v/>
      </c>
      <c r="FW12" s="35" t="str">
        <f t="shared" si="28"/>
        <v/>
      </c>
      <c r="FX12" s="35" t="str">
        <f t="shared" si="28"/>
        <v/>
      </c>
      <c r="FY12" s="35" t="str">
        <f t="shared" si="28"/>
        <v/>
      </c>
      <c r="FZ12" s="35" t="str">
        <f t="shared" si="28"/>
        <v/>
      </c>
      <c r="GA12" s="35" t="str">
        <f t="shared" si="28"/>
        <v/>
      </c>
      <c r="GB12" s="35" t="str">
        <f t="shared" si="28"/>
        <v/>
      </c>
      <c r="GC12" s="35" t="str">
        <f t="shared" si="28"/>
        <v/>
      </c>
      <c r="GD12" s="35" t="str">
        <f t="shared" si="28"/>
        <v/>
      </c>
      <c r="GE12" s="35" t="str">
        <f t="shared" ref="GE12:GN21" si="29">IF(GE$11="","",IF(AND(GE$11&gt;=$B12,GE$11&lt;=$C12),1,""))</f>
        <v/>
      </c>
      <c r="GF12" s="35" t="str">
        <f t="shared" si="29"/>
        <v/>
      </c>
      <c r="GG12" s="35" t="str">
        <f t="shared" si="29"/>
        <v/>
      </c>
      <c r="GH12" s="35" t="str">
        <f t="shared" si="29"/>
        <v/>
      </c>
      <c r="GI12" s="35" t="str">
        <f t="shared" si="29"/>
        <v/>
      </c>
      <c r="GJ12" s="35" t="str">
        <f t="shared" si="29"/>
        <v/>
      </c>
      <c r="GK12" s="35" t="str">
        <f t="shared" si="29"/>
        <v/>
      </c>
      <c r="GL12" s="35" t="str">
        <f t="shared" si="29"/>
        <v/>
      </c>
      <c r="GM12" s="35" t="str">
        <f t="shared" si="29"/>
        <v/>
      </c>
      <c r="GN12" s="35" t="str">
        <f t="shared" si="29"/>
        <v/>
      </c>
      <c r="GO12" s="35" t="str">
        <f t="shared" ref="GO12:GX21" si="30">IF(GO$11="","",IF(AND(GO$11&gt;=$B12,GO$11&lt;=$C12),1,""))</f>
        <v/>
      </c>
      <c r="GP12" s="35" t="str">
        <f t="shared" si="30"/>
        <v/>
      </c>
      <c r="GQ12" s="35" t="str">
        <f t="shared" si="30"/>
        <v/>
      </c>
      <c r="GR12" s="35" t="str">
        <f t="shared" si="30"/>
        <v/>
      </c>
      <c r="GS12" s="35" t="str">
        <f t="shared" si="30"/>
        <v/>
      </c>
      <c r="GT12" s="35" t="str">
        <f t="shared" si="30"/>
        <v/>
      </c>
      <c r="GU12" s="35" t="str">
        <f t="shared" si="30"/>
        <v/>
      </c>
      <c r="GV12" s="35" t="str">
        <f t="shared" si="30"/>
        <v/>
      </c>
      <c r="GW12" s="35" t="str">
        <f t="shared" si="30"/>
        <v/>
      </c>
      <c r="GX12" s="35" t="str">
        <f t="shared" si="30"/>
        <v/>
      </c>
      <c r="GY12" s="35" t="str">
        <f t="shared" ref="GY12:HH21" si="31">IF(GY$11="","",IF(AND(GY$11&gt;=$B12,GY$11&lt;=$C12),1,""))</f>
        <v/>
      </c>
      <c r="GZ12" s="35" t="str">
        <f t="shared" si="31"/>
        <v/>
      </c>
      <c r="HA12" s="35" t="str">
        <f t="shared" si="31"/>
        <v/>
      </c>
      <c r="HB12" s="35" t="str">
        <f t="shared" si="31"/>
        <v/>
      </c>
      <c r="HC12" s="35" t="str">
        <f t="shared" si="31"/>
        <v/>
      </c>
      <c r="HD12" s="35" t="str">
        <f t="shared" si="31"/>
        <v/>
      </c>
      <c r="HE12" s="35" t="str">
        <f t="shared" si="31"/>
        <v/>
      </c>
      <c r="HF12" s="35" t="str">
        <f t="shared" si="31"/>
        <v/>
      </c>
      <c r="HG12" s="35" t="str">
        <f t="shared" si="31"/>
        <v/>
      </c>
      <c r="HH12" s="35" t="str">
        <f t="shared" si="31"/>
        <v/>
      </c>
      <c r="HI12" s="35" t="str">
        <f t="shared" ref="HI12:HR21" si="32">IF(HI$11="","",IF(AND(HI$11&gt;=$B12,HI$11&lt;=$C12),1,""))</f>
        <v/>
      </c>
      <c r="HJ12" s="35" t="str">
        <f t="shared" si="32"/>
        <v/>
      </c>
      <c r="HK12" s="35" t="str">
        <f t="shared" si="32"/>
        <v/>
      </c>
      <c r="HL12" s="35" t="str">
        <f t="shared" si="32"/>
        <v/>
      </c>
      <c r="HM12" s="35" t="str">
        <f t="shared" si="32"/>
        <v/>
      </c>
      <c r="HN12" s="35" t="str">
        <f t="shared" si="32"/>
        <v/>
      </c>
      <c r="HO12" s="35" t="str">
        <f t="shared" si="32"/>
        <v/>
      </c>
      <c r="HP12" s="35" t="str">
        <f t="shared" si="32"/>
        <v/>
      </c>
      <c r="HQ12" s="35" t="str">
        <f t="shared" si="32"/>
        <v/>
      </c>
      <c r="HR12" s="35" t="str">
        <f t="shared" si="32"/>
        <v/>
      </c>
      <c r="HS12" s="35" t="str">
        <f t="shared" ref="HS12:IB21" si="33">IF(HS$11="","",IF(AND(HS$11&gt;=$B12,HS$11&lt;=$C12),1,""))</f>
        <v/>
      </c>
      <c r="HT12" s="35" t="str">
        <f t="shared" si="33"/>
        <v/>
      </c>
      <c r="HU12" s="35" t="str">
        <f t="shared" si="33"/>
        <v/>
      </c>
      <c r="HV12" s="35" t="str">
        <f t="shared" si="33"/>
        <v/>
      </c>
      <c r="HW12" s="35" t="str">
        <f t="shared" si="33"/>
        <v/>
      </c>
      <c r="HX12" s="35" t="str">
        <f t="shared" si="33"/>
        <v/>
      </c>
      <c r="HY12" s="35" t="str">
        <f t="shared" si="33"/>
        <v/>
      </c>
      <c r="HZ12" s="35" t="str">
        <f t="shared" si="33"/>
        <v/>
      </c>
      <c r="IA12" s="35" t="str">
        <f t="shared" si="33"/>
        <v/>
      </c>
      <c r="IB12" s="35" t="str">
        <f t="shared" si="33"/>
        <v/>
      </c>
      <c r="IC12" s="35" t="str">
        <f t="shared" ref="IC12:IL21" si="34">IF(IC$11="","",IF(AND(IC$11&gt;=$B12,IC$11&lt;=$C12),1,""))</f>
        <v/>
      </c>
      <c r="ID12" s="35" t="str">
        <f t="shared" si="34"/>
        <v/>
      </c>
      <c r="IE12" s="35" t="str">
        <f t="shared" si="34"/>
        <v/>
      </c>
      <c r="IF12" s="35" t="str">
        <f t="shared" si="34"/>
        <v/>
      </c>
      <c r="IG12" s="35" t="str">
        <f t="shared" si="34"/>
        <v/>
      </c>
      <c r="IH12" s="35" t="str">
        <f t="shared" si="34"/>
        <v/>
      </c>
      <c r="II12" s="35" t="str">
        <f t="shared" si="34"/>
        <v/>
      </c>
      <c r="IJ12" s="35" t="str">
        <f t="shared" si="34"/>
        <v/>
      </c>
      <c r="IK12" s="35" t="str">
        <f t="shared" si="34"/>
        <v/>
      </c>
      <c r="IL12" s="35" t="str">
        <f t="shared" si="34"/>
        <v/>
      </c>
      <c r="IM12" s="35" t="str">
        <f t="shared" ref="IM12:IV21" si="35">IF(IM$11="","",IF(AND(IM$11&gt;=$B12,IM$11&lt;=$C12),1,""))</f>
        <v/>
      </c>
      <c r="IN12" s="35" t="str">
        <f t="shared" si="35"/>
        <v/>
      </c>
      <c r="IO12" s="35" t="str">
        <f t="shared" si="35"/>
        <v/>
      </c>
      <c r="IP12" s="35" t="str">
        <f t="shared" si="35"/>
        <v/>
      </c>
      <c r="IQ12" s="35" t="str">
        <f t="shared" si="35"/>
        <v/>
      </c>
      <c r="IR12" s="35" t="str">
        <f t="shared" si="35"/>
        <v/>
      </c>
      <c r="IS12" s="35" t="str">
        <f t="shared" si="35"/>
        <v/>
      </c>
      <c r="IT12" s="35" t="str">
        <f t="shared" si="35"/>
        <v/>
      </c>
      <c r="IU12" s="35" t="str">
        <f t="shared" si="35"/>
        <v/>
      </c>
      <c r="IV12" s="35" t="str">
        <f t="shared" si="35"/>
        <v/>
      </c>
      <c r="IW12" s="35" t="str">
        <f t="shared" ref="IW12:JF21" si="36">IF(IW$11="","",IF(AND(IW$11&gt;=$B12,IW$11&lt;=$C12),1,""))</f>
        <v/>
      </c>
      <c r="IX12" s="35" t="str">
        <f t="shared" si="36"/>
        <v/>
      </c>
      <c r="IY12" s="35" t="str">
        <f t="shared" si="36"/>
        <v/>
      </c>
      <c r="IZ12" s="35" t="str">
        <f t="shared" si="36"/>
        <v/>
      </c>
      <c r="JA12" s="35" t="str">
        <f t="shared" si="36"/>
        <v/>
      </c>
      <c r="JB12" s="35" t="str">
        <f t="shared" si="36"/>
        <v/>
      </c>
      <c r="JC12" s="35" t="str">
        <f t="shared" si="36"/>
        <v/>
      </c>
      <c r="JD12" s="35" t="str">
        <f t="shared" si="36"/>
        <v/>
      </c>
      <c r="JE12" s="35" t="str">
        <f t="shared" si="36"/>
        <v/>
      </c>
      <c r="JF12" s="35" t="str">
        <f t="shared" si="36"/>
        <v/>
      </c>
      <c r="JG12" s="35" t="str">
        <f t="shared" ref="JG12:JP21" si="37">IF(JG$11="","",IF(AND(JG$11&gt;=$B12,JG$11&lt;=$C12),1,""))</f>
        <v/>
      </c>
      <c r="JH12" s="35" t="str">
        <f t="shared" si="37"/>
        <v/>
      </c>
      <c r="JI12" s="35" t="str">
        <f t="shared" si="37"/>
        <v/>
      </c>
      <c r="JJ12" s="35" t="str">
        <f t="shared" si="37"/>
        <v/>
      </c>
      <c r="JK12" s="35" t="str">
        <f t="shared" si="37"/>
        <v/>
      </c>
      <c r="JL12" s="35" t="str">
        <f t="shared" si="37"/>
        <v/>
      </c>
      <c r="JM12" s="35" t="str">
        <f t="shared" si="37"/>
        <v/>
      </c>
      <c r="JN12" s="35" t="str">
        <f t="shared" si="37"/>
        <v/>
      </c>
      <c r="JO12" s="35" t="str">
        <f t="shared" si="37"/>
        <v/>
      </c>
      <c r="JP12" s="35" t="str">
        <f t="shared" si="37"/>
        <v/>
      </c>
    </row>
    <row r="13" spans="1:276" ht="22" customHeight="1" x14ac:dyDescent="0.2">
      <c r="A13" s="32" t="s">
        <v>159</v>
      </c>
      <c r="B13" s="33">
        <f>IF(COUNT($B$34,$B$35)=0,"",MIN($B$34,$B$35))</f>
        <v>46074</v>
      </c>
      <c r="C13" s="33">
        <f>IF(COUNT($B$34,$B$35)=0,"",MAX($B$34,$B$35))</f>
        <v>46094</v>
      </c>
      <c r="D13" s="33" t="s">
        <v>160</v>
      </c>
      <c r="E13" s="34" t="str">
        <f t="shared" ca="1" si="10"/>
        <v>Done</v>
      </c>
      <c r="G13" s="35" t="str">
        <f t="shared" si="11"/>
        <v/>
      </c>
      <c r="H13" s="35" t="str">
        <f t="shared" si="11"/>
        <v/>
      </c>
      <c r="I13" s="35" t="str">
        <f t="shared" si="11"/>
        <v/>
      </c>
      <c r="J13" s="35" t="str">
        <f t="shared" si="11"/>
        <v/>
      </c>
      <c r="K13" s="35" t="str">
        <f t="shared" si="11"/>
        <v/>
      </c>
      <c r="L13" s="35" t="str">
        <f t="shared" si="11"/>
        <v/>
      </c>
      <c r="M13" s="35" t="str">
        <f t="shared" si="11"/>
        <v/>
      </c>
      <c r="N13" s="35" t="str">
        <f t="shared" si="11"/>
        <v/>
      </c>
      <c r="O13" s="35" t="str">
        <f t="shared" si="11"/>
        <v/>
      </c>
      <c r="P13" s="35" t="str">
        <f t="shared" si="11"/>
        <v/>
      </c>
      <c r="Q13" s="35" t="str">
        <f t="shared" si="12"/>
        <v/>
      </c>
      <c r="R13" s="35" t="str">
        <f t="shared" si="12"/>
        <v/>
      </c>
      <c r="S13" s="35" t="str">
        <f t="shared" si="12"/>
        <v/>
      </c>
      <c r="T13" s="35" t="str">
        <f t="shared" si="12"/>
        <v/>
      </c>
      <c r="U13" s="35" t="str">
        <f t="shared" si="12"/>
        <v/>
      </c>
      <c r="V13" s="35" t="str">
        <f t="shared" si="12"/>
        <v/>
      </c>
      <c r="W13" s="35" t="str">
        <f t="shared" si="12"/>
        <v/>
      </c>
      <c r="X13" s="35" t="str">
        <f t="shared" si="12"/>
        <v/>
      </c>
      <c r="Y13" s="35" t="str">
        <f t="shared" si="12"/>
        <v/>
      </c>
      <c r="Z13" s="35" t="str">
        <f t="shared" si="12"/>
        <v/>
      </c>
      <c r="AA13" s="35">
        <f t="shared" si="13"/>
        <v>1</v>
      </c>
      <c r="AB13" s="35">
        <f t="shared" si="13"/>
        <v>1</v>
      </c>
      <c r="AC13" s="35">
        <f t="shared" si="13"/>
        <v>1</v>
      </c>
      <c r="AD13" s="35">
        <f t="shared" si="13"/>
        <v>1</v>
      </c>
      <c r="AE13" s="35">
        <f t="shared" si="13"/>
        <v>1</v>
      </c>
      <c r="AF13" s="35">
        <f t="shared" si="13"/>
        <v>1</v>
      </c>
      <c r="AG13" s="35">
        <f t="shared" si="13"/>
        <v>1</v>
      </c>
      <c r="AH13" s="35">
        <f t="shared" si="13"/>
        <v>1</v>
      </c>
      <c r="AI13" s="35">
        <f t="shared" si="13"/>
        <v>1</v>
      </c>
      <c r="AJ13" s="35">
        <f t="shared" si="13"/>
        <v>1</v>
      </c>
      <c r="AK13" s="35">
        <f t="shared" si="14"/>
        <v>1</v>
      </c>
      <c r="AL13" s="35">
        <f t="shared" si="14"/>
        <v>1</v>
      </c>
      <c r="AM13" s="35">
        <f t="shared" si="14"/>
        <v>1</v>
      </c>
      <c r="AN13" s="35">
        <f t="shared" si="14"/>
        <v>1</v>
      </c>
      <c r="AO13" s="35">
        <f t="shared" si="14"/>
        <v>1</v>
      </c>
      <c r="AP13" s="35">
        <f t="shared" si="14"/>
        <v>1</v>
      </c>
      <c r="AQ13" s="35">
        <f t="shared" si="14"/>
        <v>1</v>
      </c>
      <c r="AR13" s="35">
        <f t="shared" si="14"/>
        <v>1</v>
      </c>
      <c r="AS13" s="35">
        <f t="shared" si="14"/>
        <v>1</v>
      </c>
      <c r="AT13" s="35">
        <f t="shared" si="14"/>
        <v>1</v>
      </c>
      <c r="AU13" s="35">
        <f t="shared" si="15"/>
        <v>1</v>
      </c>
      <c r="AV13" s="35" t="str">
        <f t="shared" si="15"/>
        <v/>
      </c>
      <c r="AW13" s="35" t="str">
        <f t="shared" si="15"/>
        <v/>
      </c>
      <c r="AX13" s="35" t="str">
        <f t="shared" si="15"/>
        <v/>
      </c>
      <c r="AY13" s="35" t="str">
        <f t="shared" si="15"/>
        <v/>
      </c>
      <c r="AZ13" s="35" t="str">
        <f t="shared" si="15"/>
        <v/>
      </c>
      <c r="BA13" s="35" t="str">
        <f t="shared" si="15"/>
        <v/>
      </c>
      <c r="BB13" s="35" t="str">
        <f t="shared" si="15"/>
        <v/>
      </c>
      <c r="BC13" s="35" t="str">
        <f t="shared" si="15"/>
        <v/>
      </c>
      <c r="BD13" s="35" t="str">
        <f t="shared" si="15"/>
        <v/>
      </c>
      <c r="BE13" s="35" t="str">
        <f t="shared" si="16"/>
        <v/>
      </c>
      <c r="BF13" s="35" t="str">
        <f t="shared" si="16"/>
        <v/>
      </c>
      <c r="BG13" s="35" t="str">
        <f t="shared" si="16"/>
        <v/>
      </c>
      <c r="BH13" s="35" t="str">
        <f t="shared" si="16"/>
        <v/>
      </c>
      <c r="BI13" s="35" t="str">
        <f t="shared" si="16"/>
        <v/>
      </c>
      <c r="BJ13" s="35" t="str">
        <f t="shared" si="16"/>
        <v/>
      </c>
      <c r="BK13" s="35" t="str">
        <f t="shared" si="16"/>
        <v/>
      </c>
      <c r="BL13" s="35" t="str">
        <f t="shared" si="16"/>
        <v/>
      </c>
      <c r="BM13" s="35" t="str">
        <f t="shared" si="16"/>
        <v/>
      </c>
      <c r="BN13" s="35" t="str">
        <f t="shared" si="16"/>
        <v/>
      </c>
      <c r="BO13" s="35" t="str">
        <f t="shared" si="17"/>
        <v/>
      </c>
      <c r="BP13" s="35" t="str">
        <f t="shared" si="17"/>
        <v/>
      </c>
      <c r="BQ13" s="35" t="str">
        <f t="shared" si="17"/>
        <v/>
      </c>
      <c r="BR13" s="35" t="str">
        <f t="shared" si="17"/>
        <v/>
      </c>
      <c r="BS13" s="35" t="str">
        <f t="shared" si="17"/>
        <v/>
      </c>
      <c r="BT13" s="35" t="str">
        <f t="shared" si="17"/>
        <v/>
      </c>
      <c r="BU13" s="35" t="str">
        <f t="shared" si="17"/>
        <v/>
      </c>
      <c r="BV13" s="35" t="str">
        <f t="shared" si="17"/>
        <v/>
      </c>
      <c r="BW13" s="35" t="str">
        <f t="shared" si="17"/>
        <v/>
      </c>
      <c r="BX13" s="35" t="str">
        <f t="shared" si="17"/>
        <v/>
      </c>
      <c r="BY13" s="35" t="str">
        <f t="shared" si="18"/>
        <v/>
      </c>
      <c r="BZ13" s="35" t="str">
        <f t="shared" si="18"/>
        <v/>
      </c>
      <c r="CA13" s="35" t="str">
        <f t="shared" si="18"/>
        <v/>
      </c>
      <c r="CB13" s="35" t="str">
        <f t="shared" si="18"/>
        <v/>
      </c>
      <c r="CC13" s="35" t="str">
        <f t="shared" si="18"/>
        <v/>
      </c>
      <c r="CD13" s="35" t="str">
        <f t="shared" si="18"/>
        <v/>
      </c>
      <c r="CE13" s="35" t="str">
        <f t="shared" si="18"/>
        <v/>
      </c>
      <c r="CF13" s="35" t="str">
        <f t="shared" si="18"/>
        <v/>
      </c>
      <c r="CG13" s="35" t="str">
        <f t="shared" si="18"/>
        <v/>
      </c>
      <c r="CH13" s="35" t="str">
        <f t="shared" si="18"/>
        <v/>
      </c>
      <c r="CI13" s="35" t="str">
        <f t="shared" si="19"/>
        <v/>
      </c>
      <c r="CJ13" s="35" t="str">
        <f t="shared" si="19"/>
        <v/>
      </c>
      <c r="CK13" s="35" t="str">
        <f t="shared" si="19"/>
        <v/>
      </c>
      <c r="CL13" s="35" t="str">
        <f t="shared" si="19"/>
        <v/>
      </c>
      <c r="CM13" s="35" t="str">
        <f t="shared" si="19"/>
        <v/>
      </c>
      <c r="CN13" s="35" t="str">
        <f t="shared" si="19"/>
        <v/>
      </c>
      <c r="CO13" s="35" t="str">
        <f t="shared" si="19"/>
        <v/>
      </c>
      <c r="CP13" s="35" t="str">
        <f t="shared" si="19"/>
        <v/>
      </c>
      <c r="CQ13" s="35" t="str">
        <f t="shared" si="19"/>
        <v/>
      </c>
      <c r="CR13" s="35" t="str">
        <f t="shared" si="19"/>
        <v/>
      </c>
      <c r="CS13" s="35" t="str">
        <f t="shared" si="20"/>
        <v/>
      </c>
      <c r="CT13" s="35" t="str">
        <f t="shared" si="20"/>
        <v/>
      </c>
      <c r="CU13" s="35" t="str">
        <f t="shared" si="20"/>
        <v/>
      </c>
      <c r="CV13" s="35" t="str">
        <f t="shared" si="20"/>
        <v/>
      </c>
      <c r="CW13" s="35" t="str">
        <f t="shared" si="20"/>
        <v/>
      </c>
      <c r="CX13" s="35" t="str">
        <f t="shared" si="20"/>
        <v/>
      </c>
      <c r="CY13" s="35" t="str">
        <f t="shared" si="20"/>
        <v/>
      </c>
      <c r="CZ13" s="35" t="str">
        <f t="shared" si="20"/>
        <v/>
      </c>
      <c r="DA13" s="35" t="str">
        <f t="shared" si="20"/>
        <v/>
      </c>
      <c r="DB13" s="35" t="str">
        <f t="shared" si="20"/>
        <v/>
      </c>
      <c r="DC13" s="35" t="str">
        <f t="shared" si="21"/>
        <v/>
      </c>
      <c r="DD13" s="35" t="str">
        <f t="shared" si="21"/>
        <v/>
      </c>
      <c r="DE13" s="35" t="str">
        <f t="shared" si="21"/>
        <v/>
      </c>
      <c r="DF13" s="35" t="str">
        <f t="shared" si="21"/>
        <v/>
      </c>
      <c r="DG13" s="35" t="str">
        <f t="shared" si="21"/>
        <v/>
      </c>
      <c r="DH13" s="35" t="str">
        <f t="shared" si="21"/>
        <v/>
      </c>
      <c r="DI13" s="35" t="str">
        <f t="shared" si="21"/>
        <v/>
      </c>
      <c r="DJ13" s="35" t="str">
        <f t="shared" si="21"/>
        <v/>
      </c>
      <c r="DK13" s="35" t="str">
        <f t="shared" si="21"/>
        <v/>
      </c>
      <c r="DL13" s="35" t="str">
        <f t="shared" si="21"/>
        <v/>
      </c>
      <c r="DM13" s="35" t="str">
        <f t="shared" si="22"/>
        <v/>
      </c>
      <c r="DN13" s="35" t="str">
        <f t="shared" si="22"/>
        <v/>
      </c>
      <c r="DO13" s="35" t="str">
        <f t="shared" si="22"/>
        <v/>
      </c>
      <c r="DP13" s="35" t="str">
        <f t="shared" si="22"/>
        <v/>
      </c>
      <c r="DQ13" s="35" t="str">
        <f t="shared" si="22"/>
        <v/>
      </c>
      <c r="DR13" s="35" t="str">
        <f t="shared" si="22"/>
        <v/>
      </c>
      <c r="DS13" s="35" t="str">
        <f t="shared" si="22"/>
        <v/>
      </c>
      <c r="DT13" s="35" t="str">
        <f t="shared" si="22"/>
        <v/>
      </c>
      <c r="DU13" s="35" t="str">
        <f t="shared" si="22"/>
        <v/>
      </c>
      <c r="DV13" s="35" t="str">
        <f t="shared" si="22"/>
        <v/>
      </c>
      <c r="DW13" s="35" t="str">
        <f t="shared" si="23"/>
        <v/>
      </c>
      <c r="DX13" s="35" t="str">
        <f t="shared" si="23"/>
        <v/>
      </c>
      <c r="DY13" s="35" t="str">
        <f t="shared" si="23"/>
        <v/>
      </c>
      <c r="DZ13" s="35" t="str">
        <f t="shared" si="23"/>
        <v/>
      </c>
      <c r="EA13" s="35" t="str">
        <f t="shared" si="23"/>
        <v/>
      </c>
      <c r="EB13" s="35" t="str">
        <f t="shared" si="23"/>
        <v/>
      </c>
      <c r="EC13" s="35" t="str">
        <f t="shared" si="23"/>
        <v/>
      </c>
      <c r="ED13" s="35" t="str">
        <f t="shared" si="23"/>
        <v/>
      </c>
      <c r="EE13" s="35" t="str">
        <f t="shared" si="23"/>
        <v/>
      </c>
      <c r="EF13" s="35" t="str">
        <f t="shared" si="23"/>
        <v/>
      </c>
      <c r="EG13" s="35" t="str">
        <f t="shared" si="24"/>
        <v/>
      </c>
      <c r="EH13" s="35" t="str">
        <f t="shared" si="24"/>
        <v/>
      </c>
      <c r="EI13" s="35" t="str">
        <f t="shared" si="24"/>
        <v/>
      </c>
      <c r="EJ13" s="35" t="str">
        <f t="shared" si="24"/>
        <v/>
      </c>
      <c r="EK13" s="35" t="str">
        <f t="shared" si="24"/>
        <v/>
      </c>
      <c r="EL13" s="35" t="str">
        <f t="shared" si="24"/>
        <v/>
      </c>
      <c r="EM13" s="35" t="str">
        <f t="shared" si="24"/>
        <v/>
      </c>
      <c r="EN13" s="35" t="str">
        <f t="shared" si="24"/>
        <v/>
      </c>
      <c r="EO13" s="35" t="str">
        <f t="shared" si="24"/>
        <v/>
      </c>
      <c r="EP13" s="35" t="str">
        <f t="shared" si="24"/>
        <v/>
      </c>
      <c r="EQ13" s="35" t="str">
        <f t="shared" si="25"/>
        <v/>
      </c>
      <c r="ER13" s="35" t="str">
        <f t="shared" si="25"/>
        <v/>
      </c>
      <c r="ES13" s="35" t="str">
        <f t="shared" si="25"/>
        <v/>
      </c>
      <c r="ET13" s="35" t="str">
        <f t="shared" si="25"/>
        <v/>
      </c>
      <c r="EU13" s="35" t="str">
        <f t="shared" si="25"/>
        <v/>
      </c>
      <c r="EV13" s="35" t="str">
        <f t="shared" si="25"/>
        <v/>
      </c>
      <c r="EW13" s="35" t="str">
        <f t="shared" si="25"/>
        <v/>
      </c>
      <c r="EX13" s="35" t="str">
        <f t="shared" si="25"/>
        <v/>
      </c>
      <c r="EY13" s="35" t="str">
        <f t="shared" si="25"/>
        <v/>
      </c>
      <c r="EZ13" s="35" t="str">
        <f t="shared" si="25"/>
        <v/>
      </c>
      <c r="FA13" s="35" t="str">
        <f t="shared" si="26"/>
        <v/>
      </c>
      <c r="FB13" s="35" t="str">
        <f t="shared" si="26"/>
        <v/>
      </c>
      <c r="FC13" s="35" t="str">
        <f t="shared" si="26"/>
        <v/>
      </c>
      <c r="FD13" s="35" t="str">
        <f t="shared" si="26"/>
        <v/>
      </c>
      <c r="FE13" s="35" t="str">
        <f t="shared" si="26"/>
        <v/>
      </c>
      <c r="FF13" s="35" t="str">
        <f t="shared" si="26"/>
        <v/>
      </c>
      <c r="FG13" s="35" t="str">
        <f t="shared" si="26"/>
        <v/>
      </c>
      <c r="FH13" s="35" t="str">
        <f t="shared" si="26"/>
        <v/>
      </c>
      <c r="FI13" s="35" t="str">
        <f t="shared" si="26"/>
        <v/>
      </c>
      <c r="FJ13" s="35" t="str">
        <f t="shared" si="26"/>
        <v/>
      </c>
      <c r="FK13" s="35" t="str">
        <f t="shared" si="27"/>
        <v/>
      </c>
      <c r="FL13" s="35" t="str">
        <f t="shared" si="27"/>
        <v/>
      </c>
      <c r="FM13" s="35" t="str">
        <f t="shared" si="27"/>
        <v/>
      </c>
      <c r="FN13" s="35" t="str">
        <f t="shared" si="27"/>
        <v/>
      </c>
      <c r="FO13" s="35" t="str">
        <f t="shared" si="27"/>
        <v/>
      </c>
      <c r="FP13" s="35" t="str">
        <f t="shared" si="27"/>
        <v/>
      </c>
      <c r="FQ13" s="35" t="str">
        <f t="shared" si="27"/>
        <v/>
      </c>
      <c r="FR13" s="35" t="str">
        <f t="shared" si="27"/>
        <v/>
      </c>
      <c r="FS13" s="35" t="str">
        <f t="shared" si="27"/>
        <v/>
      </c>
      <c r="FT13" s="35" t="str">
        <f t="shared" si="27"/>
        <v/>
      </c>
      <c r="FU13" s="35" t="str">
        <f t="shared" si="28"/>
        <v/>
      </c>
      <c r="FV13" s="35" t="str">
        <f t="shared" si="28"/>
        <v/>
      </c>
      <c r="FW13" s="35" t="str">
        <f t="shared" si="28"/>
        <v/>
      </c>
      <c r="FX13" s="35" t="str">
        <f t="shared" si="28"/>
        <v/>
      </c>
      <c r="FY13" s="35" t="str">
        <f t="shared" si="28"/>
        <v/>
      </c>
      <c r="FZ13" s="35" t="str">
        <f t="shared" si="28"/>
        <v/>
      </c>
      <c r="GA13" s="35" t="str">
        <f t="shared" si="28"/>
        <v/>
      </c>
      <c r="GB13" s="35" t="str">
        <f t="shared" si="28"/>
        <v/>
      </c>
      <c r="GC13" s="35" t="str">
        <f t="shared" si="28"/>
        <v/>
      </c>
      <c r="GD13" s="35" t="str">
        <f t="shared" si="28"/>
        <v/>
      </c>
      <c r="GE13" s="35" t="str">
        <f t="shared" si="29"/>
        <v/>
      </c>
      <c r="GF13" s="35" t="str">
        <f t="shared" si="29"/>
        <v/>
      </c>
      <c r="GG13" s="35" t="str">
        <f t="shared" si="29"/>
        <v/>
      </c>
      <c r="GH13" s="35" t="str">
        <f t="shared" si="29"/>
        <v/>
      </c>
      <c r="GI13" s="35" t="str">
        <f t="shared" si="29"/>
        <v/>
      </c>
      <c r="GJ13" s="35" t="str">
        <f t="shared" si="29"/>
        <v/>
      </c>
      <c r="GK13" s="35" t="str">
        <f t="shared" si="29"/>
        <v/>
      </c>
      <c r="GL13" s="35" t="str">
        <f t="shared" si="29"/>
        <v/>
      </c>
      <c r="GM13" s="35" t="str">
        <f t="shared" si="29"/>
        <v/>
      </c>
      <c r="GN13" s="35" t="str">
        <f t="shared" si="29"/>
        <v/>
      </c>
      <c r="GO13" s="35" t="str">
        <f t="shared" si="30"/>
        <v/>
      </c>
      <c r="GP13" s="35" t="str">
        <f t="shared" si="30"/>
        <v/>
      </c>
      <c r="GQ13" s="35" t="str">
        <f t="shared" si="30"/>
        <v/>
      </c>
      <c r="GR13" s="35" t="str">
        <f t="shared" si="30"/>
        <v/>
      </c>
      <c r="GS13" s="35" t="str">
        <f t="shared" si="30"/>
        <v/>
      </c>
      <c r="GT13" s="35" t="str">
        <f t="shared" si="30"/>
        <v/>
      </c>
      <c r="GU13" s="35" t="str">
        <f t="shared" si="30"/>
        <v/>
      </c>
      <c r="GV13" s="35" t="str">
        <f t="shared" si="30"/>
        <v/>
      </c>
      <c r="GW13" s="35" t="str">
        <f t="shared" si="30"/>
        <v/>
      </c>
      <c r="GX13" s="35" t="str">
        <f t="shared" si="30"/>
        <v/>
      </c>
      <c r="GY13" s="35" t="str">
        <f t="shared" si="31"/>
        <v/>
      </c>
      <c r="GZ13" s="35" t="str">
        <f t="shared" si="31"/>
        <v/>
      </c>
      <c r="HA13" s="35" t="str">
        <f t="shared" si="31"/>
        <v/>
      </c>
      <c r="HB13" s="35" t="str">
        <f t="shared" si="31"/>
        <v/>
      </c>
      <c r="HC13" s="35" t="str">
        <f t="shared" si="31"/>
        <v/>
      </c>
      <c r="HD13" s="35" t="str">
        <f t="shared" si="31"/>
        <v/>
      </c>
      <c r="HE13" s="35" t="str">
        <f t="shared" si="31"/>
        <v/>
      </c>
      <c r="HF13" s="35" t="str">
        <f t="shared" si="31"/>
        <v/>
      </c>
      <c r="HG13" s="35" t="str">
        <f t="shared" si="31"/>
        <v/>
      </c>
      <c r="HH13" s="35" t="str">
        <f t="shared" si="31"/>
        <v/>
      </c>
      <c r="HI13" s="35" t="str">
        <f t="shared" si="32"/>
        <v/>
      </c>
      <c r="HJ13" s="35" t="str">
        <f t="shared" si="32"/>
        <v/>
      </c>
      <c r="HK13" s="35" t="str">
        <f t="shared" si="32"/>
        <v/>
      </c>
      <c r="HL13" s="35" t="str">
        <f t="shared" si="32"/>
        <v/>
      </c>
      <c r="HM13" s="35" t="str">
        <f t="shared" si="32"/>
        <v/>
      </c>
      <c r="HN13" s="35" t="str">
        <f t="shared" si="32"/>
        <v/>
      </c>
      <c r="HO13" s="35" t="str">
        <f t="shared" si="32"/>
        <v/>
      </c>
      <c r="HP13" s="35" t="str">
        <f t="shared" si="32"/>
        <v/>
      </c>
      <c r="HQ13" s="35" t="str">
        <f t="shared" si="32"/>
        <v/>
      </c>
      <c r="HR13" s="35" t="str">
        <f t="shared" si="32"/>
        <v/>
      </c>
      <c r="HS13" s="35" t="str">
        <f t="shared" si="33"/>
        <v/>
      </c>
      <c r="HT13" s="35" t="str">
        <f t="shared" si="33"/>
        <v/>
      </c>
      <c r="HU13" s="35" t="str">
        <f t="shared" si="33"/>
        <v/>
      </c>
      <c r="HV13" s="35" t="str">
        <f t="shared" si="33"/>
        <v/>
      </c>
      <c r="HW13" s="35" t="str">
        <f t="shared" si="33"/>
        <v/>
      </c>
      <c r="HX13" s="35" t="str">
        <f t="shared" si="33"/>
        <v/>
      </c>
      <c r="HY13" s="35" t="str">
        <f t="shared" si="33"/>
        <v/>
      </c>
      <c r="HZ13" s="35" t="str">
        <f t="shared" si="33"/>
        <v/>
      </c>
      <c r="IA13" s="35" t="str">
        <f t="shared" si="33"/>
        <v/>
      </c>
      <c r="IB13" s="35" t="str">
        <f t="shared" si="33"/>
        <v/>
      </c>
      <c r="IC13" s="35" t="str">
        <f t="shared" si="34"/>
        <v/>
      </c>
      <c r="ID13" s="35" t="str">
        <f t="shared" si="34"/>
        <v/>
      </c>
      <c r="IE13" s="35" t="str">
        <f t="shared" si="34"/>
        <v/>
      </c>
      <c r="IF13" s="35" t="str">
        <f t="shared" si="34"/>
        <v/>
      </c>
      <c r="IG13" s="35" t="str">
        <f t="shared" si="34"/>
        <v/>
      </c>
      <c r="IH13" s="35" t="str">
        <f t="shared" si="34"/>
        <v/>
      </c>
      <c r="II13" s="35" t="str">
        <f t="shared" si="34"/>
        <v/>
      </c>
      <c r="IJ13" s="35" t="str">
        <f t="shared" si="34"/>
        <v/>
      </c>
      <c r="IK13" s="35" t="str">
        <f t="shared" si="34"/>
        <v/>
      </c>
      <c r="IL13" s="35" t="str">
        <f t="shared" si="34"/>
        <v/>
      </c>
      <c r="IM13" s="35" t="str">
        <f t="shared" si="35"/>
        <v/>
      </c>
      <c r="IN13" s="35" t="str">
        <f t="shared" si="35"/>
        <v/>
      </c>
      <c r="IO13" s="35" t="str">
        <f t="shared" si="35"/>
        <v/>
      </c>
      <c r="IP13" s="35" t="str">
        <f t="shared" si="35"/>
        <v/>
      </c>
      <c r="IQ13" s="35" t="str">
        <f t="shared" si="35"/>
        <v/>
      </c>
      <c r="IR13" s="35" t="str">
        <f t="shared" si="35"/>
        <v/>
      </c>
      <c r="IS13" s="35" t="str">
        <f t="shared" si="35"/>
        <v/>
      </c>
      <c r="IT13" s="35" t="str">
        <f t="shared" si="35"/>
        <v/>
      </c>
      <c r="IU13" s="35" t="str">
        <f t="shared" si="35"/>
        <v/>
      </c>
      <c r="IV13" s="35" t="str">
        <f t="shared" si="35"/>
        <v/>
      </c>
      <c r="IW13" s="35" t="str">
        <f t="shared" si="36"/>
        <v/>
      </c>
      <c r="IX13" s="35" t="str">
        <f t="shared" si="36"/>
        <v/>
      </c>
      <c r="IY13" s="35" t="str">
        <f t="shared" si="36"/>
        <v/>
      </c>
      <c r="IZ13" s="35" t="str">
        <f t="shared" si="36"/>
        <v/>
      </c>
      <c r="JA13" s="35" t="str">
        <f t="shared" si="36"/>
        <v/>
      </c>
      <c r="JB13" s="35" t="str">
        <f t="shared" si="36"/>
        <v/>
      </c>
      <c r="JC13" s="35" t="str">
        <f t="shared" si="36"/>
        <v/>
      </c>
      <c r="JD13" s="35" t="str">
        <f t="shared" si="36"/>
        <v/>
      </c>
      <c r="JE13" s="35" t="str">
        <f t="shared" si="36"/>
        <v/>
      </c>
      <c r="JF13" s="35" t="str">
        <f t="shared" si="36"/>
        <v/>
      </c>
      <c r="JG13" s="35" t="str">
        <f t="shared" si="37"/>
        <v/>
      </c>
      <c r="JH13" s="35" t="str">
        <f t="shared" si="37"/>
        <v/>
      </c>
      <c r="JI13" s="35" t="str">
        <f t="shared" si="37"/>
        <v/>
      </c>
      <c r="JJ13" s="35" t="str">
        <f t="shared" si="37"/>
        <v/>
      </c>
      <c r="JK13" s="35" t="str">
        <f t="shared" si="37"/>
        <v/>
      </c>
      <c r="JL13" s="35" t="str">
        <f t="shared" si="37"/>
        <v/>
      </c>
      <c r="JM13" s="35" t="str">
        <f t="shared" si="37"/>
        <v/>
      </c>
      <c r="JN13" s="35" t="str">
        <f t="shared" si="37"/>
        <v/>
      </c>
      <c r="JO13" s="35" t="str">
        <f t="shared" si="37"/>
        <v/>
      </c>
      <c r="JP13" s="35" t="str">
        <f t="shared" si="37"/>
        <v/>
      </c>
    </row>
    <row r="14" spans="1:276" ht="22" customHeight="1" x14ac:dyDescent="0.2">
      <c r="A14" s="32" t="s">
        <v>161</v>
      </c>
      <c r="B14" s="33">
        <f>IF(COUNT($B$35,$B$36)=0,"",MIN($B$35,$B$36))</f>
        <v>46094</v>
      </c>
      <c r="C14" s="33">
        <f>IF(COUNT($B$35,$B$36)=0,"",MAX($B$35,$B$36))</f>
        <v>46101</v>
      </c>
      <c r="D14" s="33" t="s">
        <v>162</v>
      </c>
      <c r="E14" s="34" t="str">
        <f t="shared" ca="1" si="10"/>
        <v>Done</v>
      </c>
      <c r="G14" s="35" t="str">
        <f t="shared" si="11"/>
        <v/>
      </c>
      <c r="H14" s="35" t="str">
        <f t="shared" si="11"/>
        <v/>
      </c>
      <c r="I14" s="35" t="str">
        <f t="shared" si="11"/>
        <v/>
      </c>
      <c r="J14" s="35" t="str">
        <f t="shared" si="11"/>
        <v/>
      </c>
      <c r="K14" s="35" t="str">
        <f t="shared" si="11"/>
        <v/>
      </c>
      <c r="L14" s="35" t="str">
        <f t="shared" si="11"/>
        <v/>
      </c>
      <c r="M14" s="35" t="str">
        <f t="shared" si="11"/>
        <v/>
      </c>
      <c r="N14" s="35" t="str">
        <f t="shared" si="11"/>
        <v/>
      </c>
      <c r="O14" s="35" t="str">
        <f t="shared" si="11"/>
        <v/>
      </c>
      <c r="P14" s="35" t="str">
        <f t="shared" si="11"/>
        <v/>
      </c>
      <c r="Q14" s="35" t="str">
        <f t="shared" si="12"/>
        <v/>
      </c>
      <c r="R14" s="35" t="str">
        <f t="shared" si="12"/>
        <v/>
      </c>
      <c r="S14" s="35" t="str">
        <f t="shared" si="12"/>
        <v/>
      </c>
      <c r="T14" s="35" t="str">
        <f t="shared" si="12"/>
        <v/>
      </c>
      <c r="U14" s="35" t="str">
        <f t="shared" si="12"/>
        <v/>
      </c>
      <c r="V14" s="35" t="str">
        <f t="shared" si="12"/>
        <v/>
      </c>
      <c r="W14" s="35" t="str">
        <f t="shared" si="12"/>
        <v/>
      </c>
      <c r="X14" s="35" t="str">
        <f t="shared" si="12"/>
        <v/>
      </c>
      <c r="Y14" s="35" t="str">
        <f t="shared" si="12"/>
        <v/>
      </c>
      <c r="Z14" s="35" t="str">
        <f t="shared" si="12"/>
        <v/>
      </c>
      <c r="AA14" s="35" t="str">
        <f t="shared" si="13"/>
        <v/>
      </c>
      <c r="AB14" s="35" t="str">
        <f t="shared" si="13"/>
        <v/>
      </c>
      <c r="AC14" s="35" t="str">
        <f t="shared" si="13"/>
        <v/>
      </c>
      <c r="AD14" s="35" t="str">
        <f t="shared" si="13"/>
        <v/>
      </c>
      <c r="AE14" s="35" t="str">
        <f t="shared" si="13"/>
        <v/>
      </c>
      <c r="AF14" s="35" t="str">
        <f t="shared" si="13"/>
        <v/>
      </c>
      <c r="AG14" s="35" t="str">
        <f t="shared" si="13"/>
        <v/>
      </c>
      <c r="AH14" s="35" t="str">
        <f t="shared" si="13"/>
        <v/>
      </c>
      <c r="AI14" s="35" t="str">
        <f t="shared" si="13"/>
        <v/>
      </c>
      <c r="AJ14" s="35" t="str">
        <f t="shared" si="13"/>
        <v/>
      </c>
      <c r="AK14" s="35" t="str">
        <f t="shared" si="14"/>
        <v/>
      </c>
      <c r="AL14" s="35" t="str">
        <f t="shared" si="14"/>
        <v/>
      </c>
      <c r="AM14" s="35" t="str">
        <f t="shared" si="14"/>
        <v/>
      </c>
      <c r="AN14" s="35" t="str">
        <f t="shared" si="14"/>
        <v/>
      </c>
      <c r="AO14" s="35" t="str">
        <f t="shared" si="14"/>
        <v/>
      </c>
      <c r="AP14" s="35" t="str">
        <f t="shared" si="14"/>
        <v/>
      </c>
      <c r="AQ14" s="35" t="str">
        <f t="shared" si="14"/>
        <v/>
      </c>
      <c r="AR14" s="35" t="str">
        <f t="shared" si="14"/>
        <v/>
      </c>
      <c r="AS14" s="35" t="str">
        <f t="shared" si="14"/>
        <v/>
      </c>
      <c r="AT14" s="35" t="str">
        <f t="shared" si="14"/>
        <v/>
      </c>
      <c r="AU14" s="35">
        <f t="shared" si="15"/>
        <v>1</v>
      </c>
      <c r="AV14" s="35">
        <f t="shared" si="15"/>
        <v>1</v>
      </c>
      <c r="AW14" s="35">
        <f t="shared" si="15"/>
        <v>1</v>
      </c>
      <c r="AX14" s="35">
        <f t="shared" si="15"/>
        <v>1</v>
      </c>
      <c r="AY14" s="35">
        <f t="shared" si="15"/>
        <v>1</v>
      </c>
      <c r="AZ14" s="35">
        <f t="shared" si="15"/>
        <v>1</v>
      </c>
      <c r="BA14" s="35">
        <f t="shared" si="15"/>
        <v>1</v>
      </c>
      <c r="BB14" s="35">
        <f t="shared" si="15"/>
        <v>1</v>
      </c>
      <c r="BC14" s="35" t="str">
        <f t="shared" si="15"/>
        <v/>
      </c>
      <c r="BD14" s="35" t="str">
        <f t="shared" si="15"/>
        <v/>
      </c>
      <c r="BE14" s="35" t="str">
        <f t="shared" si="16"/>
        <v/>
      </c>
      <c r="BF14" s="35" t="str">
        <f t="shared" si="16"/>
        <v/>
      </c>
      <c r="BG14" s="35" t="str">
        <f t="shared" si="16"/>
        <v/>
      </c>
      <c r="BH14" s="35" t="str">
        <f t="shared" si="16"/>
        <v/>
      </c>
      <c r="BI14" s="35" t="str">
        <f t="shared" si="16"/>
        <v/>
      </c>
      <c r="BJ14" s="35" t="str">
        <f t="shared" si="16"/>
        <v/>
      </c>
      <c r="BK14" s="35" t="str">
        <f t="shared" si="16"/>
        <v/>
      </c>
      <c r="BL14" s="35" t="str">
        <f t="shared" si="16"/>
        <v/>
      </c>
      <c r="BM14" s="35" t="str">
        <f t="shared" si="16"/>
        <v/>
      </c>
      <c r="BN14" s="35" t="str">
        <f t="shared" si="16"/>
        <v/>
      </c>
      <c r="BO14" s="35" t="str">
        <f t="shared" si="17"/>
        <v/>
      </c>
      <c r="BP14" s="35" t="str">
        <f t="shared" si="17"/>
        <v/>
      </c>
      <c r="BQ14" s="35" t="str">
        <f t="shared" si="17"/>
        <v/>
      </c>
      <c r="BR14" s="35" t="str">
        <f t="shared" si="17"/>
        <v/>
      </c>
      <c r="BS14" s="35" t="str">
        <f t="shared" si="17"/>
        <v/>
      </c>
      <c r="BT14" s="35" t="str">
        <f t="shared" si="17"/>
        <v/>
      </c>
      <c r="BU14" s="35" t="str">
        <f t="shared" si="17"/>
        <v/>
      </c>
      <c r="BV14" s="35" t="str">
        <f t="shared" si="17"/>
        <v/>
      </c>
      <c r="BW14" s="35" t="str">
        <f t="shared" si="17"/>
        <v/>
      </c>
      <c r="BX14" s="35" t="str">
        <f t="shared" si="17"/>
        <v/>
      </c>
      <c r="BY14" s="35" t="str">
        <f t="shared" si="18"/>
        <v/>
      </c>
      <c r="BZ14" s="35" t="str">
        <f t="shared" si="18"/>
        <v/>
      </c>
      <c r="CA14" s="35" t="str">
        <f t="shared" si="18"/>
        <v/>
      </c>
      <c r="CB14" s="35" t="str">
        <f t="shared" si="18"/>
        <v/>
      </c>
      <c r="CC14" s="35" t="str">
        <f t="shared" si="18"/>
        <v/>
      </c>
      <c r="CD14" s="35" t="str">
        <f t="shared" si="18"/>
        <v/>
      </c>
      <c r="CE14" s="35" t="str">
        <f t="shared" si="18"/>
        <v/>
      </c>
      <c r="CF14" s="35" t="str">
        <f t="shared" si="18"/>
        <v/>
      </c>
      <c r="CG14" s="35" t="str">
        <f t="shared" si="18"/>
        <v/>
      </c>
      <c r="CH14" s="35" t="str">
        <f t="shared" si="18"/>
        <v/>
      </c>
      <c r="CI14" s="35" t="str">
        <f t="shared" si="19"/>
        <v/>
      </c>
      <c r="CJ14" s="35" t="str">
        <f t="shared" si="19"/>
        <v/>
      </c>
      <c r="CK14" s="35" t="str">
        <f t="shared" si="19"/>
        <v/>
      </c>
      <c r="CL14" s="35" t="str">
        <f t="shared" si="19"/>
        <v/>
      </c>
      <c r="CM14" s="35" t="str">
        <f t="shared" si="19"/>
        <v/>
      </c>
      <c r="CN14" s="35" t="str">
        <f t="shared" si="19"/>
        <v/>
      </c>
      <c r="CO14" s="35" t="str">
        <f t="shared" si="19"/>
        <v/>
      </c>
      <c r="CP14" s="35" t="str">
        <f t="shared" si="19"/>
        <v/>
      </c>
      <c r="CQ14" s="35" t="str">
        <f t="shared" si="19"/>
        <v/>
      </c>
      <c r="CR14" s="35" t="str">
        <f t="shared" si="19"/>
        <v/>
      </c>
      <c r="CS14" s="35" t="str">
        <f t="shared" si="20"/>
        <v/>
      </c>
      <c r="CT14" s="35" t="str">
        <f t="shared" si="20"/>
        <v/>
      </c>
      <c r="CU14" s="35" t="str">
        <f t="shared" si="20"/>
        <v/>
      </c>
      <c r="CV14" s="35" t="str">
        <f t="shared" si="20"/>
        <v/>
      </c>
      <c r="CW14" s="35" t="str">
        <f t="shared" si="20"/>
        <v/>
      </c>
      <c r="CX14" s="35" t="str">
        <f t="shared" si="20"/>
        <v/>
      </c>
      <c r="CY14" s="35" t="str">
        <f t="shared" si="20"/>
        <v/>
      </c>
      <c r="CZ14" s="35" t="str">
        <f t="shared" si="20"/>
        <v/>
      </c>
      <c r="DA14" s="35" t="str">
        <f t="shared" si="20"/>
        <v/>
      </c>
      <c r="DB14" s="35" t="str">
        <f t="shared" si="20"/>
        <v/>
      </c>
      <c r="DC14" s="35" t="str">
        <f t="shared" si="21"/>
        <v/>
      </c>
      <c r="DD14" s="35" t="str">
        <f t="shared" si="21"/>
        <v/>
      </c>
      <c r="DE14" s="35" t="str">
        <f t="shared" si="21"/>
        <v/>
      </c>
      <c r="DF14" s="35" t="str">
        <f t="shared" si="21"/>
        <v/>
      </c>
      <c r="DG14" s="35" t="str">
        <f t="shared" si="21"/>
        <v/>
      </c>
      <c r="DH14" s="35" t="str">
        <f t="shared" si="21"/>
        <v/>
      </c>
      <c r="DI14" s="35" t="str">
        <f t="shared" si="21"/>
        <v/>
      </c>
      <c r="DJ14" s="35" t="str">
        <f t="shared" si="21"/>
        <v/>
      </c>
      <c r="DK14" s="35" t="str">
        <f t="shared" si="21"/>
        <v/>
      </c>
      <c r="DL14" s="35" t="str">
        <f t="shared" si="21"/>
        <v/>
      </c>
      <c r="DM14" s="35" t="str">
        <f t="shared" si="22"/>
        <v/>
      </c>
      <c r="DN14" s="35" t="str">
        <f t="shared" si="22"/>
        <v/>
      </c>
      <c r="DO14" s="35" t="str">
        <f t="shared" si="22"/>
        <v/>
      </c>
      <c r="DP14" s="35" t="str">
        <f t="shared" si="22"/>
        <v/>
      </c>
      <c r="DQ14" s="35" t="str">
        <f t="shared" si="22"/>
        <v/>
      </c>
      <c r="DR14" s="35" t="str">
        <f t="shared" si="22"/>
        <v/>
      </c>
      <c r="DS14" s="35" t="str">
        <f t="shared" si="22"/>
        <v/>
      </c>
      <c r="DT14" s="35" t="str">
        <f t="shared" si="22"/>
        <v/>
      </c>
      <c r="DU14" s="35" t="str">
        <f t="shared" si="22"/>
        <v/>
      </c>
      <c r="DV14" s="35" t="str">
        <f t="shared" si="22"/>
        <v/>
      </c>
      <c r="DW14" s="35" t="str">
        <f t="shared" si="23"/>
        <v/>
      </c>
      <c r="DX14" s="35" t="str">
        <f t="shared" si="23"/>
        <v/>
      </c>
      <c r="DY14" s="35" t="str">
        <f t="shared" si="23"/>
        <v/>
      </c>
      <c r="DZ14" s="35" t="str">
        <f t="shared" si="23"/>
        <v/>
      </c>
      <c r="EA14" s="35" t="str">
        <f t="shared" si="23"/>
        <v/>
      </c>
      <c r="EB14" s="35" t="str">
        <f t="shared" si="23"/>
        <v/>
      </c>
      <c r="EC14" s="35" t="str">
        <f t="shared" si="23"/>
        <v/>
      </c>
      <c r="ED14" s="35" t="str">
        <f t="shared" si="23"/>
        <v/>
      </c>
      <c r="EE14" s="35" t="str">
        <f t="shared" si="23"/>
        <v/>
      </c>
      <c r="EF14" s="35" t="str">
        <f t="shared" si="23"/>
        <v/>
      </c>
      <c r="EG14" s="35" t="str">
        <f t="shared" si="24"/>
        <v/>
      </c>
      <c r="EH14" s="35" t="str">
        <f t="shared" si="24"/>
        <v/>
      </c>
      <c r="EI14" s="35" t="str">
        <f t="shared" si="24"/>
        <v/>
      </c>
      <c r="EJ14" s="35" t="str">
        <f t="shared" si="24"/>
        <v/>
      </c>
      <c r="EK14" s="35" t="str">
        <f t="shared" si="24"/>
        <v/>
      </c>
      <c r="EL14" s="35" t="str">
        <f t="shared" si="24"/>
        <v/>
      </c>
      <c r="EM14" s="35" t="str">
        <f t="shared" si="24"/>
        <v/>
      </c>
      <c r="EN14" s="35" t="str">
        <f t="shared" si="24"/>
        <v/>
      </c>
      <c r="EO14" s="35" t="str">
        <f t="shared" si="24"/>
        <v/>
      </c>
      <c r="EP14" s="35" t="str">
        <f t="shared" si="24"/>
        <v/>
      </c>
      <c r="EQ14" s="35" t="str">
        <f t="shared" si="25"/>
        <v/>
      </c>
      <c r="ER14" s="35" t="str">
        <f t="shared" si="25"/>
        <v/>
      </c>
      <c r="ES14" s="35" t="str">
        <f t="shared" si="25"/>
        <v/>
      </c>
      <c r="ET14" s="35" t="str">
        <f t="shared" si="25"/>
        <v/>
      </c>
      <c r="EU14" s="35" t="str">
        <f t="shared" si="25"/>
        <v/>
      </c>
      <c r="EV14" s="35" t="str">
        <f t="shared" si="25"/>
        <v/>
      </c>
      <c r="EW14" s="35" t="str">
        <f t="shared" si="25"/>
        <v/>
      </c>
      <c r="EX14" s="35" t="str">
        <f t="shared" si="25"/>
        <v/>
      </c>
      <c r="EY14" s="35" t="str">
        <f t="shared" si="25"/>
        <v/>
      </c>
      <c r="EZ14" s="35" t="str">
        <f t="shared" si="25"/>
        <v/>
      </c>
      <c r="FA14" s="35" t="str">
        <f t="shared" si="26"/>
        <v/>
      </c>
      <c r="FB14" s="35" t="str">
        <f t="shared" si="26"/>
        <v/>
      </c>
      <c r="FC14" s="35" t="str">
        <f t="shared" si="26"/>
        <v/>
      </c>
      <c r="FD14" s="35" t="str">
        <f t="shared" si="26"/>
        <v/>
      </c>
      <c r="FE14" s="35" t="str">
        <f t="shared" si="26"/>
        <v/>
      </c>
      <c r="FF14" s="35" t="str">
        <f t="shared" si="26"/>
        <v/>
      </c>
      <c r="FG14" s="35" t="str">
        <f t="shared" si="26"/>
        <v/>
      </c>
      <c r="FH14" s="35" t="str">
        <f t="shared" si="26"/>
        <v/>
      </c>
      <c r="FI14" s="35" t="str">
        <f t="shared" si="26"/>
        <v/>
      </c>
      <c r="FJ14" s="35" t="str">
        <f t="shared" si="26"/>
        <v/>
      </c>
      <c r="FK14" s="35" t="str">
        <f t="shared" si="27"/>
        <v/>
      </c>
      <c r="FL14" s="35" t="str">
        <f t="shared" si="27"/>
        <v/>
      </c>
      <c r="FM14" s="35" t="str">
        <f t="shared" si="27"/>
        <v/>
      </c>
      <c r="FN14" s="35" t="str">
        <f t="shared" si="27"/>
        <v/>
      </c>
      <c r="FO14" s="35" t="str">
        <f t="shared" si="27"/>
        <v/>
      </c>
      <c r="FP14" s="35" t="str">
        <f t="shared" si="27"/>
        <v/>
      </c>
      <c r="FQ14" s="35" t="str">
        <f t="shared" si="27"/>
        <v/>
      </c>
      <c r="FR14" s="35" t="str">
        <f t="shared" si="27"/>
        <v/>
      </c>
      <c r="FS14" s="35" t="str">
        <f t="shared" si="27"/>
        <v/>
      </c>
      <c r="FT14" s="35" t="str">
        <f t="shared" si="27"/>
        <v/>
      </c>
      <c r="FU14" s="35" t="str">
        <f t="shared" si="28"/>
        <v/>
      </c>
      <c r="FV14" s="35" t="str">
        <f t="shared" si="28"/>
        <v/>
      </c>
      <c r="FW14" s="35" t="str">
        <f t="shared" si="28"/>
        <v/>
      </c>
      <c r="FX14" s="35" t="str">
        <f t="shared" si="28"/>
        <v/>
      </c>
      <c r="FY14" s="35" t="str">
        <f t="shared" si="28"/>
        <v/>
      </c>
      <c r="FZ14" s="35" t="str">
        <f t="shared" si="28"/>
        <v/>
      </c>
      <c r="GA14" s="35" t="str">
        <f t="shared" si="28"/>
        <v/>
      </c>
      <c r="GB14" s="35" t="str">
        <f t="shared" si="28"/>
        <v/>
      </c>
      <c r="GC14" s="35" t="str">
        <f t="shared" si="28"/>
        <v/>
      </c>
      <c r="GD14" s="35" t="str">
        <f t="shared" si="28"/>
        <v/>
      </c>
      <c r="GE14" s="35" t="str">
        <f t="shared" si="29"/>
        <v/>
      </c>
      <c r="GF14" s="35" t="str">
        <f t="shared" si="29"/>
        <v/>
      </c>
      <c r="GG14" s="35" t="str">
        <f t="shared" si="29"/>
        <v/>
      </c>
      <c r="GH14" s="35" t="str">
        <f t="shared" si="29"/>
        <v/>
      </c>
      <c r="GI14" s="35" t="str">
        <f t="shared" si="29"/>
        <v/>
      </c>
      <c r="GJ14" s="35" t="str">
        <f t="shared" si="29"/>
        <v/>
      </c>
      <c r="GK14" s="35" t="str">
        <f t="shared" si="29"/>
        <v/>
      </c>
      <c r="GL14" s="35" t="str">
        <f t="shared" si="29"/>
        <v/>
      </c>
      <c r="GM14" s="35" t="str">
        <f t="shared" si="29"/>
        <v/>
      </c>
      <c r="GN14" s="35" t="str">
        <f t="shared" si="29"/>
        <v/>
      </c>
      <c r="GO14" s="35" t="str">
        <f t="shared" si="30"/>
        <v/>
      </c>
      <c r="GP14" s="35" t="str">
        <f t="shared" si="30"/>
        <v/>
      </c>
      <c r="GQ14" s="35" t="str">
        <f t="shared" si="30"/>
        <v/>
      </c>
      <c r="GR14" s="35" t="str">
        <f t="shared" si="30"/>
        <v/>
      </c>
      <c r="GS14" s="35" t="str">
        <f t="shared" si="30"/>
        <v/>
      </c>
      <c r="GT14" s="35" t="str">
        <f t="shared" si="30"/>
        <v/>
      </c>
      <c r="GU14" s="35" t="str">
        <f t="shared" si="30"/>
        <v/>
      </c>
      <c r="GV14" s="35" t="str">
        <f t="shared" si="30"/>
        <v/>
      </c>
      <c r="GW14" s="35" t="str">
        <f t="shared" si="30"/>
        <v/>
      </c>
      <c r="GX14" s="35" t="str">
        <f t="shared" si="30"/>
        <v/>
      </c>
      <c r="GY14" s="35" t="str">
        <f t="shared" si="31"/>
        <v/>
      </c>
      <c r="GZ14" s="35" t="str">
        <f t="shared" si="31"/>
        <v/>
      </c>
      <c r="HA14" s="35" t="str">
        <f t="shared" si="31"/>
        <v/>
      </c>
      <c r="HB14" s="35" t="str">
        <f t="shared" si="31"/>
        <v/>
      </c>
      <c r="HC14" s="35" t="str">
        <f t="shared" si="31"/>
        <v/>
      </c>
      <c r="HD14" s="35" t="str">
        <f t="shared" si="31"/>
        <v/>
      </c>
      <c r="HE14" s="35" t="str">
        <f t="shared" si="31"/>
        <v/>
      </c>
      <c r="HF14" s="35" t="str">
        <f t="shared" si="31"/>
        <v/>
      </c>
      <c r="HG14" s="35" t="str">
        <f t="shared" si="31"/>
        <v/>
      </c>
      <c r="HH14" s="35" t="str">
        <f t="shared" si="31"/>
        <v/>
      </c>
      <c r="HI14" s="35" t="str">
        <f t="shared" si="32"/>
        <v/>
      </c>
      <c r="HJ14" s="35" t="str">
        <f t="shared" si="32"/>
        <v/>
      </c>
      <c r="HK14" s="35" t="str">
        <f t="shared" si="32"/>
        <v/>
      </c>
      <c r="HL14" s="35" t="str">
        <f t="shared" si="32"/>
        <v/>
      </c>
      <c r="HM14" s="35" t="str">
        <f t="shared" si="32"/>
        <v/>
      </c>
      <c r="HN14" s="35" t="str">
        <f t="shared" si="32"/>
        <v/>
      </c>
      <c r="HO14" s="35" t="str">
        <f t="shared" si="32"/>
        <v/>
      </c>
      <c r="HP14" s="35" t="str">
        <f t="shared" si="32"/>
        <v/>
      </c>
      <c r="HQ14" s="35" t="str">
        <f t="shared" si="32"/>
        <v/>
      </c>
      <c r="HR14" s="35" t="str">
        <f t="shared" si="32"/>
        <v/>
      </c>
      <c r="HS14" s="35" t="str">
        <f t="shared" si="33"/>
        <v/>
      </c>
      <c r="HT14" s="35" t="str">
        <f t="shared" si="33"/>
        <v/>
      </c>
      <c r="HU14" s="35" t="str">
        <f t="shared" si="33"/>
        <v/>
      </c>
      <c r="HV14" s="35" t="str">
        <f t="shared" si="33"/>
        <v/>
      </c>
      <c r="HW14" s="35" t="str">
        <f t="shared" si="33"/>
        <v/>
      </c>
      <c r="HX14" s="35" t="str">
        <f t="shared" si="33"/>
        <v/>
      </c>
      <c r="HY14" s="35" t="str">
        <f t="shared" si="33"/>
        <v/>
      </c>
      <c r="HZ14" s="35" t="str">
        <f t="shared" si="33"/>
        <v/>
      </c>
      <c r="IA14" s="35" t="str">
        <f t="shared" si="33"/>
        <v/>
      </c>
      <c r="IB14" s="35" t="str">
        <f t="shared" si="33"/>
        <v/>
      </c>
      <c r="IC14" s="35" t="str">
        <f t="shared" si="34"/>
        <v/>
      </c>
      <c r="ID14" s="35" t="str">
        <f t="shared" si="34"/>
        <v/>
      </c>
      <c r="IE14" s="35" t="str">
        <f t="shared" si="34"/>
        <v/>
      </c>
      <c r="IF14" s="35" t="str">
        <f t="shared" si="34"/>
        <v/>
      </c>
      <c r="IG14" s="35" t="str">
        <f t="shared" si="34"/>
        <v/>
      </c>
      <c r="IH14" s="35" t="str">
        <f t="shared" si="34"/>
        <v/>
      </c>
      <c r="II14" s="35" t="str">
        <f t="shared" si="34"/>
        <v/>
      </c>
      <c r="IJ14" s="35" t="str">
        <f t="shared" si="34"/>
        <v/>
      </c>
      <c r="IK14" s="35" t="str">
        <f t="shared" si="34"/>
        <v/>
      </c>
      <c r="IL14" s="35" t="str">
        <f t="shared" si="34"/>
        <v/>
      </c>
      <c r="IM14" s="35" t="str">
        <f t="shared" si="35"/>
        <v/>
      </c>
      <c r="IN14" s="35" t="str">
        <f t="shared" si="35"/>
        <v/>
      </c>
      <c r="IO14" s="35" t="str">
        <f t="shared" si="35"/>
        <v/>
      </c>
      <c r="IP14" s="35" t="str">
        <f t="shared" si="35"/>
        <v/>
      </c>
      <c r="IQ14" s="35" t="str">
        <f t="shared" si="35"/>
        <v/>
      </c>
      <c r="IR14" s="35" t="str">
        <f t="shared" si="35"/>
        <v/>
      </c>
      <c r="IS14" s="35" t="str">
        <f t="shared" si="35"/>
        <v/>
      </c>
      <c r="IT14" s="35" t="str">
        <f t="shared" si="35"/>
        <v/>
      </c>
      <c r="IU14" s="35" t="str">
        <f t="shared" si="35"/>
        <v/>
      </c>
      <c r="IV14" s="35" t="str">
        <f t="shared" si="35"/>
        <v/>
      </c>
      <c r="IW14" s="35" t="str">
        <f t="shared" si="36"/>
        <v/>
      </c>
      <c r="IX14" s="35" t="str">
        <f t="shared" si="36"/>
        <v/>
      </c>
      <c r="IY14" s="35" t="str">
        <f t="shared" si="36"/>
        <v/>
      </c>
      <c r="IZ14" s="35" t="str">
        <f t="shared" si="36"/>
        <v/>
      </c>
      <c r="JA14" s="35" t="str">
        <f t="shared" si="36"/>
        <v/>
      </c>
      <c r="JB14" s="35" t="str">
        <f t="shared" si="36"/>
        <v/>
      </c>
      <c r="JC14" s="35" t="str">
        <f t="shared" si="36"/>
        <v/>
      </c>
      <c r="JD14" s="35" t="str">
        <f t="shared" si="36"/>
        <v/>
      </c>
      <c r="JE14" s="35" t="str">
        <f t="shared" si="36"/>
        <v/>
      </c>
      <c r="JF14" s="35" t="str">
        <f t="shared" si="36"/>
        <v/>
      </c>
      <c r="JG14" s="35" t="str">
        <f t="shared" si="37"/>
        <v/>
      </c>
      <c r="JH14" s="35" t="str">
        <f t="shared" si="37"/>
        <v/>
      </c>
      <c r="JI14" s="35" t="str">
        <f t="shared" si="37"/>
        <v/>
      </c>
      <c r="JJ14" s="35" t="str">
        <f t="shared" si="37"/>
        <v/>
      </c>
      <c r="JK14" s="35" t="str">
        <f t="shared" si="37"/>
        <v/>
      </c>
      <c r="JL14" s="35" t="str">
        <f t="shared" si="37"/>
        <v/>
      </c>
      <c r="JM14" s="35" t="str">
        <f t="shared" si="37"/>
        <v/>
      </c>
      <c r="JN14" s="35" t="str">
        <f t="shared" si="37"/>
        <v/>
      </c>
      <c r="JO14" s="35" t="str">
        <f t="shared" si="37"/>
        <v/>
      </c>
      <c r="JP14" s="35" t="str">
        <f t="shared" si="37"/>
        <v/>
      </c>
    </row>
    <row r="15" spans="1:276" ht="22" customHeight="1" x14ac:dyDescent="0.2">
      <c r="A15" s="32" t="s">
        <v>163</v>
      </c>
      <c r="B15" s="33">
        <f>IF(COUNT($B$37,$B$38)=0,"",MIN($B$37,$B$38))</f>
        <v>46097</v>
      </c>
      <c r="C15" s="33">
        <f>IF(COUNT($B$37,$B$38)=0,"",MAX($B$37,$B$38))</f>
        <v>46104</v>
      </c>
      <c r="D15" s="33" t="s">
        <v>164</v>
      </c>
      <c r="E15" s="34" t="str">
        <f t="shared" ca="1" si="10"/>
        <v>Done</v>
      </c>
      <c r="G15" s="35" t="str">
        <f t="shared" si="11"/>
        <v/>
      </c>
      <c r="H15" s="35" t="str">
        <f t="shared" si="11"/>
        <v/>
      </c>
      <c r="I15" s="35" t="str">
        <f t="shared" si="11"/>
        <v/>
      </c>
      <c r="J15" s="35" t="str">
        <f t="shared" si="11"/>
        <v/>
      </c>
      <c r="K15" s="35" t="str">
        <f t="shared" si="11"/>
        <v/>
      </c>
      <c r="L15" s="35" t="str">
        <f t="shared" si="11"/>
        <v/>
      </c>
      <c r="M15" s="35" t="str">
        <f t="shared" si="11"/>
        <v/>
      </c>
      <c r="N15" s="35" t="str">
        <f t="shared" si="11"/>
        <v/>
      </c>
      <c r="O15" s="35" t="str">
        <f t="shared" si="11"/>
        <v/>
      </c>
      <c r="P15" s="35" t="str">
        <f t="shared" si="11"/>
        <v/>
      </c>
      <c r="Q15" s="35" t="str">
        <f t="shared" si="12"/>
        <v/>
      </c>
      <c r="R15" s="35" t="str">
        <f t="shared" si="12"/>
        <v/>
      </c>
      <c r="S15" s="35" t="str">
        <f t="shared" si="12"/>
        <v/>
      </c>
      <c r="T15" s="35" t="str">
        <f t="shared" si="12"/>
        <v/>
      </c>
      <c r="U15" s="35" t="str">
        <f t="shared" si="12"/>
        <v/>
      </c>
      <c r="V15" s="35" t="str">
        <f t="shared" si="12"/>
        <v/>
      </c>
      <c r="W15" s="35" t="str">
        <f t="shared" si="12"/>
        <v/>
      </c>
      <c r="X15" s="35" t="str">
        <f t="shared" si="12"/>
        <v/>
      </c>
      <c r="Y15" s="35" t="str">
        <f t="shared" si="12"/>
        <v/>
      </c>
      <c r="Z15" s="35" t="str">
        <f t="shared" si="12"/>
        <v/>
      </c>
      <c r="AA15" s="35" t="str">
        <f t="shared" si="13"/>
        <v/>
      </c>
      <c r="AB15" s="35" t="str">
        <f t="shared" si="13"/>
        <v/>
      </c>
      <c r="AC15" s="35" t="str">
        <f t="shared" si="13"/>
        <v/>
      </c>
      <c r="AD15" s="35" t="str">
        <f t="shared" si="13"/>
        <v/>
      </c>
      <c r="AE15" s="35" t="str">
        <f t="shared" si="13"/>
        <v/>
      </c>
      <c r="AF15" s="35" t="str">
        <f t="shared" si="13"/>
        <v/>
      </c>
      <c r="AG15" s="35" t="str">
        <f t="shared" si="13"/>
        <v/>
      </c>
      <c r="AH15" s="35" t="str">
        <f t="shared" si="13"/>
        <v/>
      </c>
      <c r="AI15" s="35" t="str">
        <f t="shared" si="13"/>
        <v/>
      </c>
      <c r="AJ15" s="35" t="str">
        <f t="shared" si="13"/>
        <v/>
      </c>
      <c r="AK15" s="35" t="str">
        <f t="shared" si="14"/>
        <v/>
      </c>
      <c r="AL15" s="35" t="str">
        <f t="shared" si="14"/>
        <v/>
      </c>
      <c r="AM15" s="35" t="str">
        <f t="shared" si="14"/>
        <v/>
      </c>
      <c r="AN15" s="35" t="str">
        <f t="shared" si="14"/>
        <v/>
      </c>
      <c r="AO15" s="35" t="str">
        <f t="shared" si="14"/>
        <v/>
      </c>
      <c r="AP15" s="35" t="str">
        <f t="shared" si="14"/>
        <v/>
      </c>
      <c r="AQ15" s="35" t="str">
        <f t="shared" si="14"/>
        <v/>
      </c>
      <c r="AR15" s="35" t="str">
        <f t="shared" si="14"/>
        <v/>
      </c>
      <c r="AS15" s="35" t="str">
        <f t="shared" si="14"/>
        <v/>
      </c>
      <c r="AT15" s="35" t="str">
        <f t="shared" si="14"/>
        <v/>
      </c>
      <c r="AU15" s="35" t="str">
        <f t="shared" si="15"/>
        <v/>
      </c>
      <c r="AV15" s="35" t="str">
        <f t="shared" si="15"/>
        <v/>
      </c>
      <c r="AW15" s="35" t="str">
        <f t="shared" si="15"/>
        <v/>
      </c>
      <c r="AX15" s="35">
        <f t="shared" si="15"/>
        <v>1</v>
      </c>
      <c r="AY15" s="35">
        <f t="shared" si="15"/>
        <v>1</v>
      </c>
      <c r="AZ15" s="35">
        <f t="shared" si="15"/>
        <v>1</v>
      </c>
      <c r="BA15" s="35">
        <f t="shared" si="15"/>
        <v>1</v>
      </c>
      <c r="BB15" s="35">
        <f t="shared" si="15"/>
        <v>1</v>
      </c>
      <c r="BC15" s="35">
        <f t="shared" si="15"/>
        <v>1</v>
      </c>
      <c r="BD15" s="35">
        <f t="shared" si="15"/>
        <v>1</v>
      </c>
      <c r="BE15" s="35">
        <f t="shared" si="16"/>
        <v>1</v>
      </c>
      <c r="BF15" s="35" t="str">
        <f t="shared" si="16"/>
        <v/>
      </c>
      <c r="BG15" s="35" t="str">
        <f t="shared" si="16"/>
        <v/>
      </c>
      <c r="BH15" s="35" t="str">
        <f t="shared" si="16"/>
        <v/>
      </c>
      <c r="BI15" s="35" t="str">
        <f t="shared" si="16"/>
        <v/>
      </c>
      <c r="BJ15" s="35" t="str">
        <f t="shared" si="16"/>
        <v/>
      </c>
      <c r="BK15" s="35" t="str">
        <f t="shared" si="16"/>
        <v/>
      </c>
      <c r="BL15" s="35" t="str">
        <f t="shared" si="16"/>
        <v/>
      </c>
      <c r="BM15" s="35" t="str">
        <f t="shared" si="16"/>
        <v/>
      </c>
      <c r="BN15" s="35" t="str">
        <f t="shared" si="16"/>
        <v/>
      </c>
      <c r="BO15" s="35" t="str">
        <f t="shared" si="17"/>
        <v/>
      </c>
      <c r="BP15" s="35" t="str">
        <f t="shared" si="17"/>
        <v/>
      </c>
      <c r="BQ15" s="35" t="str">
        <f t="shared" si="17"/>
        <v/>
      </c>
      <c r="BR15" s="35" t="str">
        <f t="shared" si="17"/>
        <v/>
      </c>
      <c r="BS15" s="35" t="str">
        <f t="shared" si="17"/>
        <v/>
      </c>
      <c r="BT15" s="35" t="str">
        <f t="shared" si="17"/>
        <v/>
      </c>
      <c r="BU15" s="35" t="str">
        <f t="shared" si="17"/>
        <v/>
      </c>
      <c r="BV15" s="35" t="str">
        <f t="shared" si="17"/>
        <v/>
      </c>
      <c r="BW15" s="35" t="str">
        <f t="shared" si="17"/>
        <v/>
      </c>
      <c r="BX15" s="35" t="str">
        <f t="shared" si="17"/>
        <v/>
      </c>
      <c r="BY15" s="35" t="str">
        <f t="shared" si="18"/>
        <v/>
      </c>
      <c r="BZ15" s="35" t="str">
        <f t="shared" si="18"/>
        <v/>
      </c>
      <c r="CA15" s="35" t="str">
        <f t="shared" si="18"/>
        <v/>
      </c>
      <c r="CB15" s="35" t="str">
        <f t="shared" si="18"/>
        <v/>
      </c>
      <c r="CC15" s="35" t="str">
        <f t="shared" si="18"/>
        <v/>
      </c>
      <c r="CD15" s="35" t="str">
        <f t="shared" si="18"/>
        <v/>
      </c>
      <c r="CE15" s="35" t="str">
        <f t="shared" si="18"/>
        <v/>
      </c>
      <c r="CF15" s="35" t="str">
        <f t="shared" si="18"/>
        <v/>
      </c>
      <c r="CG15" s="35" t="str">
        <f t="shared" si="18"/>
        <v/>
      </c>
      <c r="CH15" s="35" t="str">
        <f t="shared" si="18"/>
        <v/>
      </c>
      <c r="CI15" s="35" t="str">
        <f t="shared" si="19"/>
        <v/>
      </c>
      <c r="CJ15" s="35" t="str">
        <f t="shared" si="19"/>
        <v/>
      </c>
      <c r="CK15" s="35" t="str">
        <f t="shared" si="19"/>
        <v/>
      </c>
      <c r="CL15" s="35" t="str">
        <f t="shared" si="19"/>
        <v/>
      </c>
      <c r="CM15" s="35" t="str">
        <f t="shared" si="19"/>
        <v/>
      </c>
      <c r="CN15" s="35" t="str">
        <f t="shared" si="19"/>
        <v/>
      </c>
      <c r="CO15" s="35" t="str">
        <f t="shared" si="19"/>
        <v/>
      </c>
      <c r="CP15" s="35" t="str">
        <f t="shared" si="19"/>
        <v/>
      </c>
      <c r="CQ15" s="35" t="str">
        <f t="shared" si="19"/>
        <v/>
      </c>
      <c r="CR15" s="35" t="str">
        <f t="shared" si="19"/>
        <v/>
      </c>
      <c r="CS15" s="35" t="str">
        <f t="shared" si="20"/>
        <v/>
      </c>
      <c r="CT15" s="35" t="str">
        <f t="shared" si="20"/>
        <v/>
      </c>
      <c r="CU15" s="35" t="str">
        <f t="shared" si="20"/>
        <v/>
      </c>
      <c r="CV15" s="35" t="str">
        <f t="shared" si="20"/>
        <v/>
      </c>
      <c r="CW15" s="35" t="str">
        <f t="shared" si="20"/>
        <v/>
      </c>
      <c r="CX15" s="35" t="str">
        <f t="shared" si="20"/>
        <v/>
      </c>
      <c r="CY15" s="35" t="str">
        <f t="shared" si="20"/>
        <v/>
      </c>
      <c r="CZ15" s="35" t="str">
        <f t="shared" si="20"/>
        <v/>
      </c>
      <c r="DA15" s="35" t="str">
        <f t="shared" si="20"/>
        <v/>
      </c>
      <c r="DB15" s="35" t="str">
        <f t="shared" si="20"/>
        <v/>
      </c>
      <c r="DC15" s="35" t="str">
        <f t="shared" si="21"/>
        <v/>
      </c>
      <c r="DD15" s="35" t="str">
        <f t="shared" si="21"/>
        <v/>
      </c>
      <c r="DE15" s="35" t="str">
        <f t="shared" si="21"/>
        <v/>
      </c>
      <c r="DF15" s="35" t="str">
        <f t="shared" si="21"/>
        <v/>
      </c>
      <c r="DG15" s="35" t="str">
        <f t="shared" si="21"/>
        <v/>
      </c>
      <c r="DH15" s="35" t="str">
        <f t="shared" si="21"/>
        <v/>
      </c>
      <c r="DI15" s="35" t="str">
        <f t="shared" si="21"/>
        <v/>
      </c>
      <c r="DJ15" s="35" t="str">
        <f t="shared" si="21"/>
        <v/>
      </c>
      <c r="DK15" s="35" t="str">
        <f t="shared" si="21"/>
        <v/>
      </c>
      <c r="DL15" s="35" t="str">
        <f t="shared" si="21"/>
        <v/>
      </c>
      <c r="DM15" s="35" t="str">
        <f t="shared" si="22"/>
        <v/>
      </c>
      <c r="DN15" s="35" t="str">
        <f t="shared" si="22"/>
        <v/>
      </c>
      <c r="DO15" s="35" t="str">
        <f t="shared" si="22"/>
        <v/>
      </c>
      <c r="DP15" s="35" t="str">
        <f t="shared" si="22"/>
        <v/>
      </c>
      <c r="DQ15" s="35" t="str">
        <f t="shared" si="22"/>
        <v/>
      </c>
      <c r="DR15" s="35" t="str">
        <f t="shared" si="22"/>
        <v/>
      </c>
      <c r="DS15" s="35" t="str">
        <f t="shared" si="22"/>
        <v/>
      </c>
      <c r="DT15" s="35" t="str">
        <f t="shared" si="22"/>
        <v/>
      </c>
      <c r="DU15" s="35" t="str">
        <f t="shared" si="22"/>
        <v/>
      </c>
      <c r="DV15" s="35" t="str">
        <f t="shared" si="22"/>
        <v/>
      </c>
      <c r="DW15" s="35" t="str">
        <f t="shared" si="23"/>
        <v/>
      </c>
      <c r="DX15" s="35" t="str">
        <f t="shared" si="23"/>
        <v/>
      </c>
      <c r="DY15" s="35" t="str">
        <f t="shared" si="23"/>
        <v/>
      </c>
      <c r="DZ15" s="35" t="str">
        <f t="shared" si="23"/>
        <v/>
      </c>
      <c r="EA15" s="35" t="str">
        <f t="shared" si="23"/>
        <v/>
      </c>
      <c r="EB15" s="35" t="str">
        <f t="shared" si="23"/>
        <v/>
      </c>
      <c r="EC15" s="35" t="str">
        <f t="shared" si="23"/>
        <v/>
      </c>
      <c r="ED15" s="35" t="str">
        <f t="shared" si="23"/>
        <v/>
      </c>
      <c r="EE15" s="35" t="str">
        <f t="shared" si="23"/>
        <v/>
      </c>
      <c r="EF15" s="35" t="str">
        <f t="shared" si="23"/>
        <v/>
      </c>
      <c r="EG15" s="35" t="str">
        <f t="shared" si="24"/>
        <v/>
      </c>
      <c r="EH15" s="35" t="str">
        <f t="shared" si="24"/>
        <v/>
      </c>
      <c r="EI15" s="35" t="str">
        <f t="shared" si="24"/>
        <v/>
      </c>
      <c r="EJ15" s="35" t="str">
        <f t="shared" si="24"/>
        <v/>
      </c>
      <c r="EK15" s="35" t="str">
        <f t="shared" si="24"/>
        <v/>
      </c>
      <c r="EL15" s="35" t="str">
        <f t="shared" si="24"/>
        <v/>
      </c>
      <c r="EM15" s="35" t="str">
        <f t="shared" si="24"/>
        <v/>
      </c>
      <c r="EN15" s="35" t="str">
        <f t="shared" si="24"/>
        <v/>
      </c>
      <c r="EO15" s="35" t="str">
        <f t="shared" si="24"/>
        <v/>
      </c>
      <c r="EP15" s="35" t="str">
        <f t="shared" si="24"/>
        <v/>
      </c>
      <c r="EQ15" s="35" t="str">
        <f t="shared" si="25"/>
        <v/>
      </c>
      <c r="ER15" s="35" t="str">
        <f t="shared" si="25"/>
        <v/>
      </c>
      <c r="ES15" s="35" t="str">
        <f t="shared" si="25"/>
        <v/>
      </c>
      <c r="ET15" s="35" t="str">
        <f t="shared" si="25"/>
        <v/>
      </c>
      <c r="EU15" s="35" t="str">
        <f t="shared" si="25"/>
        <v/>
      </c>
      <c r="EV15" s="35" t="str">
        <f t="shared" si="25"/>
        <v/>
      </c>
      <c r="EW15" s="35" t="str">
        <f t="shared" si="25"/>
        <v/>
      </c>
      <c r="EX15" s="35" t="str">
        <f t="shared" si="25"/>
        <v/>
      </c>
      <c r="EY15" s="35" t="str">
        <f t="shared" si="25"/>
        <v/>
      </c>
      <c r="EZ15" s="35" t="str">
        <f t="shared" si="25"/>
        <v/>
      </c>
      <c r="FA15" s="35" t="str">
        <f t="shared" si="26"/>
        <v/>
      </c>
      <c r="FB15" s="35" t="str">
        <f t="shared" si="26"/>
        <v/>
      </c>
      <c r="FC15" s="35" t="str">
        <f t="shared" si="26"/>
        <v/>
      </c>
      <c r="FD15" s="35" t="str">
        <f t="shared" si="26"/>
        <v/>
      </c>
      <c r="FE15" s="35" t="str">
        <f t="shared" si="26"/>
        <v/>
      </c>
      <c r="FF15" s="35" t="str">
        <f t="shared" si="26"/>
        <v/>
      </c>
      <c r="FG15" s="35" t="str">
        <f t="shared" si="26"/>
        <v/>
      </c>
      <c r="FH15" s="35" t="str">
        <f t="shared" si="26"/>
        <v/>
      </c>
      <c r="FI15" s="35" t="str">
        <f t="shared" si="26"/>
        <v/>
      </c>
      <c r="FJ15" s="35" t="str">
        <f t="shared" si="26"/>
        <v/>
      </c>
      <c r="FK15" s="35" t="str">
        <f t="shared" si="27"/>
        <v/>
      </c>
      <c r="FL15" s="35" t="str">
        <f t="shared" si="27"/>
        <v/>
      </c>
      <c r="FM15" s="35" t="str">
        <f t="shared" si="27"/>
        <v/>
      </c>
      <c r="FN15" s="35" t="str">
        <f t="shared" si="27"/>
        <v/>
      </c>
      <c r="FO15" s="35" t="str">
        <f t="shared" si="27"/>
        <v/>
      </c>
      <c r="FP15" s="35" t="str">
        <f t="shared" si="27"/>
        <v/>
      </c>
      <c r="FQ15" s="35" t="str">
        <f t="shared" si="27"/>
        <v/>
      </c>
      <c r="FR15" s="35" t="str">
        <f t="shared" si="27"/>
        <v/>
      </c>
      <c r="FS15" s="35" t="str">
        <f t="shared" si="27"/>
        <v/>
      </c>
      <c r="FT15" s="35" t="str">
        <f t="shared" si="27"/>
        <v/>
      </c>
      <c r="FU15" s="35" t="str">
        <f t="shared" si="28"/>
        <v/>
      </c>
      <c r="FV15" s="35" t="str">
        <f t="shared" si="28"/>
        <v/>
      </c>
      <c r="FW15" s="35" t="str">
        <f t="shared" si="28"/>
        <v/>
      </c>
      <c r="FX15" s="35" t="str">
        <f t="shared" si="28"/>
        <v/>
      </c>
      <c r="FY15" s="35" t="str">
        <f t="shared" si="28"/>
        <v/>
      </c>
      <c r="FZ15" s="35" t="str">
        <f t="shared" si="28"/>
        <v/>
      </c>
      <c r="GA15" s="35" t="str">
        <f t="shared" si="28"/>
        <v/>
      </c>
      <c r="GB15" s="35" t="str">
        <f t="shared" si="28"/>
        <v/>
      </c>
      <c r="GC15" s="35" t="str">
        <f t="shared" si="28"/>
        <v/>
      </c>
      <c r="GD15" s="35" t="str">
        <f t="shared" si="28"/>
        <v/>
      </c>
      <c r="GE15" s="35" t="str">
        <f t="shared" si="29"/>
        <v/>
      </c>
      <c r="GF15" s="35" t="str">
        <f t="shared" si="29"/>
        <v/>
      </c>
      <c r="GG15" s="35" t="str">
        <f t="shared" si="29"/>
        <v/>
      </c>
      <c r="GH15" s="35" t="str">
        <f t="shared" si="29"/>
        <v/>
      </c>
      <c r="GI15" s="35" t="str">
        <f t="shared" si="29"/>
        <v/>
      </c>
      <c r="GJ15" s="35" t="str">
        <f t="shared" si="29"/>
        <v/>
      </c>
      <c r="GK15" s="35" t="str">
        <f t="shared" si="29"/>
        <v/>
      </c>
      <c r="GL15" s="35" t="str">
        <f t="shared" si="29"/>
        <v/>
      </c>
      <c r="GM15" s="35" t="str">
        <f t="shared" si="29"/>
        <v/>
      </c>
      <c r="GN15" s="35" t="str">
        <f t="shared" si="29"/>
        <v/>
      </c>
      <c r="GO15" s="35" t="str">
        <f t="shared" si="30"/>
        <v/>
      </c>
      <c r="GP15" s="35" t="str">
        <f t="shared" si="30"/>
        <v/>
      </c>
      <c r="GQ15" s="35" t="str">
        <f t="shared" si="30"/>
        <v/>
      </c>
      <c r="GR15" s="35" t="str">
        <f t="shared" si="30"/>
        <v/>
      </c>
      <c r="GS15" s="35" t="str">
        <f t="shared" si="30"/>
        <v/>
      </c>
      <c r="GT15" s="35" t="str">
        <f t="shared" si="30"/>
        <v/>
      </c>
      <c r="GU15" s="35" t="str">
        <f t="shared" si="30"/>
        <v/>
      </c>
      <c r="GV15" s="35" t="str">
        <f t="shared" si="30"/>
        <v/>
      </c>
      <c r="GW15" s="35" t="str">
        <f t="shared" si="30"/>
        <v/>
      </c>
      <c r="GX15" s="35" t="str">
        <f t="shared" si="30"/>
        <v/>
      </c>
      <c r="GY15" s="35" t="str">
        <f t="shared" si="31"/>
        <v/>
      </c>
      <c r="GZ15" s="35" t="str">
        <f t="shared" si="31"/>
        <v/>
      </c>
      <c r="HA15" s="35" t="str">
        <f t="shared" si="31"/>
        <v/>
      </c>
      <c r="HB15" s="35" t="str">
        <f t="shared" si="31"/>
        <v/>
      </c>
      <c r="HC15" s="35" t="str">
        <f t="shared" si="31"/>
        <v/>
      </c>
      <c r="HD15" s="35" t="str">
        <f t="shared" si="31"/>
        <v/>
      </c>
      <c r="HE15" s="35" t="str">
        <f t="shared" si="31"/>
        <v/>
      </c>
      <c r="HF15" s="35" t="str">
        <f t="shared" si="31"/>
        <v/>
      </c>
      <c r="HG15" s="35" t="str">
        <f t="shared" si="31"/>
        <v/>
      </c>
      <c r="HH15" s="35" t="str">
        <f t="shared" si="31"/>
        <v/>
      </c>
      <c r="HI15" s="35" t="str">
        <f t="shared" si="32"/>
        <v/>
      </c>
      <c r="HJ15" s="35" t="str">
        <f t="shared" si="32"/>
        <v/>
      </c>
      <c r="HK15" s="35" t="str">
        <f t="shared" si="32"/>
        <v/>
      </c>
      <c r="HL15" s="35" t="str">
        <f t="shared" si="32"/>
        <v/>
      </c>
      <c r="HM15" s="35" t="str">
        <f t="shared" si="32"/>
        <v/>
      </c>
      <c r="HN15" s="35" t="str">
        <f t="shared" si="32"/>
        <v/>
      </c>
      <c r="HO15" s="35" t="str">
        <f t="shared" si="32"/>
        <v/>
      </c>
      <c r="HP15" s="35" t="str">
        <f t="shared" si="32"/>
        <v/>
      </c>
      <c r="HQ15" s="35" t="str">
        <f t="shared" si="32"/>
        <v/>
      </c>
      <c r="HR15" s="35" t="str">
        <f t="shared" si="32"/>
        <v/>
      </c>
      <c r="HS15" s="35" t="str">
        <f t="shared" si="33"/>
        <v/>
      </c>
      <c r="HT15" s="35" t="str">
        <f t="shared" si="33"/>
        <v/>
      </c>
      <c r="HU15" s="35" t="str">
        <f t="shared" si="33"/>
        <v/>
      </c>
      <c r="HV15" s="35" t="str">
        <f t="shared" si="33"/>
        <v/>
      </c>
      <c r="HW15" s="35" t="str">
        <f t="shared" si="33"/>
        <v/>
      </c>
      <c r="HX15" s="35" t="str">
        <f t="shared" si="33"/>
        <v/>
      </c>
      <c r="HY15" s="35" t="str">
        <f t="shared" si="33"/>
        <v/>
      </c>
      <c r="HZ15" s="35" t="str">
        <f t="shared" si="33"/>
        <v/>
      </c>
      <c r="IA15" s="35" t="str">
        <f t="shared" si="33"/>
        <v/>
      </c>
      <c r="IB15" s="35" t="str">
        <f t="shared" si="33"/>
        <v/>
      </c>
      <c r="IC15" s="35" t="str">
        <f t="shared" si="34"/>
        <v/>
      </c>
      <c r="ID15" s="35" t="str">
        <f t="shared" si="34"/>
        <v/>
      </c>
      <c r="IE15" s="35" t="str">
        <f t="shared" si="34"/>
        <v/>
      </c>
      <c r="IF15" s="35" t="str">
        <f t="shared" si="34"/>
        <v/>
      </c>
      <c r="IG15" s="35" t="str">
        <f t="shared" si="34"/>
        <v/>
      </c>
      <c r="IH15" s="35" t="str">
        <f t="shared" si="34"/>
        <v/>
      </c>
      <c r="II15" s="35" t="str">
        <f t="shared" si="34"/>
        <v/>
      </c>
      <c r="IJ15" s="35" t="str">
        <f t="shared" si="34"/>
        <v/>
      </c>
      <c r="IK15" s="35" t="str">
        <f t="shared" si="34"/>
        <v/>
      </c>
      <c r="IL15" s="35" t="str">
        <f t="shared" si="34"/>
        <v/>
      </c>
      <c r="IM15" s="35" t="str">
        <f t="shared" si="35"/>
        <v/>
      </c>
      <c r="IN15" s="35" t="str">
        <f t="shared" si="35"/>
        <v/>
      </c>
      <c r="IO15" s="35" t="str">
        <f t="shared" si="35"/>
        <v/>
      </c>
      <c r="IP15" s="35" t="str">
        <f t="shared" si="35"/>
        <v/>
      </c>
      <c r="IQ15" s="35" t="str">
        <f t="shared" si="35"/>
        <v/>
      </c>
      <c r="IR15" s="35" t="str">
        <f t="shared" si="35"/>
        <v/>
      </c>
      <c r="IS15" s="35" t="str">
        <f t="shared" si="35"/>
        <v/>
      </c>
      <c r="IT15" s="35" t="str">
        <f t="shared" si="35"/>
        <v/>
      </c>
      <c r="IU15" s="35" t="str">
        <f t="shared" si="35"/>
        <v/>
      </c>
      <c r="IV15" s="35" t="str">
        <f t="shared" si="35"/>
        <v/>
      </c>
      <c r="IW15" s="35" t="str">
        <f t="shared" si="36"/>
        <v/>
      </c>
      <c r="IX15" s="35" t="str">
        <f t="shared" si="36"/>
        <v/>
      </c>
      <c r="IY15" s="35" t="str">
        <f t="shared" si="36"/>
        <v/>
      </c>
      <c r="IZ15" s="35" t="str">
        <f t="shared" si="36"/>
        <v/>
      </c>
      <c r="JA15" s="35" t="str">
        <f t="shared" si="36"/>
        <v/>
      </c>
      <c r="JB15" s="35" t="str">
        <f t="shared" si="36"/>
        <v/>
      </c>
      <c r="JC15" s="35" t="str">
        <f t="shared" si="36"/>
        <v/>
      </c>
      <c r="JD15" s="35" t="str">
        <f t="shared" si="36"/>
        <v/>
      </c>
      <c r="JE15" s="35" t="str">
        <f t="shared" si="36"/>
        <v/>
      </c>
      <c r="JF15" s="35" t="str">
        <f t="shared" si="36"/>
        <v/>
      </c>
      <c r="JG15" s="35" t="str">
        <f t="shared" si="37"/>
        <v/>
      </c>
      <c r="JH15" s="35" t="str">
        <f t="shared" si="37"/>
        <v/>
      </c>
      <c r="JI15" s="35" t="str">
        <f t="shared" si="37"/>
        <v/>
      </c>
      <c r="JJ15" s="35" t="str">
        <f t="shared" si="37"/>
        <v/>
      </c>
      <c r="JK15" s="35" t="str">
        <f t="shared" si="37"/>
        <v/>
      </c>
      <c r="JL15" s="35" t="str">
        <f t="shared" si="37"/>
        <v/>
      </c>
      <c r="JM15" s="35" t="str">
        <f t="shared" si="37"/>
        <v/>
      </c>
      <c r="JN15" s="35" t="str">
        <f t="shared" si="37"/>
        <v/>
      </c>
      <c r="JO15" s="35" t="str">
        <f t="shared" si="37"/>
        <v/>
      </c>
      <c r="JP15" s="35" t="str">
        <f t="shared" si="37"/>
        <v/>
      </c>
    </row>
    <row r="16" spans="1:276" ht="22" customHeight="1" x14ac:dyDescent="0.2">
      <c r="A16" s="32" t="s">
        <v>165</v>
      </c>
      <c r="B16" s="33">
        <f>IF($B$38="","",$B$38)</f>
        <v>46104</v>
      </c>
      <c r="C16" s="33">
        <f>IF($B$39="","",$B$39)</f>
        <v>46244</v>
      </c>
      <c r="D16" s="33" t="s">
        <v>166</v>
      </c>
      <c r="E16" s="34" t="str">
        <f t="shared" ca="1" si="10"/>
        <v>Done</v>
      </c>
      <c r="G16" s="35" t="str">
        <f t="shared" si="11"/>
        <v/>
      </c>
      <c r="H16" s="35" t="str">
        <f t="shared" si="11"/>
        <v/>
      </c>
      <c r="I16" s="35" t="str">
        <f t="shared" si="11"/>
        <v/>
      </c>
      <c r="J16" s="35" t="str">
        <f t="shared" si="11"/>
        <v/>
      </c>
      <c r="K16" s="35" t="str">
        <f t="shared" si="11"/>
        <v/>
      </c>
      <c r="L16" s="35" t="str">
        <f t="shared" si="11"/>
        <v/>
      </c>
      <c r="M16" s="35" t="str">
        <f t="shared" si="11"/>
        <v/>
      </c>
      <c r="N16" s="35" t="str">
        <f t="shared" si="11"/>
        <v/>
      </c>
      <c r="O16" s="35" t="str">
        <f t="shared" si="11"/>
        <v/>
      </c>
      <c r="P16" s="35" t="str">
        <f t="shared" si="11"/>
        <v/>
      </c>
      <c r="Q16" s="35" t="str">
        <f t="shared" si="12"/>
        <v/>
      </c>
      <c r="R16" s="35" t="str">
        <f t="shared" si="12"/>
        <v/>
      </c>
      <c r="S16" s="35" t="str">
        <f t="shared" si="12"/>
        <v/>
      </c>
      <c r="T16" s="35" t="str">
        <f t="shared" si="12"/>
        <v/>
      </c>
      <c r="U16" s="35" t="str">
        <f t="shared" si="12"/>
        <v/>
      </c>
      <c r="V16" s="35" t="str">
        <f t="shared" si="12"/>
        <v/>
      </c>
      <c r="W16" s="35" t="str">
        <f t="shared" si="12"/>
        <v/>
      </c>
      <c r="X16" s="35" t="str">
        <f t="shared" si="12"/>
        <v/>
      </c>
      <c r="Y16" s="35" t="str">
        <f t="shared" si="12"/>
        <v/>
      </c>
      <c r="Z16" s="35" t="str">
        <f t="shared" si="12"/>
        <v/>
      </c>
      <c r="AA16" s="35" t="str">
        <f t="shared" si="13"/>
        <v/>
      </c>
      <c r="AB16" s="35" t="str">
        <f t="shared" si="13"/>
        <v/>
      </c>
      <c r="AC16" s="35" t="str">
        <f t="shared" si="13"/>
        <v/>
      </c>
      <c r="AD16" s="35" t="str">
        <f t="shared" si="13"/>
        <v/>
      </c>
      <c r="AE16" s="35" t="str">
        <f t="shared" si="13"/>
        <v/>
      </c>
      <c r="AF16" s="35" t="str">
        <f t="shared" si="13"/>
        <v/>
      </c>
      <c r="AG16" s="35" t="str">
        <f t="shared" si="13"/>
        <v/>
      </c>
      <c r="AH16" s="35" t="str">
        <f t="shared" si="13"/>
        <v/>
      </c>
      <c r="AI16" s="35" t="str">
        <f t="shared" si="13"/>
        <v/>
      </c>
      <c r="AJ16" s="35" t="str">
        <f t="shared" si="13"/>
        <v/>
      </c>
      <c r="AK16" s="35" t="str">
        <f t="shared" si="14"/>
        <v/>
      </c>
      <c r="AL16" s="35" t="str">
        <f t="shared" si="14"/>
        <v/>
      </c>
      <c r="AM16" s="35" t="str">
        <f t="shared" si="14"/>
        <v/>
      </c>
      <c r="AN16" s="35" t="str">
        <f t="shared" si="14"/>
        <v/>
      </c>
      <c r="AO16" s="35" t="str">
        <f t="shared" si="14"/>
        <v/>
      </c>
      <c r="AP16" s="35" t="str">
        <f t="shared" si="14"/>
        <v/>
      </c>
      <c r="AQ16" s="35" t="str">
        <f t="shared" si="14"/>
        <v/>
      </c>
      <c r="AR16" s="35" t="str">
        <f t="shared" si="14"/>
        <v/>
      </c>
      <c r="AS16" s="35" t="str">
        <f t="shared" si="14"/>
        <v/>
      </c>
      <c r="AT16" s="35" t="str">
        <f t="shared" si="14"/>
        <v/>
      </c>
      <c r="AU16" s="35" t="str">
        <f t="shared" si="15"/>
        <v/>
      </c>
      <c r="AV16" s="35" t="str">
        <f t="shared" si="15"/>
        <v/>
      </c>
      <c r="AW16" s="35" t="str">
        <f t="shared" si="15"/>
        <v/>
      </c>
      <c r="AX16" s="35" t="str">
        <f t="shared" si="15"/>
        <v/>
      </c>
      <c r="AY16" s="35" t="str">
        <f t="shared" si="15"/>
        <v/>
      </c>
      <c r="AZ16" s="35" t="str">
        <f t="shared" si="15"/>
        <v/>
      </c>
      <c r="BA16" s="35" t="str">
        <f t="shared" si="15"/>
        <v/>
      </c>
      <c r="BB16" s="35" t="str">
        <f t="shared" si="15"/>
        <v/>
      </c>
      <c r="BC16" s="35" t="str">
        <f t="shared" si="15"/>
        <v/>
      </c>
      <c r="BD16" s="35" t="str">
        <f t="shared" si="15"/>
        <v/>
      </c>
      <c r="BE16" s="35">
        <f t="shared" si="16"/>
        <v>1</v>
      </c>
      <c r="BF16" s="35">
        <f t="shared" si="16"/>
        <v>1</v>
      </c>
      <c r="BG16" s="35">
        <f t="shared" si="16"/>
        <v>1</v>
      </c>
      <c r="BH16" s="35">
        <f t="shared" si="16"/>
        <v>1</v>
      </c>
      <c r="BI16" s="35">
        <f t="shared" si="16"/>
        <v>1</v>
      </c>
      <c r="BJ16" s="35">
        <f t="shared" si="16"/>
        <v>1</v>
      </c>
      <c r="BK16" s="35">
        <f t="shared" si="16"/>
        <v>1</v>
      </c>
      <c r="BL16" s="35">
        <f t="shared" si="16"/>
        <v>1</v>
      </c>
      <c r="BM16" s="35">
        <f t="shared" si="16"/>
        <v>1</v>
      </c>
      <c r="BN16" s="35">
        <f t="shared" si="16"/>
        <v>1</v>
      </c>
      <c r="BO16" s="35">
        <f t="shared" si="17"/>
        <v>1</v>
      </c>
      <c r="BP16" s="35">
        <f t="shared" si="17"/>
        <v>1</v>
      </c>
      <c r="BQ16" s="35">
        <f t="shared" si="17"/>
        <v>1</v>
      </c>
      <c r="BR16" s="35">
        <f t="shared" si="17"/>
        <v>1</v>
      </c>
      <c r="BS16" s="35">
        <f t="shared" si="17"/>
        <v>1</v>
      </c>
      <c r="BT16" s="35">
        <f t="shared" si="17"/>
        <v>1</v>
      </c>
      <c r="BU16" s="35">
        <f t="shared" si="17"/>
        <v>1</v>
      </c>
      <c r="BV16" s="35">
        <f t="shared" si="17"/>
        <v>1</v>
      </c>
      <c r="BW16" s="35">
        <f t="shared" si="17"/>
        <v>1</v>
      </c>
      <c r="BX16" s="35">
        <f t="shared" si="17"/>
        <v>1</v>
      </c>
      <c r="BY16" s="35">
        <f t="shared" si="18"/>
        <v>1</v>
      </c>
      <c r="BZ16" s="35">
        <f t="shared" si="18"/>
        <v>1</v>
      </c>
      <c r="CA16" s="35">
        <f t="shared" si="18"/>
        <v>1</v>
      </c>
      <c r="CB16" s="35">
        <f t="shared" si="18"/>
        <v>1</v>
      </c>
      <c r="CC16" s="35">
        <f t="shared" si="18"/>
        <v>1</v>
      </c>
      <c r="CD16" s="35">
        <f t="shared" si="18"/>
        <v>1</v>
      </c>
      <c r="CE16" s="35">
        <f t="shared" si="18"/>
        <v>1</v>
      </c>
      <c r="CF16" s="35">
        <f t="shared" si="18"/>
        <v>1</v>
      </c>
      <c r="CG16" s="35">
        <f t="shared" si="18"/>
        <v>1</v>
      </c>
      <c r="CH16" s="35">
        <f t="shared" si="18"/>
        <v>1</v>
      </c>
      <c r="CI16" s="35">
        <f t="shared" si="19"/>
        <v>1</v>
      </c>
      <c r="CJ16" s="35">
        <f t="shared" si="19"/>
        <v>1</v>
      </c>
      <c r="CK16" s="35">
        <f t="shared" si="19"/>
        <v>1</v>
      </c>
      <c r="CL16" s="35">
        <f t="shared" si="19"/>
        <v>1</v>
      </c>
      <c r="CM16" s="35">
        <f t="shared" si="19"/>
        <v>1</v>
      </c>
      <c r="CN16" s="35">
        <f t="shared" si="19"/>
        <v>1</v>
      </c>
      <c r="CO16" s="35">
        <f t="shared" si="19"/>
        <v>1</v>
      </c>
      <c r="CP16" s="35">
        <f t="shared" si="19"/>
        <v>1</v>
      </c>
      <c r="CQ16" s="35">
        <f t="shared" si="19"/>
        <v>1</v>
      </c>
      <c r="CR16" s="35">
        <f t="shared" si="19"/>
        <v>1</v>
      </c>
      <c r="CS16" s="35">
        <f t="shared" si="20"/>
        <v>1</v>
      </c>
      <c r="CT16" s="35">
        <f t="shared" si="20"/>
        <v>1</v>
      </c>
      <c r="CU16" s="35">
        <f t="shared" si="20"/>
        <v>1</v>
      </c>
      <c r="CV16" s="35">
        <f t="shared" si="20"/>
        <v>1</v>
      </c>
      <c r="CW16" s="35">
        <f t="shared" si="20"/>
        <v>1</v>
      </c>
      <c r="CX16" s="35">
        <f t="shared" si="20"/>
        <v>1</v>
      </c>
      <c r="CY16" s="35">
        <f t="shared" si="20"/>
        <v>1</v>
      </c>
      <c r="CZ16" s="35">
        <f t="shared" si="20"/>
        <v>1</v>
      </c>
      <c r="DA16" s="35">
        <f t="shared" si="20"/>
        <v>1</v>
      </c>
      <c r="DB16" s="35">
        <f t="shared" si="20"/>
        <v>1</v>
      </c>
      <c r="DC16" s="35">
        <f t="shared" si="21"/>
        <v>1</v>
      </c>
      <c r="DD16" s="35">
        <f t="shared" si="21"/>
        <v>1</v>
      </c>
      <c r="DE16" s="35">
        <f t="shared" si="21"/>
        <v>1</v>
      </c>
      <c r="DF16" s="35">
        <f t="shared" si="21"/>
        <v>1</v>
      </c>
      <c r="DG16" s="35">
        <f t="shared" si="21"/>
        <v>1</v>
      </c>
      <c r="DH16" s="35">
        <f t="shared" si="21"/>
        <v>1</v>
      </c>
      <c r="DI16" s="35">
        <f t="shared" si="21"/>
        <v>1</v>
      </c>
      <c r="DJ16" s="35">
        <f t="shared" si="21"/>
        <v>1</v>
      </c>
      <c r="DK16" s="35">
        <f t="shared" si="21"/>
        <v>1</v>
      </c>
      <c r="DL16" s="35">
        <f t="shared" si="21"/>
        <v>1</v>
      </c>
      <c r="DM16" s="35">
        <f t="shared" si="22"/>
        <v>1</v>
      </c>
      <c r="DN16" s="35">
        <f t="shared" si="22"/>
        <v>1</v>
      </c>
      <c r="DO16" s="35">
        <f t="shared" si="22"/>
        <v>1</v>
      </c>
      <c r="DP16" s="35">
        <f t="shared" si="22"/>
        <v>1</v>
      </c>
      <c r="DQ16" s="35">
        <f t="shared" si="22"/>
        <v>1</v>
      </c>
      <c r="DR16" s="35">
        <f t="shared" si="22"/>
        <v>1</v>
      </c>
      <c r="DS16" s="35">
        <f t="shared" si="22"/>
        <v>1</v>
      </c>
      <c r="DT16" s="35">
        <f t="shared" si="22"/>
        <v>1</v>
      </c>
      <c r="DU16" s="35">
        <f t="shared" si="22"/>
        <v>1</v>
      </c>
      <c r="DV16" s="35">
        <f t="shared" si="22"/>
        <v>1</v>
      </c>
      <c r="DW16" s="35">
        <f t="shared" si="23"/>
        <v>1</v>
      </c>
      <c r="DX16" s="35">
        <f t="shared" si="23"/>
        <v>1</v>
      </c>
      <c r="DY16" s="35">
        <f t="shared" si="23"/>
        <v>1</v>
      </c>
      <c r="DZ16" s="35">
        <f t="shared" si="23"/>
        <v>1</v>
      </c>
      <c r="EA16" s="35">
        <f t="shared" si="23"/>
        <v>1</v>
      </c>
      <c r="EB16" s="35">
        <f t="shared" si="23"/>
        <v>1</v>
      </c>
      <c r="EC16" s="35">
        <f t="shared" si="23"/>
        <v>1</v>
      </c>
      <c r="ED16" s="35">
        <f t="shared" si="23"/>
        <v>1</v>
      </c>
      <c r="EE16" s="35">
        <f t="shared" si="23"/>
        <v>1</v>
      </c>
      <c r="EF16" s="35">
        <f t="shared" si="23"/>
        <v>1</v>
      </c>
      <c r="EG16" s="35">
        <f t="shared" si="24"/>
        <v>1</v>
      </c>
      <c r="EH16" s="35">
        <f t="shared" si="24"/>
        <v>1</v>
      </c>
      <c r="EI16" s="35">
        <f t="shared" si="24"/>
        <v>1</v>
      </c>
      <c r="EJ16" s="35">
        <f t="shared" si="24"/>
        <v>1</v>
      </c>
      <c r="EK16" s="35">
        <f t="shared" si="24"/>
        <v>1</v>
      </c>
      <c r="EL16" s="35">
        <f t="shared" si="24"/>
        <v>1</v>
      </c>
      <c r="EM16" s="35">
        <f t="shared" si="24"/>
        <v>1</v>
      </c>
      <c r="EN16" s="35">
        <f t="shared" si="24"/>
        <v>1</v>
      </c>
      <c r="EO16" s="35">
        <f t="shared" si="24"/>
        <v>1</v>
      </c>
      <c r="EP16" s="35">
        <f t="shared" si="24"/>
        <v>1</v>
      </c>
      <c r="EQ16" s="35">
        <f t="shared" si="25"/>
        <v>1</v>
      </c>
      <c r="ER16" s="35">
        <f t="shared" si="25"/>
        <v>1</v>
      </c>
      <c r="ES16" s="35">
        <f t="shared" si="25"/>
        <v>1</v>
      </c>
      <c r="ET16" s="35">
        <f t="shared" si="25"/>
        <v>1</v>
      </c>
      <c r="EU16" s="35">
        <f t="shared" si="25"/>
        <v>1</v>
      </c>
      <c r="EV16" s="35">
        <f t="shared" si="25"/>
        <v>1</v>
      </c>
      <c r="EW16" s="35">
        <f t="shared" si="25"/>
        <v>1</v>
      </c>
      <c r="EX16" s="35">
        <f t="shared" si="25"/>
        <v>1</v>
      </c>
      <c r="EY16" s="35">
        <f t="shared" si="25"/>
        <v>1</v>
      </c>
      <c r="EZ16" s="35">
        <f t="shared" si="25"/>
        <v>1</v>
      </c>
      <c r="FA16" s="35">
        <f t="shared" si="26"/>
        <v>1</v>
      </c>
      <c r="FB16" s="35">
        <f t="shared" si="26"/>
        <v>1</v>
      </c>
      <c r="FC16" s="35">
        <f t="shared" si="26"/>
        <v>1</v>
      </c>
      <c r="FD16" s="35">
        <f t="shared" si="26"/>
        <v>1</v>
      </c>
      <c r="FE16" s="35">
        <f t="shared" si="26"/>
        <v>1</v>
      </c>
      <c r="FF16" s="35">
        <f t="shared" si="26"/>
        <v>1</v>
      </c>
      <c r="FG16" s="35">
        <f t="shared" si="26"/>
        <v>1</v>
      </c>
      <c r="FH16" s="35">
        <f t="shared" si="26"/>
        <v>1</v>
      </c>
      <c r="FI16" s="35">
        <f t="shared" si="26"/>
        <v>1</v>
      </c>
      <c r="FJ16" s="35">
        <f t="shared" si="26"/>
        <v>1</v>
      </c>
      <c r="FK16" s="35">
        <f t="shared" si="27"/>
        <v>1</v>
      </c>
      <c r="FL16" s="35">
        <f t="shared" si="27"/>
        <v>1</v>
      </c>
      <c r="FM16" s="35">
        <f t="shared" si="27"/>
        <v>1</v>
      </c>
      <c r="FN16" s="35">
        <f t="shared" si="27"/>
        <v>1</v>
      </c>
      <c r="FO16" s="35">
        <f t="shared" si="27"/>
        <v>1</v>
      </c>
      <c r="FP16" s="35">
        <f t="shared" si="27"/>
        <v>1</v>
      </c>
      <c r="FQ16" s="35">
        <f t="shared" si="27"/>
        <v>1</v>
      </c>
      <c r="FR16" s="35">
        <f t="shared" si="27"/>
        <v>1</v>
      </c>
      <c r="FS16" s="35">
        <f t="shared" si="27"/>
        <v>1</v>
      </c>
      <c r="FT16" s="35">
        <f t="shared" si="27"/>
        <v>1</v>
      </c>
      <c r="FU16" s="35">
        <f t="shared" si="28"/>
        <v>1</v>
      </c>
      <c r="FV16" s="35">
        <f t="shared" si="28"/>
        <v>1</v>
      </c>
      <c r="FW16" s="35">
        <f t="shared" si="28"/>
        <v>1</v>
      </c>
      <c r="FX16" s="35">
        <f t="shared" si="28"/>
        <v>1</v>
      </c>
      <c r="FY16" s="35">
        <f t="shared" si="28"/>
        <v>1</v>
      </c>
      <c r="FZ16" s="35">
        <f t="shared" si="28"/>
        <v>1</v>
      </c>
      <c r="GA16" s="35">
        <f t="shared" si="28"/>
        <v>1</v>
      </c>
      <c r="GB16" s="35">
        <f t="shared" si="28"/>
        <v>1</v>
      </c>
      <c r="GC16" s="35">
        <f t="shared" si="28"/>
        <v>1</v>
      </c>
      <c r="GD16" s="35">
        <f t="shared" si="28"/>
        <v>1</v>
      </c>
      <c r="GE16" s="35">
        <f t="shared" si="29"/>
        <v>1</v>
      </c>
      <c r="GF16" s="35">
        <f t="shared" si="29"/>
        <v>1</v>
      </c>
      <c r="GG16" s="35">
        <f t="shared" si="29"/>
        <v>1</v>
      </c>
      <c r="GH16" s="35">
        <f t="shared" si="29"/>
        <v>1</v>
      </c>
      <c r="GI16" s="35">
        <f t="shared" si="29"/>
        <v>1</v>
      </c>
      <c r="GJ16" s="35">
        <f t="shared" si="29"/>
        <v>1</v>
      </c>
      <c r="GK16" s="35">
        <f t="shared" si="29"/>
        <v>1</v>
      </c>
      <c r="GL16" s="35">
        <f t="shared" si="29"/>
        <v>1</v>
      </c>
      <c r="GM16" s="35">
        <f t="shared" si="29"/>
        <v>1</v>
      </c>
      <c r="GN16" s="35">
        <f t="shared" si="29"/>
        <v>1</v>
      </c>
      <c r="GO16" s="35">
        <f t="shared" si="30"/>
        <v>1</v>
      </c>
      <c r="GP16" s="35" t="str">
        <f t="shared" si="30"/>
        <v/>
      </c>
      <c r="GQ16" s="35" t="str">
        <f t="shared" si="30"/>
        <v/>
      </c>
      <c r="GR16" s="35" t="str">
        <f t="shared" si="30"/>
        <v/>
      </c>
      <c r="GS16" s="35" t="str">
        <f t="shared" si="30"/>
        <v/>
      </c>
      <c r="GT16" s="35" t="str">
        <f t="shared" si="30"/>
        <v/>
      </c>
      <c r="GU16" s="35" t="str">
        <f t="shared" si="30"/>
        <v/>
      </c>
      <c r="GV16" s="35" t="str">
        <f t="shared" si="30"/>
        <v/>
      </c>
      <c r="GW16" s="35" t="str">
        <f t="shared" si="30"/>
        <v/>
      </c>
      <c r="GX16" s="35" t="str">
        <f t="shared" si="30"/>
        <v/>
      </c>
      <c r="GY16" s="35" t="str">
        <f t="shared" si="31"/>
        <v/>
      </c>
      <c r="GZ16" s="35" t="str">
        <f t="shared" si="31"/>
        <v/>
      </c>
      <c r="HA16" s="35" t="str">
        <f t="shared" si="31"/>
        <v/>
      </c>
      <c r="HB16" s="35" t="str">
        <f t="shared" si="31"/>
        <v/>
      </c>
      <c r="HC16" s="35" t="str">
        <f t="shared" si="31"/>
        <v/>
      </c>
      <c r="HD16" s="35" t="str">
        <f t="shared" si="31"/>
        <v/>
      </c>
      <c r="HE16" s="35" t="str">
        <f t="shared" si="31"/>
        <v/>
      </c>
      <c r="HF16" s="35" t="str">
        <f t="shared" si="31"/>
        <v/>
      </c>
      <c r="HG16" s="35" t="str">
        <f t="shared" si="31"/>
        <v/>
      </c>
      <c r="HH16" s="35" t="str">
        <f t="shared" si="31"/>
        <v/>
      </c>
      <c r="HI16" s="35" t="str">
        <f t="shared" si="32"/>
        <v/>
      </c>
      <c r="HJ16" s="35" t="str">
        <f t="shared" si="32"/>
        <v/>
      </c>
      <c r="HK16" s="35" t="str">
        <f t="shared" si="32"/>
        <v/>
      </c>
      <c r="HL16" s="35" t="str">
        <f t="shared" si="32"/>
        <v/>
      </c>
      <c r="HM16" s="35" t="str">
        <f t="shared" si="32"/>
        <v/>
      </c>
      <c r="HN16" s="35" t="str">
        <f t="shared" si="32"/>
        <v/>
      </c>
      <c r="HO16" s="35" t="str">
        <f t="shared" si="32"/>
        <v/>
      </c>
      <c r="HP16" s="35" t="str">
        <f t="shared" si="32"/>
        <v/>
      </c>
      <c r="HQ16" s="35" t="str">
        <f t="shared" si="32"/>
        <v/>
      </c>
      <c r="HR16" s="35" t="str">
        <f t="shared" si="32"/>
        <v/>
      </c>
      <c r="HS16" s="35" t="str">
        <f t="shared" si="33"/>
        <v/>
      </c>
      <c r="HT16" s="35" t="str">
        <f t="shared" si="33"/>
        <v/>
      </c>
      <c r="HU16" s="35" t="str">
        <f t="shared" si="33"/>
        <v/>
      </c>
      <c r="HV16" s="35" t="str">
        <f t="shared" si="33"/>
        <v/>
      </c>
      <c r="HW16" s="35" t="str">
        <f t="shared" si="33"/>
        <v/>
      </c>
      <c r="HX16" s="35" t="str">
        <f t="shared" si="33"/>
        <v/>
      </c>
      <c r="HY16" s="35" t="str">
        <f t="shared" si="33"/>
        <v/>
      </c>
      <c r="HZ16" s="35" t="str">
        <f t="shared" si="33"/>
        <v/>
      </c>
      <c r="IA16" s="35" t="str">
        <f t="shared" si="33"/>
        <v/>
      </c>
      <c r="IB16" s="35" t="str">
        <f t="shared" si="33"/>
        <v/>
      </c>
      <c r="IC16" s="35" t="str">
        <f t="shared" si="34"/>
        <v/>
      </c>
      <c r="ID16" s="35" t="str">
        <f t="shared" si="34"/>
        <v/>
      </c>
      <c r="IE16" s="35" t="str">
        <f t="shared" si="34"/>
        <v/>
      </c>
      <c r="IF16" s="35" t="str">
        <f t="shared" si="34"/>
        <v/>
      </c>
      <c r="IG16" s="35" t="str">
        <f t="shared" si="34"/>
        <v/>
      </c>
      <c r="IH16" s="35" t="str">
        <f t="shared" si="34"/>
        <v/>
      </c>
      <c r="II16" s="35" t="str">
        <f t="shared" si="34"/>
        <v/>
      </c>
      <c r="IJ16" s="35" t="str">
        <f t="shared" si="34"/>
        <v/>
      </c>
      <c r="IK16" s="35" t="str">
        <f t="shared" si="34"/>
        <v/>
      </c>
      <c r="IL16" s="35" t="str">
        <f t="shared" si="34"/>
        <v/>
      </c>
      <c r="IM16" s="35" t="str">
        <f t="shared" si="35"/>
        <v/>
      </c>
      <c r="IN16" s="35" t="str">
        <f t="shared" si="35"/>
        <v/>
      </c>
      <c r="IO16" s="35" t="str">
        <f t="shared" si="35"/>
        <v/>
      </c>
      <c r="IP16" s="35" t="str">
        <f t="shared" si="35"/>
        <v/>
      </c>
      <c r="IQ16" s="35" t="str">
        <f t="shared" si="35"/>
        <v/>
      </c>
      <c r="IR16" s="35" t="str">
        <f t="shared" si="35"/>
        <v/>
      </c>
      <c r="IS16" s="35" t="str">
        <f t="shared" si="35"/>
        <v/>
      </c>
      <c r="IT16" s="35" t="str">
        <f t="shared" si="35"/>
        <v/>
      </c>
      <c r="IU16" s="35" t="str">
        <f t="shared" si="35"/>
        <v/>
      </c>
      <c r="IV16" s="35" t="str">
        <f t="shared" si="35"/>
        <v/>
      </c>
      <c r="IW16" s="35" t="str">
        <f t="shared" si="36"/>
        <v/>
      </c>
      <c r="IX16" s="35" t="str">
        <f t="shared" si="36"/>
        <v/>
      </c>
      <c r="IY16" s="35" t="str">
        <f t="shared" si="36"/>
        <v/>
      </c>
      <c r="IZ16" s="35" t="str">
        <f t="shared" si="36"/>
        <v/>
      </c>
      <c r="JA16" s="35" t="str">
        <f t="shared" si="36"/>
        <v/>
      </c>
      <c r="JB16" s="35" t="str">
        <f t="shared" si="36"/>
        <v/>
      </c>
      <c r="JC16" s="35" t="str">
        <f t="shared" si="36"/>
        <v/>
      </c>
      <c r="JD16" s="35" t="str">
        <f t="shared" si="36"/>
        <v/>
      </c>
      <c r="JE16" s="35" t="str">
        <f t="shared" si="36"/>
        <v/>
      </c>
      <c r="JF16" s="35" t="str">
        <f t="shared" si="36"/>
        <v/>
      </c>
      <c r="JG16" s="35" t="str">
        <f t="shared" si="37"/>
        <v/>
      </c>
      <c r="JH16" s="35" t="str">
        <f t="shared" si="37"/>
        <v/>
      </c>
      <c r="JI16" s="35" t="str">
        <f t="shared" si="37"/>
        <v/>
      </c>
      <c r="JJ16" s="35" t="str">
        <f t="shared" si="37"/>
        <v/>
      </c>
      <c r="JK16" s="35" t="str">
        <f t="shared" si="37"/>
        <v/>
      </c>
      <c r="JL16" s="35" t="str">
        <f t="shared" si="37"/>
        <v/>
      </c>
      <c r="JM16" s="35" t="str">
        <f t="shared" si="37"/>
        <v/>
      </c>
      <c r="JN16" s="35" t="str">
        <f t="shared" si="37"/>
        <v/>
      </c>
      <c r="JO16" s="35" t="str">
        <f t="shared" si="37"/>
        <v/>
      </c>
      <c r="JP16" s="35" t="str">
        <f t="shared" si="37"/>
        <v/>
      </c>
    </row>
    <row r="17" spans="1:276" ht="22" customHeight="1" x14ac:dyDescent="0.2">
      <c r="A17" s="32" t="s">
        <v>167</v>
      </c>
      <c r="B17" s="33">
        <f>IF($B$39="","",$B$39)</f>
        <v>46244</v>
      </c>
      <c r="C17" s="33">
        <f>IF($B$40="","",$B$40)</f>
        <v>46289</v>
      </c>
      <c r="D17" s="33" t="s">
        <v>168</v>
      </c>
      <c r="E17" s="34" t="str">
        <f t="shared" ca="1" si="10"/>
        <v>Current</v>
      </c>
      <c r="G17" s="35" t="str">
        <f t="shared" si="11"/>
        <v/>
      </c>
      <c r="H17" s="35" t="str">
        <f t="shared" si="11"/>
        <v/>
      </c>
      <c r="I17" s="35" t="str">
        <f t="shared" si="11"/>
        <v/>
      </c>
      <c r="J17" s="35" t="str">
        <f t="shared" si="11"/>
        <v/>
      </c>
      <c r="K17" s="35" t="str">
        <f t="shared" si="11"/>
        <v/>
      </c>
      <c r="L17" s="35" t="str">
        <f t="shared" si="11"/>
        <v/>
      </c>
      <c r="M17" s="35" t="str">
        <f t="shared" si="11"/>
        <v/>
      </c>
      <c r="N17" s="35" t="str">
        <f t="shared" si="11"/>
        <v/>
      </c>
      <c r="O17" s="35" t="str">
        <f t="shared" si="11"/>
        <v/>
      </c>
      <c r="P17" s="35" t="str">
        <f t="shared" si="11"/>
        <v/>
      </c>
      <c r="Q17" s="35" t="str">
        <f t="shared" si="12"/>
        <v/>
      </c>
      <c r="R17" s="35" t="str">
        <f t="shared" si="12"/>
        <v/>
      </c>
      <c r="S17" s="35" t="str">
        <f t="shared" si="12"/>
        <v/>
      </c>
      <c r="T17" s="35" t="str">
        <f t="shared" si="12"/>
        <v/>
      </c>
      <c r="U17" s="35" t="str">
        <f t="shared" si="12"/>
        <v/>
      </c>
      <c r="V17" s="35" t="str">
        <f t="shared" si="12"/>
        <v/>
      </c>
      <c r="W17" s="35" t="str">
        <f t="shared" si="12"/>
        <v/>
      </c>
      <c r="X17" s="35" t="str">
        <f t="shared" si="12"/>
        <v/>
      </c>
      <c r="Y17" s="35" t="str">
        <f t="shared" si="12"/>
        <v/>
      </c>
      <c r="Z17" s="35" t="str">
        <f t="shared" si="12"/>
        <v/>
      </c>
      <c r="AA17" s="35" t="str">
        <f t="shared" si="13"/>
        <v/>
      </c>
      <c r="AB17" s="35" t="str">
        <f t="shared" si="13"/>
        <v/>
      </c>
      <c r="AC17" s="35" t="str">
        <f t="shared" si="13"/>
        <v/>
      </c>
      <c r="AD17" s="35" t="str">
        <f t="shared" si="13"/>
        <v/>
      </c>
      <c r="AE17" s="35" t="str">
        <f t="shared" si="13"/>
        <v/>
      </c>
      <c r="AF17" s="35" t="str">
        <f t="shared" si="13"/>
        <v/>
      </c>
      <c r="AG17" s="35" t="str">
        <f t="shared" si="13"/>
        <v/>
      </c>
      <c r="AH17" s="35" t="str">
        <f t="shared" si="13"/>
        <v/>
      </c>
      <c r="AI17" s="35" t="str">
        <f t="shared" si="13"/>
        <v/>
      </c>
      <c r="AJ17" s="35" t="str">
        <f t="shared" si="13"/>
        <v/>
      </c>
      <c r="AK17" s="35" t="str">
        <f t="shared" si="14"/>
        <v/>
      </c>
      <c r="AL17" s="35" t="str">
        <f t="shared" si="14"/>
        <v/>
      </c>
      <c r="AM17" s="35" t="str">
        <f t="shared" si="14"/>
        <v/>
      </c>
      <c r="AN17" s="35" t="str">
        <f t="shared" si="14"/>
        <v/>
      </c>
      <c r="AO17" s="35" t="str">
        <f t="shared" si="14"/>
        <v/>
      </c>
      <c r="AP17" s="35" t="str">
        <f t="shared" si="14"/>
        <v/>
      </c>
      <c r="AQ17" s="35" t="str">
        <f t="shared" si="14"/>
        <v/>
      </c>
      <c r="AR17" s="35" t="str">
        <f t="shared" si="14"/>
        <v/>
      </c>
      <c r="AS17" s="35" t="str">
        <f t="shared" si="14"/>
        <v/>
      </c>
      <c r="AT17" s="35" t="str">
        <f t="shared" si="14"/>
        <v/>
      </c>
      <c r="AU17" s="35" t="str">
        <f t="shared" si="15"/>
        <v/>
      </c>
      <c r="AV17" s="35" t="str">
        <f t="shared" si="15"/>
        <v/>
      </c>
      <c r="AW17" s="35" t="str">
        <f t="shared" si="15"/>
        <v/>
      </c>
      <c r="AX17" s="35" t="str">
        <f t="shared" si="15"/>
        <v/>
      </c>
      <c r="AY17" s="35" t="str">
        <f t="shared" si="15"/>
        <v/>
      </c>
      <c r="AZ17" s="35" t="str">
        <f t="shared" si="15"/>
        <v/>
      </c>
      <c r="BA17" s="35" t="str">
        <f t="shared" si="15"/>
        <v/>
      </c>
      <c r="BB17" s="35" t="str">
        <f t="shared" si="15"/>
        <v/>
      </c>
      <c r="BC17" s="35" t="str">
        <f t="shared" si="15"/>
        <v/>
      </c>
      <c r="BD17" s="35" t="str">
        <f t="shared" si="15"/>
        <v/>
      </c>
      <c r="BE17" s="35" t="str">
        <f t="shared" si="16"/>
        <v/>
      </c>
      <c r="BF17" s="35" t="str">
        <f t="shared" si="16"/>
        <v/>
      </c>
      <c r="BG17" s="35" t="str">
        <f t="shared" si="16"/>
        <v/>
      </c>
      <c r="BH17" s="35" t="str">
        <f t="shared" si="16"/>
        <v/>
      </c>
      <c r="BI17" s="35" t="str">
        <f t="shared" si="16"/>
        <v/>
      </c>
      <c r="BJ17" s="35" t="str">
        <f t="shared" si="16"/>
        <v/>
      </c>
      <c r="BK17" s="35" t="str">
        <f t="shared" si="16"/>
        <v/>
      </c>
      <c r="BL17" s="35" t="str">
        <f t="shared" si="16"/>
        <v/>
      </c>
      <c r="BM17" s="35" t="str">
        <f t="shared" si="16"/>
        <v/>
      </c>
      <c r="BN17" s="35" t="str">
        <f t="shared" si="16"/>
        <v/>
      </c>
      <c r="BO17" s="35" t="str">
        <f t="shared" si="17"/>
        <v/>
      </c>
      <c r="BP17" s="35" t="str">
        <f t="shared" si="17"/>
        <v/>
      </c>
      <c r="BQ17" s="35" t="str">
        <f t="shared" si="17"/>
        <v/>
      </c>
      <c r="BR17" s="35" t="str">
        <f t="shared" si="17"/>
        <v/>
      </c>
      <c r="BS17" s="35" t="str">
        <f t="shared" si="17"/>
        <v/>
      </c>
      <c r="BT17" s="35" t="str">
        <f t="shared" si="17"/>
        <v/>
      </c>
      <c r="BU17" s="35" t="str">
        <f t="shared" si="17"/>
        <v/>
      </c>
      <c r="BV17" s="35" t="str">
        <f t="shared" si="17"/>
        <v/>
      </c>
      <c r="BW17" s="35" t="str">
        <f t="shared" si="17"/>
        <v/>
      </c>
      <c r="BX17" s="35" t="str">
        <f t="shared" si="17"/>
        <v/>
      </c>
      <c r="BY17" s="35" t="str">
        <f t="shared" si="18"/>
        <v/>
      </c>
      <c r="BZ17" s="35" t="str">
        <f t="shared" si="18"/>
        <v/>
      </c>
      <c r="CA17" s="35" t="str">
        <f t="shared" si="18"/>
        <v/>
      </c>
      <c r="CB17" s="35" t="str">
        <f t="shared" si="18"/>
        <v/>
      </c>
      <c r="CC17" s="35" t="str">
        <f t="shared" si="18"/>
        <v/>
      </c>
      <c r="CD17" s="35" t="str">
        <f t="shared" si="18"/>
        <v/>
      </c>
      <c r="CE17" s="35" t="str">
        <f t="shared" si="18"/>
        <v/>
      </c>
      <c r="CF17" s="35" t="str">
        <f t="shared" si="18"/>
        <v/>
      </c>
      <c r="CG17" s="35" t="str">
        <f t="shared" si="18"/>
        <v/>
      </c>
      <c r="CH17" s="35" t="str">
        <f t="shared" si="18"/>
        <v/>
      </c>
      <c r="CI17" s="35" t="str">
        <f t="shared" si="19"/>
        <v/>
      </c>
      <c r="CJ17" s="35" t="str">
        <f t="shared" si="19"/>
        <v/>
      </c>
      <c r="CK17" s="35" t="str">
        <f t="shared" si="19"/>
        <v/>
      </c>
      <c r="CL17" s="35" t="str">
        <f t="shared" si="19"/>
        <v/>
      </c>
      <c r="CM17" s="35" t="str">
        <f t="shared" si="19"/>
        <v/>
      </c>
      <c r="CN17" s="35" t="str">
        <f t="shared" si="19"/>
        <v/>
      </c>
      <c r="CO17" s="35" t="str">
        <f t="shared" si="19"/>
        <v/>
      </c>
      <c r="CP17" s="35" t="str">
        <f t="shared" si="19"/>
        <v/>
      </c>
      <c r="CQ17" s="35" t="str">
        <f t="shared" si="19"/>
        <v/>
      </c>
      <c r="CR17" s="35" t="str">
        <f t="shared" si="19"/>
        <v/>
      </c>
      <c r="CS17" s="35" t="str">
        <f t="shared" si="20"/>
        <v/>
      </c>
      <c r="CT17" s="35" t="str">
        <f t="shared" si="20"/>
        <v/>
      </c>
      <c r="CU17" s="35" t="str">
        <f t="shared" si="20"/>
        <v/>
      </c>
      <c r="CV17" s="35" t="str">
        <f t="shared" si="20"/>
        <v/>
      </c>
      <c r="CW17" s="35" t="str">
        <f t="shared" si="20"/>
        <v/>
      </c>
      <c r="CX17" s="35" t="str">
        <f t="shared" si="20"/>
        <v/>
      </c>
      <c r="CY17" s="35" t="str">
        <f t="shared" si="20"/>
        <v/>
      </c>
      <c r="CZ17" s="35" t="str">
        <f t="shared" si="20"/>
        <v/>
      </c>
      <c r="DA17" s="35" t="str">
        <f t="shared" si="20"/>
        <v/>
      </c>
      <c r="DB17" s="35" t="str">
        <f t="shared" si="20"/>
        <v/>
      </c>
      <c r="DC17" s="35" t="str">
        <f t="shared" si="21"/>
        <v/>
      </c>
      <c r="DD17" s="35" t="str">
        <f t="shared" si="21"/>
        <v/>
      </c>
      <c r="DE17" s="35" t="str">
        <f t="shared" si="21"/>
        <v/>
      </c>
      <c r="DF17" s="35" t="str">
        <f t="shared" si="21"/>
        <v/>
      </c>
      <c r="DG17" s="35" t="str">
        <f t="shared" si="21"/>
        <v/>
      </c>
      <c r="DH17" s="35" t="str">
        <f t="shared" si="21"/>
        <v/>
      </c>
      <c r="DI17" s="35" t="str">
        <f t="shared" si="21"/>
        <v/>
      </c>
      <c r="DJ17" s="35" t="str">
        <f t="shared" si="21"/>
        <v/>
      </c>
      <c r="DK17" s="35" t="str">
        <f t="shared" si="21"/>
        <v/>
      </c>
      <c r="DL17" s="35" t="str">
        <f t="shared" si="21"/>
        <v/>
      </c>
      <c r="DM17" s="35" t="str">
        <f t="shared" si="22"/>
        <v/>
      </c>
      <c r="DN17" s="35" t="str">
        <f t="shared" si="22"/>
        <v/>
      </c>
      <c r="DO17" s="35" t="str">
        <f t="shared" si="22"/>
        <v/>
      </c>
      <c r="DP17" s="35" t="str">
        <f t="shared" si="22"/>
        <v/>
      </c>
      <c r="DQ17" s="35" t="str">
        <f t="shared" si="22"/>
        <v/>
      </c>
      <c r="DR17" s="35" t="str">
        <f t="shared" si="22"/>
        <v/>
      </c>
      <c r="DS17" s="35" t="str">
        <f t="shared" si="22"/>
        <v/>
      </c>
      <c r="DT17" s="35" t="str">
        <f t="shared" si="22"/>
        <v/>
      </c>
      <c r="DU17" s="35" t="str">
        <f t="shared" si="22"/>
        <v/>
      </c>
      <c r="DV17" s="35" t="str">
        <f t="shared" si="22"/>
        <v/>
      </c>
      <c r="DW17" s="35" t="str">
        <f t="shared" si="23"/>
        <v/>
      </c>
      <c r="DX17" s="35" t="str">
        <f t="shared" si="23"/>
        <v/>
      </c>
      <c r="DY17" s="35" t="str">
        <f t="shared" si="23"/>
        <v/>
      </c>
      <c r="DZ17" s="35" t="str">
        <f t="shared" si="23"/>
        <v/>
      </c>
      <c r="EA17" s="35" t="str">
        <f t="shared" si="23"/>
        <v/>
      </c>
      <c r="EB17" s="35" t="str">
        <f t="shared" si="23"/>
        <v/>
      </c>
      <c r="EC17" s="35" t="str">
        <f t="shared" si="23"/>
        <v/>
      </c>
      <c r="ED17" s="35" t="str">
        <f t="shared" si="23"/>
        <v/>
      </c>
      <c r="EE17" s="35" t="str">
        <f t="shared" si="23"/>
        <v/>
      </c>
      <c r="EF17" s="35" t="str">
        <f t="shared" si="23"/>
        <v/>
      </c>
      <c r="EG17" s="35" t="str">
        <f t="shared" si="24"/>
        <v/>
      </c>
      <c r="EH17" s="35" t="str">
        <f t="shared" si="24"/>
        <v/>
      </c>
      <c r="EI17" s="35" t="str">
        <f t="shared" si="24"/>
        <v/>
      </c>
      <c r="EJ17" s="35" t="str">
        <f t="shared" si="24"/>
        <v/>
      </c>
      <c r="EK17" s="35" t="str">
        <f t="shared" si="24"/>
        <v/>
      </c>
      <c r="EL17" s="35" t="str">
        <f t="shared" si="24"/>
        <v/>
      </c>
      <c r="EM17" s="35" t="str">
        <f t="shared" si="24"/>
        <v/>
      </c>
      <c r="EN17" s="35" t="str">
        <f t="shared" si="24"/>
        <v/>
      </c>
      <c r="EO17" s="35" t="str">
        <f t="shared" si="24"/>
        <v/>
      </c>
      <c r="EP17" s="35" t="str">
        <f t="shared" si="24"/>
        <v/>
      </c>
      <c r="EQ17" s="35" t="str">
        <f t="shared" si="25"/>
        <v/>
      </c>
      <c r="ER17" s="35" t="str">
        <f t="shared" si="25"/>
        <v/>
      </c>
      <c r="ES17" s="35" t="str">
        <f t="shared" si="25"/>
        <v/>
      </c>
      <c r="ET17" s="35" t="str">
        <f t="shared" si="25"/>
        <v/>
      </c>
      <c r="EU17" s="35" t="str">
        <f t="shared" si="25"/>
        <v/>
      </c>
      <c r="EV17" s="35" t="str">
        <f t="shared" si="25"/>
        <v/>
      </c>
      <c r="EW17" s="35" t="str">
        <f t="shared" si="25"/>
        <v/>
      </c>
      <c r="EX17" s="35" t="str">
        <f t="shared" si="25"/>
        <v/>
      </c>
      <c r="EY17" s="35" t="str">
        <f t="shared" si="25"/>
        <v/>
      </c>
      <c r="EZ17" s="35" t="str">
        <f t="shared" si="25"/>
        <v/>
      </c>
      <c r="FA17" s="35" t="str">
        <f t="shared" si="26"/>
        <v/>
      </c>
      <c r="FB17" s="35" t="str">
        <f t="shared" si="26"/>
        <v/>
      </c>
      <c r="FC17" s="35" t="str">
        <f t="shared" si="26"/>
        <v/>
      </c>
      <c r="FD17" s="35" t="str">
        <f t="shared" si="26"/>
        <v/>
      </c>
      <c r="FE17" s="35" t="str">
        <f t="shared" si="26"/>
        <v/>
      </c>
      <c r="FF17" s="35" t="str">
        <f t="shared" si="26"/>
        <v/>
      </c>
      <c r="FG17" s="35" t="str">
        <f t="shared" si="26"/>
        <v/>
      </c>
      <c r="FH17" s="35" t="str">
        <f t="shared" si="26"/>
        <v/>
      </c>
      <c r="FI17" s="35" t="str">
        <f t="shared" si="26"/>
        <v/>
      </c>
      <c r="FJ17" s="35" t="str">
        <f t="shared" si="26"/>
        <v/>
      </c>
      <c r="FK17" s="35" t="str">
        <f t="shared" si="27"/>
        <v/>
      </c>
      <c r="FL17" s="35" t="str">
        <f t="shared" si="27"/>
        <v/>
      </c>
      <c r="FM17" s="35" t="str">
        <f t="shared" si="27"/>
        <v/>
      </c>
      <c r="FN17" s="35" t="str">
        <f t="shared" si="27"/>
        <v/>
      </c>
      <c r="FO17" s="35" t="str">
        <f t="shared" si="27"/>
        <v/>
      </c>
      <c r="FP17" s="35" t="str">
        <f t="shared" si="27"/>
        <v/>
      </c>
      <c r="FQ17" s="35" t="str">
        <f t="shared" si="27"/>
        <v/>
      </c>
      <c r="FR17" s="35" t="str">
        <f t="shared" si="27"/>
        <v/>
      </c>
      <c r="FS17" s="35" t="str">
        <f t="shared" si="27"/>
        <v/>
      </c>
      <c r="FT17" s="35" t="str">
        <f t="shared" si="27"/>
        <v/>
      </c>
      <c r="FU17" s="35" t="str">
        <f t="shared" si="28"/>
        <v/>
      </c>
      <c r="FV17" s="35" t="str">
        <f t="shared" si="28"/>
        <v/>
      </c>
      <c r="FW17" s="35" t="str">
        <f t="shared" si="28"/>
        <v/>
      </c>
      <c r="FX17" s="35" t="str">
        <f t="shared" si="28"/>
        <v/>
      </c>
      <c r="FY17" s="35" t="str">
        <f t="shared" si="28"/>
        <v/>
      </c>
      <c r="FZ17" s="35" t="str">
        <f t="shared" si="28"/>
        <v/>
      </c>
      <c r="GA17" s="35" t="str">
        <f t="shared" si="28"/>
        <v/>
      </c>
      <c r="GB17" s="35" t="str">
        <f t="shared" si="28"/>
        <v/>
      </c>
      <c r="GC17" s="35" t="str">
        <f t="shared" si="28"/>
        <v/>
      </c>
      <c r="GD17" s="35" t="str">
        <f t="shared" si="28"/>
        <v/>
      </c>
      <c r="GE17" s="35" t="str">
        <f t="shared" si="29"/>
        <v/>
      </c>
      <c r="GF17" s="35" t="str">
        <f t="shared" si="29"/>
        <v/>
      </c>
      <c r="GG17" s="35" t="str">
        <f t="shared" si="29"/>
        <v/>
      </c>
      <c r="GH17" s="35" t="str">
        <f t="shared" si="29"/>
        <v/>
      </c>
      <c r="GI17" s="35" t="str">
        <f t="shared" si="29"/>
        <v/>
      </c>
      <c r="GJ17" s="35" t="str">
        <f t="shared" si="29"/>
        <v/>
      </c>
      <c r="GK17" s="35" t="str">
        <f t="shared" si="29"/>
        <v/>
      </c>
      <c r="GL17" s="35" t="str">
        <f t="shared" si="29"/>
        <v/>
      </c>
      <c r="GM17" s="35" t="str">
        <f t="shared" si="29"/>
        <v/>
      </c>
      <c r="GN17" s="35" t="str">
        <f t="shared" si="29"/>
        <v/>
      </c>
      <c r="GO17" s="35">
        <f t="shared" si="30"/>
        <v>1</v>
      </c>
      <c r="GP17" s="35">
        <f t="shared" si="30"/>
        <v>1</v>
      </c>
      <c r="GQ17" s="35">
        <f t="shared" si="30"/>
        <v>1</v>
      </c>
      <c r="GR17" s="35">
        <f t="shared" si="30"/>
        <v>1</v>
      </c>
      <c r="GS17" s="35">
        <f t="shared" si="30"/>
        <v>1</v>
      </c>
      <c r="GT17" s="35">
        <f t="shared" si="30"/>
        <v>1</v>
      </c>
      <c r="GU17" s="35">
        <f t="shared" si="30"/>
        <v>1</v>
      </c>
      <c r="GV17" s="35">
        <f t="shared" si="30"/>
        <v>1</v>
      </c>
      <c r="GW17" s="35">
        <f t="shared" si="30"/>
        <v>1</v>
      </c>
      <c r="GX17" s="35">
        <f t="shared" si="30"/>
        <v>1</v>
      </c>
      <c r="GY17" s="35">
        <f t="shared" si="31"/>
        <v>1</v>
      </c>
      <c r="GZ17" s="35">
        <f t="shared" si="31"/>
        <v>1</v>
      </c>
      <c r="HA17" s="35">
        <f t="shared" si="31"/>
        <v>1</v>
      </c>
      <c r="HB17" s="35">
        <f t="shared" si="31"/>
        <v>1</v>
      </c>
      <c r="HC17" s="35">
        <f t="shared" si="31"/>
        <v>1</v>
      </c>
      <c r="HD17" s="35">
        <f t="shared" si="31"/>
        <v>1</v>
      </c>
      <c r="HE17" s="35">
        <f t="shared" si="31"/>
        <v>1</v>
      </c>
      <c r="HF17" s="35">
        <f t="shared" si="31"/>
        <v>1</v>
      </c>
      <c r="HG17" s="35">
        <f t="shared" si="31"/>
        <v>1</v>
      </c>
      <c r="HH17" s="35">
        <f t="shared" si="31"/>
        <v>1</v>
      </c>
      <c r="HI17" s="35">
        <f t="shared" si="32"/>
        <v>1</v>
      </c>
      <c r="HJ17" s="35">
        <f t="shared" si="32"/>
        <v>1</v>
      </c>
      <c r="HK17" s="35">
        <f t="shared" si="32"/>
        <v>1</v>
      </c>
      <c r="HL17" s="35">
        <f t="shared" si="32"/>
        <v>1</v>
      </c>
      <c r="HM17" s="35">
        <f t="shared" si="32"/>
        <v>1</v>
      </c>
      <c r="HN17" s="35">
        <f t="shared" si="32"/>
        <v>1</v>
      </c>
      <c r="HO17" s="35">
        <f t="shared" si="32"/>
        <v>1</v>
      </c>
      <c r="HP17" s="35">
        <f t="shared" si="32"/>
        <v>1</v>
      </c>
      <c r="HQ17" s="35">
        <f t="shared" si="32"/>
        <v>1</v>
      </c>
      <c r="HR17" s="35">
        <f t="shared" si="32"/>
        <v>1</v>
      </c>
      <c r="HS17" s="35">
        <f t="shared" si="33"/>
        <v>1</v>
      </c>
      <c r="HT17" s="35">
        <f t="shared" si="33"/>
        <v>1</v>
      </c>
      <c r="HU17" s="35">
        <f t="shared" si="33"/>
        <v>1</v>
      </c>
      <c r="HV17" s="35">
        <f t="shared" si="33"/>
        <v>1</v>
      </c>
      <c r="HW17" s="35">
        <f t="shared" si="33"/>
        <v>1</v>
      </c>
      <c r="HX17" s="35">
        <f t="shared" si="33"/>
        <v>1</v>
      </c>
      <c r="HY17" s="35">
        <f t="shared" si="33"/>
        <v>1</v>
      </c>
      <c r="HZ17" s="35">
        <f t="shared" si="33"/>
        <v>1</v>
      </c>
      <c r="IA17" s="35">
        <f t="shared" si="33"/>
        <v>1</v>
      </c>
      <c r="IB17" s="35">
        <f t="shared" si="33"/>
        <v>1</v>
      </c>
      <c r="IC17" s="35">
        <f t="shared" si="34"/>
        <v>1</v>
      </c>
      <c r="ID17" s="35">
        <f t="shared" si="34"/>
        <v>1</v>
      </c>
      <c r="IE17" s="35">
        <f t="shared" si="34"/>
        <v>1</v>
      </c>
      <c r="IF17" s="35">
        <f t="shared" si="34"/>
        <v>1</v>
      </c>
      <c r="IG17" s="35">
        <f t="shared" si="34"/>
        <v>1</v>
      </c>
      <c r="IH17" s="35">
        <f t="shared" si="34"/>
        <v>1</v>
      </c>
      <c r="II17" s="35" t="str">
        <f t="shared" si="34"/>
        <v/>
      </c>
      <c r="IJ17" s="35" t="str">
        <f t="shared" si="34"/>
        <v/>
      </c>
      <c r="IK17" s="35" t="str">
        <f t="shared" si="34"/>
        <v/>
      </c>
      <c r="IL17" s="35" t="str">
        <f t="shared" si="34"/>
        <v/>
      </c>
      <c r="IM17" s="35" t="str">
        <f t="shared" si="35"/>
        <v/>
      </c>
      <c r="IN17" s="35" t="str">
        <f t="shared" si="35"/>
        <v/>
      </c>
      <c r="IO17" s="35" t="str">
        <f t="shared" si="35"/>
        <v/>
      </c>
      <c r="IP17" s="35" t="str">
        <f t="shared" si="35"/>
        <v/>
      </c>
      <c r="IQ17" s="35" t="str">
        <f t="shared" si="35"/>
        <v/>
      </c>
      <c r="IR17" s="35" t="str">
        <f t="shared" si="35"/>
        <v/>
      </c>
      <c r="IS17" s="35" t="str">
        <f t="shared" si="35"/>
        <v/>
      </c>
      <c r="IT17" s="35" t="str">
        <f t="shared" si="35"/>
        <v/>
      </c>
      <c r="IU17" s="35" t="str">
        <f t="shared" si="35"/>
        <v/>
      </c>
      <c r="IV17" s="35" t="str">
        <f t="shared" si="35"/>
        <v/>
      </c>
      <c r="IW17" s="35" t="str">
        <f t="shared" si="36"/>
        <v/>
      </c>
      <c r="IX17" s="35" t="str">
        <f t="shared" si="36"/>
        <v/>
      </c>
      <c r="IY17" s="35" t="str">
        <f t="shared" si="36"/>
        <v/>
      </c>
      <c r="IZ17" s="35" t="str">
        <f t="shared" si="36"/>
        <v/>
      </c>
      <c r="JA17" s="35" t="str">
        <f t="shared" si="36"/>
        <v/>
      </c>
      <c r="JB17" s="35" t="str">
        <f t="shared" si="36"/>
        <v/>
      </c>
      <c r="JC17" s="35" t="str">
        <f t="shared" si="36"/>
        <v/>
      </c>
      <c r="JD17" s="35" t="str">
        <f t="shared" si="36"/>
        <v/>
      </c>
      <c r="JE17" s="35" t="str">
        <f t="shared" si="36"/>
        <v/>
      </c>
      <c r="JF17" s="35" t="str">
        <f t="shared" si="36"/>
        <v/>
      </c>
      <c r="JG17" s="35" t="str">
        <f t="shared" si="37"/>
        <v/>
      </c>
      <c r="JH17" s="35" t="str">
        <f t="shared" si="37"/>
        <v/>
      </c>
      <c r="JI17" s="35" t="str">
        <f t="shared" si="37"/>
        <v/>
      </c>
      <c r="JJ17" s="35" t="str">
        <f t="shared" si="37"/>
        <v/>
      </c>
      <c r="JK17" s="35" t="str">
        <f t="shared" si="37"/>
        <v/>
      </c>
      <c r="JL17" s="35" t="str">
        <f t="shared" si="37"/>
        <v/>
      </c>
      <c r="JM17" s="35" t="str">
        <f t="shared" si="37"/>
        <v/>
      </c>
      <c r="JN17" s="35" t="str">
        <f t="shared" si="37"/>
        <v/>
      </c>
      <c r="JO17" s="35" t="str">
        <f t="shared" si="37"/>
        <v/>
      </c>
      <c r="JP17" s="35" t="str">
        <f t="shared" si="37"/>
        <v/>
      </c>
    </row>
    <row r="18" spans="1:276" ht="22" customHeight="1" x14ac:dyDescent="0.2">
      <c r="A18" s="32" t="s">
        <v>169</v>
      </c>
      <c r="B18" s="33">
        <f>IF(COUNT($B$41,$B$44)=0,"",MIN($B$41,$B$44))</f>
        <v>46269</v>
      </c>
      <c r="C18" s="33">
        <f>IF(COUNT($B$41,$B$44)=0,"",MAX($B$41,$B$44))</f>
        <v>46297</v>
      </c>
      <c r="D18" s="33" t="s">
        <v>170</v>
      </c>
      <c r="E18" s="34" t="str">
        <f t="shared" ca="1" si="10"/>
        <v>Planned</v>
      </c>
      <c r="G18" s="35" t="str">
        <f t="shared" si="11"/>
        <v/>
      </c>
      <c r="H18" s="35" t="str">
        <f t="shared" si="11"/>
        <v/>
      </c>
      <c r="I18" s="35" t="str">
        <f t="shared" si="11"/>
        <v/>
      </c>
      <c r="J18" s="35" t="str">
        <f t="shared" si="11"/>
        <v/>
      </c>
      <c r="K18" s="35" t="str">
        <f t="shared" si="11"/>
        <v/>
      </c>
      <c r="L18" s="35" t="str">
        <f t="shared" si="11"/>
        <v/>
      </c>
      <c r="M18" s="35" t="str">
        <f t="shared" si="11"/>
        <v/>
      </c>
      <c r="N18" s="35" t="str">
        <f t="shared" si="11"/>
        <v/>
      </c>
      <c r="O18" s="35" t="str">
        <f t="shared" si="11"/>
        <v/>
      </c>
      <c r="P18" s="35" t="str">
        <f t="shared" si="11"/>
        <v/>
      </c>
      <c r="Q18" s="35" t="str">
        <f t="shared" si="12"/>
        <v/>
      </c>
      <c r="R18" s="35" t="str">
        <f t="shared" si="12"/>
        <v/>
      </c>
      <c r="S18" s="35" t="str">
        <f t="shared" si="12"/>
        <v/>
      </c>
      <c r="T18" s="35" t="str">
        <f t="shared" si="12"/>
        <v/>
      </c>
      <c r="U18" s="35" t="str">
        <f t="shared" si="12"/>
        <v/>
      </c>
      <c r="V18" s="35" t="str">
        <f t="shared" si="12"/>
        <v/>
      </c>
      <c r="W18" s="35" t="str">
        <f t="shared" si="12"/>
        <v/>
      </c>
      <c r="X18" s="35" t="str">
        <f t="shared" si="12"/>
        <v/>
      </c>
      <c r="Y18" s="35" t="str">
        <f t="shared" si="12"/>
        <v/>
      </c>
      <c r="Z18" s="35" t="str">
        <f t="shared" si="12"/>
        <v/>
      </c>
      <c r="AA18" s="35" t="str">
        <f t="shared" si="13"/>
        <v/>
      </c>
      <c r="AB18" s="35" t="str">
        <f t="shared" si="13"/>
        <v/>
      </c>
      <c r="AC18" s="35" t="str">
        <f t="shared" si="13"/>
        <v/>
      </c>
      <c r="AD18" s="35" t="str">
        <f t="shared" si="13"/>
        <v/>
      </c>
      <c r="AE18" s="35" t="str">
        <f t="shared" si="13"/>
        <v/>
      </c>
      <c r="AF18" s="35" t="str">
        <f t="shared" si="13"/>
        <v/>
      </c>
      <c r="AG18" s="35" t="str">
        <f t="shared" si="13"/>
        <v/>
      </c>
      <c r="AH18" s="35" t="str">
        <f t="shared" si="13"/>
        <v/>
      </c>
      <c r="AI18" s="35" t="str">
        <f t="shared" si="13"/>
        <v/>
      </c>
      <c r="AJ18" s="35" t="str">
        <f t="shared" si="13"/>
        <v/>
      </c>
      <c r="AK18" s="35" t="str">
        <f t="shared" si="14"/>
        <v/>
      </c>
      <c r="AL18" s="35" t="str">
        <f t="shared" si="14"/>
        <v/>
      </c>
      <c r="AM18" s="35" t="str">
        <f t="shared" si="14"/>
        <v/>
      </c>
      <c r="AN18" s="35" t="str">
        <f t="shared" si="14"/>
        <v/>
      </c>
      <c r="AO18" s="35" t="str">
        <f t="shared" si="14"/>
        <v/>
      </c>
      <c r="AP18" s="35" t="str">
        <f t="shared" si="14"/>
        <v/>
      </c>
      <c r="AQ18" s="35" t="str">
        <f t="shared" si="14"/>
        <v/>
      </c>
      <c r="AR18" s="35" t="str">
        <f t="shared" si="14"/>
        <v/>
      </c>
      <c r="AS18" s="35" t="str">
        <f t="shared" si="14"/>
        <v/>
      </c>
      <c r="AT18" s="35" t="str">
        <f t="shared" si="14"/>
        <v/>
      </c>
      <c r="AU18" s="35" t="str">
        <f t="shared" si="15"/>
        <v/>
      </c>
      <c r="AV18" s="35" t="str">
        <f t="shared" si="15"/>
        <v/>
      </c>
      <c r="AW18" s="35" t="str">
        <f t="shared" si="15"/>
        <v/>
      </c>
      <c r="AX18" s="35" t="str">
        <f t="shared" si="15"/>
        <v/>
      </c>
      <c r="AY18" s="35" t="str">
        <f t="shared" si="15"/>
        <v/>
      </c>
      <c r="AZ18" s="35" t="str">
        <f t="shared" si="15"/>
        <v/>
      </c>
      <c r="BA18" s="35" t="str">
        <f t="shared" si="15"/>
        <v/>
      </c>
      <c r="BB18" s="35" t="str">
        <f t="shared" si="15"/>
        <v/>
      </c>
      <c r="BC18" s="35" t="str">
        <f t="shared" si="15"/>
        <v/>
      </c>
      <c r="BD18" s="35" t="str">
        <f t="shared" si="15"/>
        <v/>
      </c>
      <c r="BE18" s="35" t="str">
        <f t="shared" si="16"/>
        <v/>
      </c>
      <c r="BF18" s="35" t="str">
        <f t="shared" si="16"/>
        <v/>
      </c>
      <c r="BG18" s="35" t="str">
        <f t="shared" si="16"/>
        <v/>
      </c>
      <c r="BH18" s="35" t="str">
        <f t="shared" si="16"/>
        <v/>
      </c>
      <c r="BI18" s="35" t="str">
        <f t="shared" si="16"/>
        <v/>
      </c>
      <c r="BJ18" s="35" t="str">
        <f t="shared" si="16"/>
        <v/>
      </c>
      <c r="BK18" s="35" t="str">
        <f t="shared" si="16"/>
        <v/>
      </c>
      <c r="BL18" s="35" t="str">
        <f t="shared" si="16"/>
        <v/>
      </c>
      <c r="BM18" s="35" t="str">
        <f t="shared" si="16"/>
        <v/>
      </c>
      <c r="BN18" s="35" t="str">
        <f t="shared" si="16"/>
        <v/>
      </c>
      <c r="BO18" s="35" t="str">
        <f t="shared" si="17"/>
        <v/>
      </c>
      <c r="BP18" s="35" t="str">
        <f t="shared" si="17"/>
        <v/>
      </c>
      <c r="BQ18" s="35" t="str">
        <f t="shared" si="17"/>
        <v/>
      </c>
      <c r="BR18" s="35" t="str">
        <f t="shared" si="17"/>
        <v/>
      </c>
      <c r="BS18" s="35" t="str">
        <f t="shared" si="17"/>
        <v/>
      </c>
      <c r="BT18" s="35" t="str">
        <f t="shared" si="17"/>
        <v/>
      </c>
      <c r="BU18" s="35" t="str">
        <f t="shared" si="17"/>
        <v/>
      </c>
      <c r="BV18" s="35" t="str">
        <f t="shared" si="17"/>
        <v/>
      </c>
      <c r="BW18" s="35" t="str">
        <f t="shared" si="17"/>
        <v/>
      </c>
      <c r="BX18" s="35" t="str">
        <f t="shared" si="17"/>
        <v/>
      </c>
      <c r="BY18" s="35" t="str">
        <f t="shared" si="18"/>
        <v/>
      </c>
      <c r="BZ18" s="35" t="str">
        <f t="shared" si="18"/>
        <v/>
      </c>
      <c r="CA18" s="35" t="str">
        <f t="shared" si="18"/>
        <v/>
      </c>
      <c r="CB18" s="35" t="str">
        <f t="shared" si="18"/>
        <v/>
      </c>
      <c r="CC18" s="35" t="str">
        <f t="shared" si="18"/>
        <v/>
      </c>
      <c r="CD18" s="35" t="str">
        <f t="shared" si="18"/>
        <v/>
      </c>
      <c r="CE18" s="35" t="str">
        <f t="shared" si="18"/>
        <v/>
      </c>
      <c r="CF18" s="35" t="str">
        <f t="shared" si="18"/>
        <v/>
      </c>
      <c r="CG18" s="35" t="str">
        <f t="shared" si="18"/>
        <v/>
      </c>
      <c r="CH18" s="35" t="str">
        <f t="shared" si="18"/>
        <v/>
      </c>
      <c r="CI18" s="35" t="str">
        <f t="shared" si="19"/>
        <v/>
      </c>
      <c r="CJ18" s="35" t="str">
        <f t="shared" si="19"/>
        <v/>
      </c>
      <c r="CK18" s="35" t="str">
        <f t="shared" si="19"/>
        <v/>
      </c>
      <c r="CL18" s="35" t="str">
        <f t="shared" si="19"/>
        <v/>
      </c>
      <c r="CM18" s="35" t="str">
        <f t="shared" si="19"/>
        <v/>
      </c>
      <c r="CN18" s="35" t="str">
        <f t="shared" si="19"/>
        <v/>
      </c>
      <c r="CO18" s="35" t="str">
        <f t="shared" si="19"/>
        <v/>
      </c>
      <c r="CP18" s="35" t="str">
        <f t="shared" si="19"/>
        <v/>
      </c>
      <c r="CQ18" s="35" t="str">
        <f t="shared" si="19"/>
        <v/>
      </c>
      <c r="CR18" s="35" t="str">
        <f t="shared" si="19"/>
        <v/>
      </c>
      <c r="CS18" s="35" t="str">
        <f t="shared" si="20"/>
        <v/>
      </c>
      <c r="CT18" s="35" t="str">
        <f t="shared" si="20"/>
        <v/>
      </c>
      <c r="CU18" s="35" t="str">
        <f t="shared" si="20"/>
        <v/>
      </c>
      <c r="CV18" s="35" t="str">
        <f t="shared" si="20"/>
        <v/>
      </c>
      <c r="CW18" s="35" t="str">
        <f t="shared" si="20"/>
        <v/>
      </c>
      <c r="CX18" s="35" t="str">
        <f t="shared" si="20"/>
        <v/>
      </c>
      <c r="CY18" s="35" t="str">
        <f t="shared" si="20"/>
        <v/>
      </c>
      <c r="CZ18" s="35" t="str">
        <f t="shared" si="20"/>
        <v/>
      </c>
      <c r="DA18" s="35" t="str">
        <f t="shared" si="20"/>
        <v/>
      </c>
      <c r="DB18" s="35" t="str">
        <f t="shared" si="20"/>
        <v/>
      </c>
      <c r="DC18" s="35" t="str">
        <f t="shared" si="21"/>
        <v/>
      </c>
      <c r="DD18" s="35" t="str">
        <f t="shared" si="21"/>
        <v/>
      </c>
      <c r="DE18" s="35" t="str">
        <f t="shared" si="21"/>
        <v/>
      </c>
      <c r="DF18" s="35" t="str">
        <f t="shared" si="21"/>
        <v/>
      </c>
      <c r="DG18" s="35" t="str">
        <f t="shared" si="21"/>
        <v/>
      </c>
      <c r="DH18" s="35" t="str">
        <f t="shared" si="21"/>
        <v/>
      </c>
      <c r="DI18" s="35" t="str">
        <f t="shared" si="21"/>
        <v/>
      </c>
      <c r="DJ18" s="35" t="str">
        <f t="shared" si="21"/>
        <v/>
      </c>
      <c r="DK18" s="35" t="str">
        <f t="shared" si="21"/>
        <v/>
      </c>
      <c r="DL18" s="35" t="str">
        <f t="shared" si="21"/>
        <v/>
      </c>
      <c r="DM18" s="35" t="str">
        <f t="shared" si="22"/>
        <v/>
      </c>
      <c r="DN18" s="35" t="str">
        <f t="shared" si="22"/>
        <v/>
      </c>
      <c r="DO18" s="35" t="str">
        <f t="shared" si="22"/>
        <v/>
      </c>
      <c r="DP18" s="35" t="str">
        <f t="shared" si="22"/>
        <v/>
      </c>
      <c r="DQ18" s="35" t="str">
        <f t="shared" si="22"/>
        <v/>
      </c>
      <c r="DR18" s="35" t="str">
        <f t="shared" si="22"/>
        <v/>
      </c>
      <c r="DS18" s="35" t="str">
        <f t="shared" si="22"/>
        <v/>
      </c>
      <c r="DT18" s="35" t="str">
        <f t="shared" si="22"/>
        <v/>
      </c>
      <c r="DU18" s="35" t="str">
        <f t="shared" si="22"/>
        <v/>
      </c>
      <c r="DV18" s="35" t="str">
        <f t="shared" si="22"/>
        <v/>
      </c>
      <c r="DW18" s="35" t="str">
        <f t="shared" si="23"/>
        <v/>
      </c>
      <c r="DX18" s="35" t="str">
        <f t="shared" si="23"/>
        <v/>
      </c>
      <c r="DY18" s="35" t="str">
        <f t="shared" si="23"/>
        <v/>
      </c>
      <c r="DZ18" s="35" t="str">
        <f t="shared" si="23"/>
        <v/>
      </c>
      <c r="EA18" s="35" t="str">
        <f t="shared" si="23"/>
        <v/>
      </c>
      <c r="EB18" s="35" t="str">
        <f t="shared" si="23"/>
        <v/>
      </c>
      <c r="EC18" s="35" t="str">
        <f t="shared" si="23"/>
        <v/>
      </c>
      <c r="ED18" s="35" t="str">
        <f t="shared" si="23"/>
        <v/>
      </c>
      <c r="EE18" s="35" t="str">
        <f t="shared" si="23"/>
        <v/>
      </c>
      <c r="EF18" s="35" t="str">
        <f t="shared" si="23"/>
        <v/>
      </c>
      <c r="EG18" s="35" t="str">
        <f t="shared" si="24"/>
        <v/>
      </c>
      <c r="EH18" s="35" t="str">
        <f t="shared" si="24"/>
        <v/>
      </c>
      <c r="EI18" s="35" t="str">
        <f t="shared" si="24"/>
        <v/>
      </c>
      <c r="EJ18" s="35" t="str">
        <f t="shared" si="24"/>
        <v/>
      </c>
      <c r="EK18" s="35" t="str">
        <f t="shared" si="24"/>
        <v/>
      </c>
      <c r="EL18" s="35" t="str">
        <f t="shared" si="24"/>
        <v/>
      </c>
      <c r="EM18" s="35" t="str">
        <f t="shared" si="24"/>
        <v/>
      </c>
      <c r="EN18" s="35" t="str">
        <f t="shared" si="24"/>
        <v/>
      </c>
      <c r="EO18" s="35" t="str">
        <f t="shared" si="24"/>
        <v/>
      </c>
      <c r="EP18" s="35" t="str">
        <f t="shared" si="24"/>
        <v/>
      </c>
      <c r="EQ18" s="35" t="str">
        <f t="shared" si="25"/>
        <v/>
      </c>
      <c r="ER18" s="35" t="str">
        <f t="shared" si="25"/>
        <v/>
      </c>
      <c r="ES18" s="35" t="str">
        <f t="shared" si="25"/>
        <v/>
      </c>
      <c r="ET18" s="35" t="str">
        <f t="shared" si="25"/>
        <v/>
      </c>
      <c r="EU18" s="35" t="str">
        <f t="shared" si="25"/>
        <v/>
      </c>
      <c r="EV18" s="35" t="str">
        <f t="shared" si="25"/>
        <v/>
      </c>
      <c r="EW18" s="35" t="str">
        <f t="shared" si="25"/>
        <v/>
      </c>
      <c r="EX18" s="35" t="str">
        <f t="shared" si="25"/>
        <v/>
      </c>
      <c r="EY18" s="35" t="str">
        <f t="shared" si="25"/>
        <v/>
      </c>
      <c r="EZ18" s="35" t="str">
        <f t="shared" si="25"/>
        <v/>
      </c>
      <c r="FA18" s="35" t="str">
        <f t="shared" si="26"/>
        <v/>
      </c>
      <c r="FB18" s="35" t="str">
        <f t="shared" si="26"/>
        <v/>
      </c>
      <c r="FC18" s="35" t="str">
        <f t="shared" si="26"/>
        <v/>
      </c>
      <c r="FD18" s="35" t="str">
        <f t="shared" si="26"/>
        <v/>
      </c>
      <c r="FE18" s="35" t="str">
        <f t="shared" si="26"/>
        <v/>
      </c>
      <c r="FF18" s="35" t="str">
        <f t="shared" si="26"/>
        <v/>
      </c>
      <c r="FG18" s="35" t="str">
        <f t="shared" si="26"/>
        <v/>
      </c>
      <c r="FH18" s="35" t="str">
        <f t="shared" si="26"/>
        <v/>
      </c>
      <c r="FI18" s="35" t="str">
        <f t="shared" si="26"/>
        <v/>
      </c>
      <c r="FJ18" s="35" t="str">
        <f t="shared" si="26"/>
        <v/>
      </c>
      <c r="FK18" s="35" t="str">
        <f t="shared" si="27"/>
        <v/>
      </c>
      <c r="FL18" s="35" t="str">
        <f t="shared" si="27"/>
        <v/>
      </c>
      <c r="FM18" s="35" t="str">
        <f t="shared" si="27"/>
        <v/>
      </c>
      <c r="FN18" s="35" t="str">
        <f t="shared" si="27"/>
        <v/>
      </c>
      <c r="FO18" s="35" t="str">
        <f t="shared" si="27"/>
        <v/>
      </c>
      <c r="FP18" s="35" t="str">
        <f t="shared" si="27"/>
        <v/>
      </c>
      <c r="FQ18" s="35" t="str">
        <f t="shared" si="27"/>
        <v/>
      </c>
      <c r="FR18" s="35" t="str">
        <f t="shared" si="27"/>
        <v/>
      </c>
      <c r="FS18" s="35" t="str">
        <f t="shared" si="27"/>
        <v/>
      </c>
      <c r="FT18" s="35" t="str">
        <f t="shared" si="27"/>
        <v/>
      </c>
      <c r="FU18" s="35" t="str">
        <f t="shared" si="28"/>
        <v/>
      </c>
      <c r="FV18" s="35" t="str">
        <f t="shared" si="28"/>
        <v/>
      </c>
      <c r="FW18" s="35" t="str">
        <f t="shared" si="28"/>
        <v/>
      </c>
      <c r="FX18" s="35" t="str">
        <f t="shared" si="28"/>
        <v/>
      </c>
      <c r="FY18" s="35" t="str">
        <f t="shared" si="28"/>
        <v/>
      </c>
      <c r="FZ18" s="35" t="str">
        <f t="shared" si="28"/>
        <v/>
      </c>
      <c r="GA18" s="35" t="str">
        <f t="shared" si="28"/>
        <v/>
      </c>
      <c r="GB18" s="35" t="str">
        <f t="shared" si="28"/>
        <v/>
      </c>
      <c r="GC18" s="35" t="str">
        <f t="shared" si="28"/>
        <v/>
      </c>
      <c r="GD18" s="35" t="str">
        <f t="shared" si="28"/>
        <v/>
      </c>
      <c r="GE18" s="35" t="str">
        <f t="shared" si="29"/>
        <v/>
      </c>
      <c r="GF18" s="35" t="str">
        <f t="shared" si="29"/>
        <v/>
      </c>
      <c r="GG18" s="35" t="str">
        <f t="shared" si="29"/>
        <v/>
      </c>
      <c r="GH18" s="35" t="str">
        <f t="shared" si="29"/>
        <v/>
      </c>
      <c r="GI18" s="35" t="str">
        <f t="shared" si="29"/>
        <v/>
      </c>
      <c r="GJ18" s="35" t="str">
        <f t="shared" si="29"/>
        <v/>
      </c>
      <c r="GK18" s="35" t="str">
        <f t="shared" si="29"/>
        <v/>
      </c>
      <c r="GL18" s="35" t="str">
        <f t="shared" si="29"/>
        <v/>
      </c>
      <c r="GM18" s="35" t="str">
        <f t="shared" si="29"/>
        <v/>
      </c>
      <c r="GN18" s="35" t="str">
        <f t="shared" si="29"/>
        <v/>
      </c>
      <c r="GO18" s="35" t="str">
        <f t="shared" si="30"/>
        <v/>
      </c>
      <c r="GP18" s="35" t="str">
        <f t="shared" si="30"/>
        <v/>
      </c>
      <c r="GQ18" s="35" t="str">
        <f t="shared" si="30"/>
        <v/>
      </c>
      <c r="GR18" s="35" t="str">
        <f t="shared" si="30"/>
        <v/>
      </c>
      <c r="GS18" s="35" t="str">
        <f t="shared" si="30"/>
        <v/>
      </c>
      <c r="GT18" s="35" t="str">
        <f t="shared" si="30"/>
        <v/>
      </c>
      <c r="GU18" s="35" t="str">
        <f t="shared" si="30"/>
        <v/>
      </c>
      <c r="GV18" s="35" t="str">
        <f t="shared" si="30"/>
        <v/>
      </c>
      <c r="GW18" s="35" t="str">
        <f t="shared" si="30"/>
        <v/>
      </c>
      <c r="GX18" s="35" t="str">
        <f t="shared" si="30"/>
        <v/>
      </c>
      <c r="GY18" s="35" t="str">
        <f t="shared" si="31"/>
        <v/>
      </c>
      <c r="GZ18" s="35" t="str">
        <f t="shared" si="31"/>
        <v/>
      </c>
      <c r="HA18" s="35" t="str">
        <f t="shared" si="31"/>
        <v/>
      </c>
      <c r="HB18" s="35" t="str">
        <f t="shared" si="31"/>
        <v/>
      </c>
      <c r="HC18" s="35" t="str">
        <f t="shared" si="31"/>
        <v/>
      </c>
      <c r="HD18" s="35" t="str">
        <f t="shared" si="31"/>
        <v/>
      </c>
      <c r="HE18" s="35" t="str">
        <f t="shared" si="31"/>
        <v/>
      </c>
      <c r="HF18" s="35" t="str">
        <f t="shared" si="31"/>
        <v/>
      </c>
      <c r="HG18" s="35" t="str">
        <f t="shared" si="31"/>
        <v/>
      </c>
      <c r="HH18" s="35" t="str">
        <f t="shared" si="31"/>
        <v/>
      </c>
      <c r="HI18" s="35" t="str">
        <f t="shared" si="32"/>
        <v/>
      </c>
      <c r="HJ18" s="35" t="str">
        <f t="shared" si="32"/>
        <v/>
      </c>
      <c r="HK18" s="35" t="str">
        <f t="shared" si="32"/>
        <v/>
      </c>
      <c r="HL18" s="35" t="str">
        <f t="shared" si="32"/>
        <v/>
      </c>
      <c r="HM18" s="35" t="str">
        <f t="shared" si="32"/>
        <v/>
      </c>
      <c r="HN18" s="35">
        <f t="shared" si="32"/>
        <v>1</v>
      </c>
      <c r="HO18" s="35">
        <f t="shared" si="32"/>
        <v>1</v>
      </c>
      <c r="HP18" s="35">
        <f t="shared" si="32"/>
        <v>1</v>
      </c>
      <c r="HQ18" s="35">
        <f t="shared" si="32"/>
        <v>1</v>
      </c>
      <c r="HR18" s="35">
        <f t="shared" si="32"/>
        <v>1</v>
      </c>
      <c r="HS18" s="35">
        <f t="shared" si="33"/>
        <v>1</v>
      </c>
      <c r="HT18" s="35">
        <f t="shared" si="33"/>
        <v>1</v>
      </c>
      <c r="HU18" s="35">
        <f t="shared" si="33"/>
        <v>1</v>
      </c>
      <c r="HV18" s="35">
        <f t="shared" si="33"/>
        <v>1</v>
      </c>
      <c r="HW18" s="35">
        <f t="shared" si="33"/>
        <v>1</v>
      </c>
      <c r="HX18" s="35">
        <f t="shared" si="33"/>
        <v>1</v>
      </c>
      <c r="HY18" s="35">
        <f t="shared" si="33"/>
        <v>1</v>
      </c>
      <c r="HZ18" s="35">
        <f t="shared" si="33"/>
        <v>1</v>
      </c>
      <c r="IA18" s="35">
        <f t="shared" si="33"/>
        <v>1</v>
      </c>
      <c r="IB18" s="35">
        <f t="shared" si="33"/>
        <v>1</v>
      </c>
      <c r="IC18" s="35">
        <f t="shared" si="34"/>
        <v>1</v>
      </c>
      <c r="ID18" s="35">
        <f t="shared" si="34"/>
        <v>1</v>
      </c>
      <c r="IE18" s="35">
        <f t="shared" si="34"/>
        <v>1</v>
      </c>
      <c r="IF18" s="35">
        <f t="shared" si="34"/>
        <v>1</v>
      </c>
      <c r="IG18" s="35">
        <f t="shared" si="34"/>
        <v>1</v>
      </c>
      <c r="IH18" s="35">
        <f t="shared" si="34"/>
        <v>1</v>
      </c>
      <c r="II18" s="35">
        <f t="shared" si="34"/>
        <v>1</v>
      </c>
      <c r="IJ18" s="35">
        <f t="shared" si="34"/>
        <v>1</v>
      </c>
      <c r="IK18" s="35">
        <f t="shared" si="34"/>
        <v>1</v>
      </c>
      <c r="IL18" s="35">
        <f t="shared" si="34"/>
        <v>1</v>
      </c>
      <c r="IM18" s="35">
        <f t="shared" si="35"/>
        <v>1</v>
      </c>
      <c r="IN18" s="35">
        <f t="shared" si="35"/>
        <v>1</v>
      </c>
      <c r="IO18" s="35">
        <f t="shared" si="35"/>
        <v>1</v>
      </c>
      <c r="IP18" s="35">
        <f t="shared" si="35"/>
        <v>1</v>
      </c>
      <c r="IQ18" s="35" t="str">
        <f t="shared" si="35"/>
        <v/>
      </c>
      <c r="IR18" s="35" t="str">
        <f t="shared" si="35"/>
        <v/>
      </c>
      <c r="IS18" s="35" t="str">
        <f t="shared" si="35"/>
        <v/>
      </c>
      <c r="IT18" s="35" t="str">
        <f t="shared" si="35"/>
        <v/>
      </c>
      <c r="IU18" s="35" t="str">
        <f t="shared" si="35"/>
        <v/>
      </c>
      <c r="IV18" s="35" t="str">
        <f t="shared" si="35"/>
        <v/>
      </c>
      <c r="IW18" s="35" t="str">
        <f t="shared" si="36"/>
        <v/>
      </c>
      <c r="IX18" s="35" t="str">
        <f t="shared" si="36"/>
        <v/>
      </c>
      <c r="IY18" s="35" t="str">
        <f t="shared" si="36"/>
        <v/>
      </c>
      <c r="IZ18" s="35" t="str">
        <f t="shared" si="36"/>
        <v/>
      </c>
      <c r="JA18" s="35" t="str">
        <f t="shared" si="36"/>
        <v/>
      </c>
      <c r="JB18" s="35" t="str">
        <f t="shared" si="36"/>
        <v/>
      </c>
      <c r="JC18" s="35" t="str">
        <f t="shared" si="36"/>
        <v/>
      </c>
      <c r="JD18" s="35" t="str">
        <f t="shared" si="36"/>
        <v/>
      </c>
      <c r="JE18" s="35" t="str">
        <f t="shared" si="36"/>
        <v/>
      </c>
      <c r="JF18" s="35" t="str">
        <f t="shared" si="36"/>
        <v/>
      </c>
      <c r="JG18" s="35" t="str">
        <f t="shared" si="37"/>
        <v/>
      </c>
      <c r="JH18" s="35" t="str">
        <f t="shared" si="37"/>
        <v/>
      </c>
      <c r="JI18" s="35" t="str">
        <f t="shared" si="37"/>
        <v/>
      </c>
      <c r="JJ18" s="35" t="str">
        <f t="shared" si="37"/>
        <v/>
      </c>
      <c r="JK18" s="35" t="str">
        <f t="shared" si="37"/>
        <v/>
      </c>
      <c r="JL18" s="35" t="str">
        <f t="shared" si="37"/>
        <v/>
      </c>
      <c r="JM18" s="35" t="str">
        <f t="shared" si="37"/>
        <v/>
      </c>
      <c r="JN18" s="35" t="str">
        <f t="shared" si="37"/>
        <v/>
      </c>
      <c r="JO18" s="35" t="str">
        <f t="shared" si="37"/>
        <v/>
      </c>
      <c r="JP18" s="35" t="str">
        <f t="shared" si="37"/>
        <v/>
      </c>
    </row>
    <row r="19" spans="1:276" ht="22" customHeight="1" x14ac:dyDescent="0.2">
      <c r="A19" s="32" t="s">
        <v>171</v>
      </c>
      <c r="B19" s="33">
        <f>IF($B$42="","",$B$42)</f>
        <v>46292</v>
      </c>
      <c r="C19" s="33">
        <f>IF($B$43="","",$B$43)</f>
        <v>46295</v>
      </c>
      <c r="D19" s="34" t="s">
        <v>172</v>
      </c>
      <c r="E19" s="34" t="str">
        <f t="shared" ca="1" si="10"/>
        <v>Planned</v>
      </c>
      <c r="G19" s="35" t="str">
        <f t="shared" si="11"/>
        <v/>
      </c>
      <c r="H19" s="35" t="str">
        <f t="shared" si="11"/>
        <v/>
      </c>
      <c r="I19" s="35" t="str">
        <f t="shared" si="11"/>
        <v/>
      </c>
      <c r="J19" s="35" t="str">
        <f t="shared" si="11"/>
        <v/>
      </c>
      <c r="K19" s="35" t="str">
        <f t="shared" si="11"/>
        <v/>
      </c>
      <c r="L19" s="35" t="str">
        <f t="shared" si="11"/>
        <v/>
      </c>
      <c r="M19" s="35" t="str">
        <f t="shared" si="11"/>
        <v/>
      </c>
      <c r="N19" s="35" t="str">
        <f t="shared" si="11"/>
        <v/>
      </c>
      <c r="O19" s="35" t="str">
        <f t="shared" si="11"/>
        <v/>
      </c>
      <c r="P19" s="35" t="str">
        <f t="shared" si="11"/>
        <v/>
      </c>
      <c r="Q19" s="35" t="str">
        <f t="shared" si="12"/>
        <v/>
      </c>
      <c r="R19" s="35" t="str">
        <f t="shared" si="12"/>
        <v/>
      </c>
      <c r="S19" s="35" t="str">
        <f t="shared" si="12"/>
        <v/>
      </c>
      <c r="T19" s="35" t="str">
        <f t="shared" si="12"/>
        <v/>
      </c>
      <c r="U19" s="35" t="str">
        <f t="shared" si="12"/>
        <v/>
      </c>
      <c r="V19" s="35" t="str">
        <f t="shared" si="12"/>
        <v/>
      </c>
      <c r="W19" s="35" t="str">
        <f t="shared" si="12"/>
        <v/>
      </c>
      <c r="X19" s="35" t="str">
        <f t="shared" si="12"/>
        <v/>
      </c>
      <c r="Y19" s="35" t="str">
        <f t="shared" si="12"/>
        <v/>
      </c>
      <c r="Z19" s="35" t="str">
        <f t="shared" si="12"/>
        <v/>
      </c>
      <c r="AA19" s="35" t="str">
        <f t="shared" si="13"/>
        <v/>
      </c>
      <c r="AB19" s="35" t="str">
        <f t="shared" si="13"/>
        <v/>
      </c>
      <c r="AC19" s="35" t="str">
        <f t="shared" si="13"/>
        <v/>
      </c>
      <c r="AD19" s="35" t="str">
        <f t="shared" si="13"/>
        <v/>
      </c>
      <c r="AE19" s="35" t="str">
        <f t="shared" si="13"/>
        <v/>
      </c>
      <c r="AF19" s="35" t="str">
        <f t="shared" si="13"/>
        <v/>
      </c>
      <c r="AG19" s="35" t="str">
        <f t="shared" si="13"/>
        <v/>
      </c>
      <c r="AH19" s="35" t="str">
        <f t="shared" si="13"/>
        <v/>
      </c>
      <c r="AI19" s="35" t="str">
        <f t="shared" si="13"/>
        <v/>
      </c>
      <c r="AJ19" s="35" t="str">
        <f t="shared" si="13"/>
        <v/>
      </c>
      <c r="AK19" s="35" t="str">
        <f t="shared" si="14"/>
        <v/>
      </c>
      <c r="AL19" s="35" t="str">
        <f t="shared" si="14"/>
        <v/>
      </c>
      <c r="AM19" s="35" t="str">
        <f t="shared" si="14"/>
        <v/>
      </c>
      <c r="AN19" s="35" t="str">
        <f t="shared" si="14"/>
        <v/>
      </c>
      <c r="AO19" s="35" t="str">
        <f t="shared" si="14"/>
        <v/>
      </c>
      <c r="AP19" s="35" t="str">
        <f t="shared" si="14"/>
        <v/>
      </c>
      <c r="AQ19" s="35" t="str">
        <f t="shared" si="14"/>
        <v/>
      </c>
      <c r="AR19" s="35" t="str">
        <f t="shared" si="14"/>
        <v/>
      </c>
      <c r="AS19" s="35" t="str">
        <f t="shared" si="14"/>
        <v/>
      </c>
      <c r="AT19" s="35" t="str">
        <f t="shared" si="14"/>
        <v/>
      </c>
      <c r="AU19" s="35" t="str">
        <f t="shared" si="15"/>
        <v/>
      </c>
      <c r="AV19" s="35" t="str">
        <f t="shared" si="15"/>
        <v/>
      </c>
      <c r="AW19" s="35" t="str">
        <f t="shared" si="15"/>
        <v/>
      </c>
      <c r="AX19" s="35" t="str">
        <f t="shared" si="15"/>
        <v/>
      </c>
      <c r="AY19" s="35" t="str">
        <f t="shared" si="15"/>
        <v/>
      </c>
      <c r="AZ19" s="35" t="str">
        <f t="shared" si="15"/>
        <v/>
      </c>
      <c r="BA19" s="35" t="str">
        <f t="shared" si="15"/>
        <v/>
      </c>
      <c r="BB19" s="35" t="str">
        <f t="shared" si="15"/>
        <v/>
      </c>
      <c r="BC19" s="35" t="str">
        <f t="shared" si="15"/>
        <v/>
      </c>
      <c r="BD19" s="35" t="str">
        <f t="shared" si="15"/>
        <v/>
      </c>
      <c r="BE19" s="35" t="str">
        <f t="shared" si="16"/>
        <v/>
      </c>
      <c r="BF19" s="35" t="str">
        <f t="shared" si="16"/>
        <v/>
      </c>
      <c r="BG19" s="35" t="str">
        <f t="shared" si="16"/>
        <v/>
      </c>
      <c r="BH19" s="35" t="str">
        <f t="shared" si="16"/>
        <v/>
      </c>
      <c r="BI19" s="35" t="str">
        <f t="shared" si="16"/>
        <v/>
      </c>
      <c r="BJ19" s="35" t="str">
        <f t="shared" si="16"/>
        <v/>
      </c>
      <c r="BK19" s="35" t="str">
        <f t="shared" si="16"/>
        <v/>
      </c>
      <c r="BL19" s="35" t="str">
        <f t="shared" si="16"/>
        <v/>
      </c>
      <c r="BM19" s="35" t="str">
        <f t="shared" si="16"/>
        <v/>
      </c>
      <c r="BN19" s="35" t="str">
        <f t="shared" si="16"/>
        <v/>
      </c>
      <c r="BO19" s="35" t="str">
        <f t="shared" si="17"/>
        <v/>
      </c>
      <c r="BP19" s="35" t="str">
        <f t="shared" si="17"/>
        <v/>
      </c>
      <c r="BQ19" s="35" t="str">
        <f t="shared" si="17"/>
        <v/>
      </c>
      <c r="BR19" s="35" t="str">
        <f t="shared" si="17"/>
        <v/>
      </c>
      <c r="BS19" s="35" t="str">
        <f t="shared" si="17"/>
        <v/>
      </c>
      <c r="BT19" s="35" t="str">
        <f t="shared" si="17"/>
        <v/>
      </c>
      <c r="BU19" s="35" t="str">
        <f t="shared" si="17"/>
        <v/>
      </c>
      <c r="BV19" s="35" t="str">
        <f t="shared" si="17"/>
        <v/>
      </c>
      <c r="BW19" s="35" t="str">
        <f t="shared" si="17"/>
        <v/>
      </c>
      <c r="BX19" s="35" t="str">
        <f t="shared" si="17"/>
        <v/>
      </c>
      <c r="BY19" s="35" t="str">
        <f t="shared" si="18"/>
        <v/>
      </c>
      <c r="BZ19" s="35" t="str">
        <f t="shared" si="18"/>
        <v/>
      </c>
      <c r="CA19" s="35" t="str">
        <f t="shared" si="18"/>
        <v/>
      </c>
      <c r="CB19" s="35" t="str">
        <f t="shared" si="18"/>
        <v/>
      </c>
      <c r="CC19" s="35" t="str">
        <f t="shared" si="18"/>
        <v/>
      </c>
      <c r="CD19" s="35" t="str">
        <f t="shared" si="18"/>
        <v/>
      </c>
      <c r="CE19" s="35" t="str">
        <f t="shared" si="18"/>
        <v/>
      </c>
      <c r="CF19" s="35" t="str">
        <f t="shared" si="18"/>
        <v/>
      </c>
      <c r="CG19" s="35" t="str">
        <f t="shared" si="18"/>
        <v/>
      </c>
      <c r="CH19" s="35" t="str">
        <f t="shared" si="18"/>
        <v/>
      </c>
      <c r="CI19" s="35" t="str">
        <f t="shared" si="19"/>
        <v/>
      </c>
      <c r="CJ19" s="35" t="str">
        <f t="shared" si="19"/>
        <v/>
      </c>
      <c r="CK19" s="35" t="str">
        <f t="shared" si="19"/>
        <v/>
      </c>
      <c r="CL19" s="35" t="str">
        <f t="shared" si="19"/>
        <v/>
      </c>
      <c r="CM19" s="35" t="str">
        <f t="shared" si="19"/>
        <v/>
      </c>
      <c r="CN19" s="35" t="str">
        <f t="shared" si="19"/>
        <v/>
      </c>
      <c r="CO19" s="35" t="str">
        <f t="shared" si="19"/>
        <v/>
      </c>
      <c r="CP19" s="35" t="str">
        <f t="shared" si="19"/>
        <v/>
      </c>
      <c r="CQ19" s="35" t="str">
        <f t="shared" si="19"/>
        <v/>
      </c>
      <c r="CR19" s="35" t="str">
        <f t="shared" si="19"/>
        <v/>
      </c>
      <c r="CS19" s="35" t="str">
        <f t="shared" si="20"/>
        <v/>
      </c>
      <c r="CT19" s="35" t="str">
        <f t="shared" si="20"/>
        <v/>
      </c>
      <c r="CU19" s="35" t="str">
        <f t="shared" si="20"/>
        <v/>
      </c>
      <c r="CV19" s="35" t="str">
        <f t="shared" si="20"/>
        <v/>
      </c>
      <c r="CW19" s="35" t="str">
        <f t="shared" si="20"/>
        <v/>
      </c>
      <c r="CX19" s="35" t="str">
        <f t="shared" si="20"/>
        <v/>
      </c>
      <c r="CY19" s="35" t="str">
        <f t="shared" si="20"/>
        <v/>
      </c>
      <c r="CZ19" s="35" t="str">
        <f t="shared" si="20"/>
        <v/>
      </c>
      <c r="DA19" s="35" t="str">
        <f t="shared" si="20"/>
        <v/>
      </c>
      <c r="DB19" s="35" t="str">
        <f t="shared" si="20"/>
        <v/>
      </c>
      <c r="DC19" s="35" t="str">
        <f t="shared" si="21"/>
        <v/>
      </c>
      <c r="DD19" s="35" t="str">
        <f t="shared" si="21"/>
        <v/>
      </c>
      <c r="DE19" s="35" t="str">
        <f t="shared" si="21"/>
        <v/>
      </c>
      <c r="DF19" s="35" t="str">
        <f t="shared" si="21"/>
        <v/>
      </c>
      <c r="DG19" s="35" t="str">
        <f t="shared" si="21"/>
        <v/>
      </c>
      <c r="DH19" s="35" t="str">
        <f t="shared" si="21"/>
        <v/>
      </c>
      <c r="DI19" s="35" t="str">
        <f t="shared" si="21"/>
        <v/>
      </c>
      <c r="DJ19" s="35" t="str">
        <f t="shared" si="21"/>
        <v/>
      </c>
      <c r="DK19" s="35" t="str">
        <f t="shared" si="21"/>
        <v/>
      </c>
      <c r="DL19" s="35" t="str">
        <f t="shared" si="21"/>
        <v/>
      </c>
      <c r="DM19" s="35" t="str">
        <f t="shared" si="22"/>
        <v/>
      </c>
      <c r="DN19" s="35" t="str">
        <f t="shared" si="22"/>
        <v/>
      </c>
      <c r="DO19" s="35" t="str">
        <f t="shared" si="22"/>
        <v/>
      </c>
      <c r="DP19" s="35" t="str">
        <f t="shared" si="22"/>
        <v/>
      </c>
      <c r="DQ19" s="35" t="str">
        <f t="shared" si="22"/>
        <v/>
      </c>
      <c r="DR19" s="35" t="str">
        <f t="shared" si="22"/>
        <v/>
      </c>
      <c r="DS19" s="35" t="str">
        <f t="shared" si="22"/>
        <v/>
      </c>
      <c r="DT19" s="35" t="str">
        <f t="shared" si="22"/>
        <v/>
      </c>
      <c r="DU19" s="35" t="str">
        <f t="shared" si="22"/>
        <v/>
      </c>
      <c r="DV19" s="35" t="str">
        <f t="shared" si="22"/>
        <v/>
      </c>
      <c r="DW19" s="35" t="str">
        <f t="shared" si="23"/>
        <v/>
      </c>
      <c r="DX19" s="35" t="str">
        <f t="shared" si="23"/>
        <v/>
      </c>
      <c r="DY19" s="35" t="str">
        <f t="shared" si="23"/>
        <v/>
      </c>
      <c r="DZ19" s="35" t="str">
        <f t="shared" si="23"/>
        <v/>
      </c>
      <c r="EA19" s="35" t="str">
        <f t="shared" si="23"/>
        <v/>
      </c>
      <c r="EB19" s="35" t="str">
        <f t="shared" si="23"/>
        <v/>
      </c>
      <c r="EC19" s="35" t="str">
        <f t="shared" si="23"/>
        <v/>
      </c>
      <c r="ED19" s="35" t="str">
        <f t="shared" si="23"/>
        <v/>
      </c>
      <c r="EE19" s="35" t="str">
        <f t="shared" si="23"/>
        <v/>
      </c>
      <c r="EF19" s="35" t="str">
        <f t="shared" si="23"/>
        <v/>
      </c>
      <c r="EG19" s="35" t="str">
        <f t="shared" si="24"/>
        <v/>
      </c>
      <c r="EH19" s="35" t="str">
        <f t="shared" si="24"/>
        <v/>
      </c>
      <c r="EI19" s="35" t="str">
        <f t="shared" si="24"/>
        <v/>
      </c>
      <c r="EJ19" s="35" t="str">
        <f t="shared" si="24"/>
        <v/>
      </c>
      <c r="EK19" s="35" t="str">
        <f t="shared" si="24"/>
        <v/>
      </c>
      <c r="EL19" s="35" t="str">
        <f t="shared" si="24"/>
        <v/>
      </c>
      <c r="EM19" s="35" t="str">
        <f t="shared" si="24"/>
        <v/>
      </c>
      <c r="EN19" s="35" t="str">
        <f t="shared" si="24"/>
        <v/>
      </c>
      <c r="EO19" s="35" t="str">
        <f t="shared" si="24"/>
        <v/>
      </c>
      <c r="EP19" s="35" t="str">
        <f t="shared" si="24"/>
        <v/>
      </c>
      <c r="EQ19" s="35" t="str">
        <f t="shared" si="25"/>
        <v/>
      </c>
      <c r="ER19" s="35" t="str">
        <f t="shared" si="25"/>
        <v/>
      </c>
      <c r="ES19" s="35" t="str">
        <f t="shared" si="25"/>
        <v/>
      </c>
      <c r="ET19" s="35" t="str">
        <f t="shared" si="25"/>
        <v/>
      </c>
      <c r="EU19" s="35" t="str">
        <f t="shared" si="25"/>
        <v/>
      </c>
      <c r="EV19" s="35" t="str">
        <f t="shared" si="25"/>
        <v/>
      </c>
      <c r="EW19" s="35" t="str">
        <f t="shared" si="25"/>
        <v/>
      </c>
      <c r="EX19" s="35" t="str">
        <f t="shared" si="25"/>
        <v/>
      </c>
      <c r="EY19" s="35" t="str">
        <f t="shared" si="25"/>
        <v/>
      </c>
      <c r="EZ19" s="35" t="str">
        <f t="shared" si="25"/>
        <v/>
      </c>
      <c r="FA19" s="35" t="str">
        <f t="shared" si="26"/>
        <v/>
      </c>
      <c r="FB19" s="35" t="str">
        <f t="shared" si="26"/>
        <v/>
      </c>
      <c r="FC19" s="35" t="str">
        <f t="shared" si="26"/>
        <v/>
      </c>
      <c r="FD19" s="35" t="str">
        <f t="shared" si="26"/>
        <v/>
      </c>
      <c r="FE19" s="35" t="str">
        <f t="shared" si="26"/>
        <v/>
      </c>
      <c r="FF19" s="35" t="str">
        <f t="shared" si="26"/>
        <v/>
      </c>
      <c r="FG19" s="35" t="str">
        <f t="shared" si="26"/>
        <v/>
      </c>
      <c r="FH19" s="35" t="str">
        <f t="shared" si="26"/>
        <v/>
      </c>
      <c r="FI19" s="35" t="str">
        <f t="shared" si="26"/>
        <v/>
      </c>
      <c r="FJ19" s="35" t="str">
        <f t="shared" si="26"/>
        <v/>
      </c>
      <c r="FK19" s="35" t="str">
        <f t="shared" si="27"/>
        <v/>
      </c>
      <c r="FL19" s="35" t="str">
        <f t="shared" si="27"/>
        <v/>
      </c>
      <c r="FM19" s="35" t="str">
        <f t="shared" si="27"/>
        <v/>
      </c>
      <c r="FN19" s="35" t="str">
        <f t="shared" si="27"/>
        <v/>
      </c>
      <c r="FO19" s="35" t="str">
        <f t="shared" si="27"/>
        <v/>
      </c>
      <c r="FP19" s="35" t="str">
        <f t="shared" si="27"/>
        <v/>
      </c>
      <c r="FQ19" s="35" t="str">
        <f t="shared" si="27"/>
        <v/>
      </c>
      <c r="FR19" s="35" t="str">
        <f t="shared" si="27"/>
        <v/>
      </c>
      <c r="FS19" s="35" t="str">
        <f t="shared" si="27"/>
        <v/>
      </c>
      <c r="FT19" s="35" t="str">
        <f t="shared" si="27"/>
        <v/>
      </c>
      <c r="FU19" s="35" t="str">
        <f t="shared" si="28"/>
        <v/>
      </c>
      <c r="FV19" s="35" t="str">
        <f t="shared" si="28"/>
        <v/>
      </c>
      <c r="FW19" s="35" t="str">
        <f t="shared" si="28"/>
        <v/>
      </c>
      <c r="FX19" s="35" t="str">
        <f t="shared" si="28"/>
        <v/>
      </c>
      <c r="FY19" s="35" t="str">
        <f t="shared" si="28"/>
        <v/>
      </c>
      <c r="FZ19" s="35" t="str">
        <f t="shared" si="28"/>
        <v/>
      </c>
      <c r="GA19" s="35" t="str">
        <f t="shared" si="28"/>
        <v/>
      </c>
      <c r="GB19" s="35" t="str">
        <f t="shared" si="28"/>
        <v/>
      </c>
      <c r="GC19" s="35" t="str">
        <f t="shared" si="28"/>
        <v/>
      </c>
      <c r="GD19" s="35" t="str">
        <f t="shared" si="28"/>
        <v/>
      </c>
      <c r="GE19" s="35" t="str">
        <f t="shared" si="29"/>
        <v/>
      </c>
      <c r="GF19" s="35" t="str">
        <f t="shared" si="29"/>
        <v/>
      </c>
      <c r="GG19" s="35" t="str">
        <f t="shared" si="29"/>
        <v/>
      </c>
      <c r="GH19" s="35" t="str">
        <f t="shared" si="29"/>
        <v/>
      </c>
      <c r="GI19" s="35" t="str">
        <f t="shared" si="29"/>
        <v/>
      </c>
      <c r="GJ19" s="35" t="str">
        <f t="shared" si="29"/>
        <v/>
      </c>
      <c r="GK19" s="35" t="str">
        <f t="shared" si="29"/>
        <v/>
      </c>
      <c r="GL19" s="35" t="str">
        <f t="shared" si="29"/>
        <v/>
      </c>
      <c r="GM19" s="35" t="str">
        <f t="shared" si="29"/>
        <v/>
      </c>
      <c r="GN19" s="35" t="str">
        <f t="shared" si="29"/>
        <v/>
      </c>
      <c r="GO19" s="35" t="str">
        <f t="shared" si="30"/>
        <v/>
      </c>
      <c r="GP19" s="35" t="str">
        <f t="shared" si="30"/>
        <v/>
      </c>
      <c r="GQ19" s="35" t="str">
        <f t="shared" si="30"/>
        <v/>
      </c>
      <c r="GR19" s="35" t="str">
        <f t="shared" si="30"/>
        <v/>
      </c>
      <c r="GS19" s="35" t="str">
        <f t="shared" si="30"/>
        <v/>
      </c>
      <c r="GT19" s="35" t="str">
        <f t="shared" si="30"/>
        <v/>
      </c>
      <c r="GU19" s="35" t="str">
        <f t="shared" si="30"/>
        <v/>
      </c>
      <c r="GV19" s="35" t="str">
        <f t="shared" si="30"/>
        <v/>
      </c>
      <c r="GW19" s="35" t="str">
        <f t="shared" si="30"/>
        <v/>
      </c>
      <c r="GX19" s="35" t="str">
        <f t="shared" si="30"/>
        <v/>
      </c>
      <c r="GY19" s="35" t="str">
        <f t="shared" si="31"/>
        <v/>
      </c>
      <c r="GZ19" s="35" t="str">
        <f t="shared" si="31"/>
        <v/>
      </c>
      <c r="HA19" s="35" t="str">
        <f t="shared" si="31"/>
        <v/>
      </c>
      <c r="HB19" s="35" t="str">
        <f t="shared" si="31"/>
        <v/>
      </c>
      <c r="HC19" s="35" t="str">
        <f t="shared" si="31"/>
        <v/>
      </c>
      <c r="HD19" s="35" t="str">
        <f t="shared" si="31"/>
        <v/>
      </c>
      <c r="HE19" s="35" t="str">
        <f t="shared" si="31"/>
        <v/>
      </c>
      <c r="HF19" s="35" t="str">
        <f t="shared" si="31"/>
        <v/>
      </c>
      <c r="HG19" s="35" t="str">
        <f t="shared" si="31"/>
        <v/>
      </c>
      <c r="HH19" s="35" t="str">
        <f t="shared" si="31"/>
        <v/>
      </c>
      <c r="HI19" s="35" t="str">
        <f t="shared" si="32"/>
        <v/>
      </c>
      <c r="HJ19" s="35" t="str">
        <f t="shared" si="32"/>
        <v/>
      </c>
      <c r="HK19" s="35" t="str">
        <f t="shared" si="32"/>
        <v/>
      </c>
      <c r="HL19" s="35" t="str">
        <f t="shared" si="32"/>
        <v/>
      </c>
      <c r="HM19" s="35" t="str">
        <f t="shared" si="32"/>
        <v/>
      </c>
      <c r="HN19" s="35" t="str">
        <f t="shared" si="32"/>
        <v/>
      </c>
      <c r="HO19" s="35" t="str">
        <f t="shared" si="32"/>
        <v/>
      </c>
      <c r="HP19" s="35" t="str">
        <f t="shared" si="32"/>
        <v/>
      </c>
      <c r="HQ19" s="35" t="str">
        <f t="shared" si="32"/>
        <v/>
      </c>
      <c r="HR19" s="35" t="str">
        <f t="shared" si="32"/>
        <v/>
      </c>
      <c r="HS19" s="35" t="str">
        <f t="shared" si="33"/>
        <v/>
      </c>
      <c r="HT19" s="35" t="str">
        <f t="shared" si="33"/>
        <v/>
      </c>
      <c r="HU19" s="35" t="str">
        <f t="shared" si="33"/>
        <v/>
      </c>
      <c r="HV19" s="35" t="str">
        <f t="shared" si="33"/>
        <v/>
      </c>
      <c r="HW19" s="35" t="str">
        <f t="shared" si="33"/>
        <v/>
      </c>
      <c r="HX19" s="35" t="str">
        <f t="shared" si="33"/>
        <v/>
      </c>
      <c r="HY19" s="35" t="str">
        <f t="shared" si="33"/>
        <v/>
      </c>
      <c r="HZ19" s="35" t="str">
        <f t="shared" si="33"/>
        <v/>
      </c>
      <c r="IA19" s="35" t="str">
        <f t="shared" si="33"/>
        <v/>
      </c>
      <c r="IB19" s="35" t="str">
        <f t="shared" si="33"/>
        <v/>
      </c>
      <c r="IC19" s="35" t="str">
        <f t="shared" si="34"/>
        <v/>
      </c>
      <c r="ID19" s="35" t="str">
        <f t="shared" si="34"/>
        <v/>
      </c>
      <c r="IE19" s="35" t="str">
        <f t="shared" si="34"/>
        <v/>
      </c>
      <c r="IF19" s="35" t="str">
        <f t="shared" si="34"/>
        <v/>
      </c>
      <c r="IG19" s="35" t="str">
        <f t="shared" si="34"/>
        <v/>
      </c>
      <c r="IH19" s="35" t="str">
        <f t="shared" si="34"/>
        <v/>
      </c>
      <c r="II19" s="35" t="str">
        <f t="shared" si="34"/>
        <v/>
      </c>
      <c r="IJ19" s="35" t="str">
        <f t="shared" si="34"/>
        <v/>
      </c>
      <c r="IK19" s="35">
        <f t="shared" si="34"/>
        <v>1</v>
      </c>
      <c r="IL19" s="35">
        <f t="shared" si="34"/>
        <v>1</v>
      </c>
      <c r="IM19" s="35">
        <f t="shared" si="35"/>
        <v>1</v>
      </c>
      <c r="IN19" s="35">
        <f t="shared" si="35"/>
        <v>1</v>
      </c>
      <c r="IO19" s="35" t="str">
        <f t="shared" si="35"/>
        <v/>
      </c>
      <c r="IP19" s="35" t="str">
        <f t="shared" si="35"/>
        <v/>
      </c>
      <c r="IQ19" s="35" t="str">
        <f t="shared" si="35"/>
        <v/>
      </c>
      <c r="IR19" s="35" t="str">
        <f t="shared" si="35"/>
        <v/>
      </c>
      <c r="IS19" s="35" t="str">
        <f t="shared" si="35"/>
        <v/>
      </c>
      <c r="IT19" s="35" t="str">
        <f t="shared" si="35"/>
        <v/>
      </c>
      <c r="IU19" s="35" t="str">
        <f t="shared" si="35"/>
        <v/>
      </c>
      <c r="IV19" s="35" t="str">
        <f t="shared" si="35"/>
        <v/>
      </c>
      <c r="IW19" s="35" t="str">
        <f t="shared" si="36"/>
        <v/>
      </c>
      <c r="IX19" s="35" t="str">
        <f t="shared" si="36"/>
        <v/>
      </c>
      <c r="IY19" s="35" t="str">
        <f t="shared" si="36"/>
        <v/>
      </c>
      <c r="IZ19" s="35" t="str">
        <f t="shared" si="36"/>
        <v/>
      </c>
      <c r="JA19" s="35" t="str">
        <f t="shared" si="36"/>
        <v/>
      </c>
      <c r="JB19" s="35" t="str">
        <f t="shared" si="36"/>
        <v/>
      </c>
      <c r="JC19" s="35" t="str">
        <f t="shared" si="36"/>
        <v/>
      </c>
      <c r="JD19" s="35" t="str">
        <f t="shared" si="36"/>
        <v/>
      </c>
      <c r="JE19" s="35" t="str">
        <f t="shared" si="36"/>
        <v/>
      </c>
      <c r="JF19" s="35" t="str">
        <f t="shared" si="36"/>
        <v/>
      </c>
      <c r="JG19" s="35" t="str">
        <f t="shared" si="37"/>
        <v/>
      </c>
      <c r="JH19" s="35" t="str">
        <f t="shared" si="37"/>
        <v/>
      </c>
      <c r="JI19" s="35" t="str">
        <f t="shared" si="37"/>
        <v/>
      </c>
      <c r="JJ19" s="35" t="str">
        <f t="shared" si="37"/>
        <v/>
      </c>
      <c r="JK19" s="35" t="str">
        <f t="shared" si="37"/>
        <v/>
      </c>
      <c r="JL19" s="35" t="str">
        <f t="shared" si="37"/>
        <v/>
      </c>
      <c r="JM19" s="35" t="str">
        <f t="shared" si="37"/>
        <v/>
      </c>
      <c r="JN19" s="35" t="str">
        <f t="shared" si="37"/>
        <v/>
      </c>
      <c r="JO19" s="35" t="str">
        <f t="shared" si="37"/>
        <v/>
      </c>
      <c r="JP19" s="35" t="str">
        <f t="shared" si="37"/>
        <v/>
      </c>
    </row>
    <row r="20" spans="1:276" ht="22" customHeight="1" x14ac:dyDescent="0.2">
      <c r="A20" s="32" t="s">
        <v>173</v>
      </c>
      <c r="B20" s="33">
        <f>IF($B$44="","",$B$44)</f>
        <v>46297</v>
      </c>
      <c r="C20" s="33">
        <f>IF($B$45="","",$B$45)</f>
        <v>46304</v>
      </c>
      <c r="D20" s="33" t="s">
        <v>174</v>
      </c>
      <c r="E20" s="34" t="str">
        <f t="shared" ca="1" si="10"/>
        <v>Planned</v>
      </c>
      <c r="G20" s="35" t="str">
        <f t="shared" si="11"/>
        <v/>
      </c>
      <c r="H20" s="35" t="str">
        <f t="shared" si="11"/>
        <v/>
      </c>
      <c r="I20" s="35" t="str">
        <f t="shared" si="11"/>
        <v/>
      </c>
      <c r="J20" s="35" t="str">
        <f t="shared" si="11"/>
        <v/>
      </c>
      <c r="K20" s="35" t="str">
        <f t="shared" si="11"/>
        <v/>
      </c>
      <c r="L20" s="35" t="str">
        <f t="shared" si="11"/>
        <v/>
      </c>
      <c r="M20" s="35" t="str">
        <f t="shared" si="11"/>
        <v/>
      </c>
      <c r="N20" s="35" t="str">
        <f t="shared" si="11"/>
        <v/>
      </c>
      <c r="O20" s="35" t="str">
        <f t="shared" si="11"/>
        <v/>
      </c>
      <c r="P20" s="35" t="str">
        <f t="shared" si="11"/>
        <v/>
      </c>
      <c r="Q20" s="35" t="str">
        <f t="shared" si="12"/>
        <v/>
      </c>
      <c r="R20" s="35" t="str">
        <f t="shared" si="12"/>
        <v/>
      </c>
      <c r="S20" s="35" t="str">
        <f t="shared" si="12"/>
        <v/>
      </c>
      <c r="T20" s="35" t="str">
        <f t="shared" si="12"/>
        <v/>
      </c>
      <c r="U20" s="35" t="str">
        <f t="shared" si="12"/>
        <v/>
      </c>
      <c r="V20" s="35" t="str">
        <f t="shared" si="12"/>
        <v/>
      </c>
      <c r="W20" s="35" t="str">
        <f t="shared" si="12"/>
        <v/>
      </c>
      <c r="X20" s="35" t="str">
        <f t="shared" si="12"/>
        <v/>
      </c>
      <c r="Y20" s="35" t="str">
        <f t="shared" si="12"/>
        <v/>
      </c>
      <c r="Z20" s="35" t="str">
        <f t="shared" si="12"/>
        <v/>
      </c>
      <c r="AA20" s="35" t="str">
        <f t="shared" si="13"/>
        <v/>
      </c>
      <c r="AB20" s="35" t="str">
        <f t="shared" si="13"/>
        <v/>
      </c>
      <c r="AC20" s="35" t="str">
        <f t="shared" si="13"/>
        <v/>
      </c>
      <c r="AD20" s="35" t="str">
        <f t="shared" si="13"/>
        <v/>
      </c>
      <c r="AE20" s="35" t="str">
        <f t="shared" si="13"/>
        <v/>
      </c>
      <c r="AF20" s="35" t="str">
        <f t="shared" si="13"/>
        <v/>
      </c>
      <c r="AG20" s="35" t="str">
        <f t="shared" si="13"/>
        <v/>
      </c>
      <c r="AH20" s="35" t="str">
        <f t="shared" si="13"/>
        <v/>
      </c>
      <c r="AI20" s="35" t="str">
        <f t="shared" si="13"/>
        <v/>
      </c>
      <c r="AJ20" s="35" t="str">
        <f t="shared" si="13"/>
        <v/>
      </c>
      <c r="AK20" s="35" t="str">
        <f t="shared" si="14"/>
        <v/>
      </c>
      <c r="AL20" s="35" t="str">
        <f t="shared" si="14"/>
        <v/>
      </c>
      <c r="AM20" s="35" t="str">
        <f t="shared" si="14"/>
        <v/>
      </c>
      <c r="AN20" s="35" t="str">
        <f t="shared" si="14"/>
        <v/>
      </c>
      <c r="AO20" s="35" t="str">
        <f t="shared" si="14"/>
        <v/>
      </c>
      <c r="AP20" s="35" t="str">
        <f t="shared" si="14"/>
        <v/>
      </c>
      <c r="AQ20" s="35" t="str">
        <f t="shared" si="14"/>
        <v/>
      </c>
      <c r="AR20" s="35" t="str">
        <f t="shared" si="14"/>
        <v/>
      </c>
      <c r="AS20" s="35" t="str">
        <f t="shared" si="14"/>
        <v/>
      </c>
      <c r="AT20" s="35" t="str">
        <f t="shared" si="14"/>
        <v/>
      </c>
      <c r="AU20" s="35" t="str">
        <f t="shared" si="15"/>
        <v/>
      </c>
      <c r="AV20" s="35" t="str">
        <f t="shared" si="15"/>
        <v/>
      </c>
      <c r="AW20" s="35" t="str">
        <f t="shared" si="15"/>
        <v/>
      </c>
      <c r="AX20" s="35" t="str">
        <f t="shared" si="15"/>
        <v/>
      </c>
      <c r="AY20" s="35" t="str">
        <f t="shared" si="15"/>
        <v/>
      </c>
      <c r="AZ20" s="35" t="str">
        <f t="shared" si="15"/>
        <v/>
      </c>
      <c r="BA20" s="35" t="str">
        <f t="shared" si="15"/>
        <v/>
      </c>
      <c r="BB20" s="35" t="str">
        <f t="shared" si="15"/>
        <v/>
      </c>
      <c r="BC20" s="35" t="str">
        <f t="shared" si="15"/>
        <v/>
      </c>
      <c r="BD20" s="35" t="str">
        <f t="shared" si="15"/>
        <v/>
      </c>
      <c r="BE20" s="35" t="str">
        <f t="shared" si="16"/>
        <v/>
      </c>
      <c r="BF20" s="35" t="str">
        <f t="shared" si="16"/>
        <v/>
      </c>
      <c r="BG20" s="35" t="str">
        <f t="shared" si="16"/>
        <v/>
      </c>
      <c r="BH20" s="35" t="str">
        <f t="shared" si="16"/>
        <v/>
      </c>
      <c r="BI20" s="35" t="str">
        <f t="shared" si="16"/>
        <v/>
      </c>
      <c r="BJ20" s="35" t="str">
        <f t="shared" si="16"/>
        <v/>
      </c>
      <c r="BK20" s="35" t="str">
        <f t="shared" si="16"/>
        <v/>
      </c>
      <c r="BL20" s="35" t="str">
        <f t="shared" si="16"/>
        <v/>
      </c>
      <c r="BM20" s="35" t="str">
        <f t="shared" si="16"/>
        <v/>
      </c>
      <c r="BN20" s="35" t="str">
        <f t="shared" si="16"/>
        <v/>
      </c>
      <c r="BO20" s="35" t="str">
        <f t="shared" si="17"/>
        <v/>
      </c>
      <c r="BP20" s="35" t="str">
        <f t="shared" si="17"/>
        <v/>
      </c>
      <c r="BQ20" s="35" t="str">
        <f t="shared" si="17"/>
        <v/>
      </c>
      <c r="BR20" s="35" t="str">
        <f t="shared" si="17"/>
        <v/>
      </c>
      <c r="BS20" s="35" t="str">
        <f t="shared" si="17"/>
        <v/>
      </c>
      <c r="BT20" s="35" t="str">
        <f t="shared" si="17"/>
        <v/>
      </c>
      <c r="BU20" s="35" t="str">
        <f t="shared" si="17"/>
        <v/>
      </c>
      <c r="BV20" s="35" t="str">
        <f t="shared" si="17"/>
        <v/>
      </c>
      <c r="BW20" s="35" t="str">
        <f t="shared" si="17"/>
        <v/>
      </c>
      <c r="BX20" s="35" t="str">
        <f t="shared" si="17"/>
        <v/>
      </c>
      <c r="BY20" s="35" t="str">
        <f t="shared" si="18"/>
        <v/>
      </c>
      <c r="BZ20" s="35" t="str">
        <f t="shared" si="18"/>
        <v/>
      </c>
      <c r="CA20" s="35" t="str">
        <f t="shared" si="18"/>
        <v/>
      </c>
      <c r="CB20" s="35" t="str">
        <f t="shared" si="18"/>
        <v/>
      </c>
      <c r="CC20" s="35" t="str">
        <f t="shared" si="18"/>
        <v/>
      </c>
      <c r="CD20" s="35" t="str">
        <f t="shared" si="18"/>
        <v/>
      </c>
      <c r="CE20" s="35" t="str">
        <f t="shared" si="18"/>
        <v/>
      </c>
      <c r="CF20" s="35" t="str">
        <f t="shared" si="18"/>
        <v/>
      </c>
      <c r="CG20" s="35" t="str">
        <f t="shared" si="18"/>
        <v/>
      </c>
      <c r="CH20" s="35" t="str">
        <f t="shared" si="18"/>
        <v/>
      </c>
      <c r="CI20" s="35" t="str">
        <f t="shared" si="19"/>
        <v/>
      </c>
      <c r="CJ20" s="35" t="str">
        <f t="shared" si="19"/>
        <v/>
      </c>
      <c r="CK20" s="35" t="str">
        <f t="shared" si="19"/>
        <v/>
      </c>
      <c r="CL20" s="35" t="str">
        <f t="shared" si="19"/>
        <v/>
      </c>
      <c r="CM20" s="35" t="str">
        <f t="shared" si="19"/>
        <v/>
      </c>
      <c r="CN20" s="35" t="str">
        <f t="shared" si="19"/>
        <v/>
      </c>
      <c r="CO20" s="35" t="str">
        <f t="shared" si="19"/>
        <v/>
      </c>
      <c r="CP20" s="35" t="str">
        <f t="shared" si="19"/>
        <v/>
      </c>
      <c r="CQ20" s="35" t="str">
        <f t="shared" si="19"/>
        <v/>
      </c>
      <c r="CR20" s="35" t="str">
        <f t="shared" si="19"/>
        <v/>
      </c>
      <c r="CS20" s="35" t="str">
        <f t="shared" si="20"/>
        <v/>
      </c>
      <c r="CT20" s="35" t="str">
        <f t="shared" si="20"/>
        <v/>
      </c>
      <c r="CU20" s="35" t="str">
        <f t="shared" si="20"/>
        <v/>
      </c>
      <c r="CV20" s="35" t="str">
        <f t="shared" si="20"/>
        <v/>
      </c>
      <c r="CW20" s="35" t="str">
        <f t="shared" si="20"/>
        <v/>
      </c>
      <c r="CX20" s="35" t="str">
        <f t="shared" si="20"/>
        <v/>
      </c>
      <c r="CY20" s="35" t="str">
        <f t="shared" si="20"/>
        <v/>
      </c>
      <c r="CZ20" s="35" t="str">
        <f t="shared" si="20"/>
        <v/>
      </c>
      <c r="DA20" s="35" t="str">
        <f t="shared" si="20"/>
        <v/>
      </c>
      <c r="DB20" s="35" t="str">
        <f t="shared" si="20"/>
        <v/>
      </c>
      <c r="DC20" s="35" t="str">
        <f t="shared" si="21"/>
        <v/>
      </c>
      <c r="DD20" s="35" t="str">
        <f t="shared" si="21"/>
        <v/>
      </c>
      <c r="DE20" s="35" t="str">
        <f t="shared" si="21"/>
        <v/>
      </c>
      <c r="DF20" s="35" t="str">
        <f t="shared" si="21"/>
        <v/>
      </c>
      <c r="DG20" s="35" t="str">
        <f t="shared" si="21"/>
        <v/>
      </c>
      <c r="DH20" s="35" t="str">
        <f t="shared" si="21"/>
        <v/>
      </c>
      <c r="DI20" s="35" t="str">
        <f t="shared" si="21"/>
        <v/>
      </c>
      <c r="DJ20" s="35" t="str">
        <f t="shared" si="21"/>
        <v/>
      </c>
      <c r="DK20" s="35" t="str">
        <f t="shared" si="21"/>
        <v/>
      </c>
      <c r="DL20" s="35" t="str">
        <f t="shared" si="21"/>
        <v/>
      </c>
      <c r="DM20" s="35" t="str">
        <f t="shared" si="22"/>
        <v/>
      </c>
      <c r="DN20" s="35" t="str">
        <f t="shared" si="22"/>
        <v/>
      </c>
      <c r="DO20" s="35" t="str">
        <f t="shared" si="22"/>
        <v/>
      </c>
      <c r="DP20" s="35" t="str">
        <f t="shared" si="22"/>
        <v/>
      </c>
      <c r="DQ20" s="35" t="str">
        <f t="shared" si="22"/>
        <v/>
      </c>
      <c r="DR20" s="35" t="str">
        <f t="shared" si="22"/>
        <v/>
      </c>
      <c r="DS20" s="35" t="str">
        <f t="shared" si="22"/>
        <v/>
      </c>
      <c r="DT20" s="35" t="str">
        <f t="shared" si="22"/>
        <v/>
      </c>
      <c r="DU20" s="35" t="str">
        <f t="shared" si="22"/>
        <v/>
      </c>
      <c r="DV20" s="35" t="str">
        <f t="shared" si="22"/>
        <v/>
      </c>
      <c r="DW20" s="35" t="str">
        <f t="shared" si="23"/>
        <v/>
      </c>
      <c r="DX20" s="35" t="str">
        <f t="shared" si="23"/>
        <v/>
      </c>
      <c r="DY20" s="35" t="str">
        <f t="shared" si="23"/>
        <v/>
      </c>
      <c r="DZ20" s="35" t="str">
        <f t="shared" si="23"/>
        <v/>
      </c>
      <c r="EA20" s="35" t="str">
        <f t="shared" si="23"/>
        <v/>
      </c>
      <c r="EB20" s="35" t="str">
        <f t="shared" si="23"/>
        <v/>
      </c>
      <c r="EC20" s="35" t="str">
        <f t="shared" si="23"/>
        <v/>
      </c>
      <c r="ED20" s="35" t="str">
        <f t="shared" si="23"/>
        <v/>
      </c>
      <c r="EE20" s="35" t="str">
        <f t="shared" si="23"/>
        <v/>
      </c>
      <c r="EF20" s="35" t="str">
        <f t="shared" si="23"/>
        <v/>
      </c>
      <c r="EG20" s="35" t="str">
        <f t="shared" si="24"/>
        <v/>
      </c>
      <c r="EH20" s="35" t="str">
        <f t="shared" si="24"/>
        <v/>
      </c>
      <c r="EI20" s="35" t="str">
        <f t="shared" si="24"/>
        <v/>
      </c>
      <c r="EJ20" s="35" t="str">
        <f t="shared" si="24"/>
        <v/>
      </c>
      <c r="EK20" s="35" t="str">
        <f t="shared" si="24"/>
        <v/>
      </c>
      <c r="EL20" s="35" t="str">
        <f t="shared" si="24"/>
        <v/>
      </c>
      <c r="EM20" s="35" t="str">
        <f t="shared" si="24"/>
        <v/>
      </c>
      <c r="EN20" s="35" t="str">
        <f t="shared" si="24"/>
        <v/>
      </c>
      <c r="EO20" s="35" t="str">
        <f t="shared" si="24"/>
        <v/>
      </c>
      <c r="EP20" s="35" t="str">
        <f t="shared" si="24"/>
        <v/>
      </c>
      <c r="EQ20" s="35" t="str">
        <f t="shared" si="25"/>
        <v/>
      </c>
      <c r="ER20" s="35" t="str">
        <f t="shared" si="25"/>
        <v/>
      </c>
      <c r="ES20" s="35" t="str">
        <f t="shared" si="25"/>
        <v/>
      </c>
      <c r="ET20" s="35" t="str">
        <f t="shared" si="25"/>
        <v/>
      </c>
      <c r="EU20" s="35" t="str">
        <f t="shared" si="25"/>
        <v/>
      </c>
      <c r="EV20" s="35" t="str">
        <f t="shared" si="25"/>
        <v/>
      </c>
      <c r="EW20" s="35" t="str">
        <f t="shared" si="25"/>
        <v/>
      </c>
      <c r="EX20" s="35" t="str">
        <f t="shared" si="25"/>
        <v/>
      </c>
      <c r="EY20" s="35" t="str">
        <f t="shared" si="25"/>
        <v/>
      </c>
      <c r="EZ20" s="35" t="str">
        <f t="shared" si="25"/>
        <v/>
      </c>
      <c r="FA20" s="35" t="str">
        <f t="shared" si="26"/>
        <v/>
      </c>
      <c r="FB20" s="35" t="str">
        <f t="shared" si="26"/>
        <v/>
      </c>
      <c r="FC20" s="35" t="str">
        <f t="shared" si="26"/>
        <v/>
      </c>
      <c r="FD20" s="35" t="str">
        <f t="shared" si="26"/>
        <v/>
      </c>
      <c r="FE20" s="35" t="str">
        <f t="shared" si="26"/>
        <v/>
      </c>
      <c r="FF20" s="35" t="str">
        <f t="shared" si="26"/>
        <v/>
      </c>
      <c r="FG20" s="35" t="str">
        <f t="shared" si="26"/>
        <v/>
      </c>
      <c r="FH20" s="35" t="str">
        <f t="shared" si="26"/>
        <v/>
      </c>
      <c r="FI20" s="35" t="str">
        <f t="shared" si="26"/>
        <v/>
      </c>
      <c r="FJ20" s="35" t="str">
        <f t="shared" si="26"/>
        <v/>
      </c>
      <c r="FK20" s="35" t="str">
        <f t="shared" si="27"/>
        <v/>
      </c>
      <c r="FL20" s="35" t="str">
        <f t="shared" si="27"/>
        <v/>
      </c>
      <c r="FM20" s="35" t="str">
        <f t="shared" si="27"/>
        <v/>
      </c>
      <c r="FN20" s="35" t="str">
        <f t="shared" si="27"/>
        <v/>
      </c>
      <c r="FO20" s="35" t="str">
        <f t="shared" si="27"/>
        <v/>
      </c>
      <c r="FP20" s="35" t="str">
        <f t="shared" si="27"/>
        <v/>
      </c>
      <c r="FQ20" s="35" t="str">
        <f t="shared" si="27"/>
        <v/>
      </c>
      <c r="FR20" s="35" t="str">
        <f t="shared" si="27"/>
        <v/>
      </c>
      <c r="FS20" s="35" t="str">
        <f t="shared" si="27"/>
        <v/>
      </c>
      <c r="FT20" s="35" t="str">
        <f t="shared" si="27"/>
        <v/>
      </c>
      <c r="FU20" s="35" t="str">
        <f t="shared" si="28"/>
        <v/>
      </c>
      <c r="FV20" s="35" t="str">
        <f t="shared" si="28"/>
        <v/>
      </c>
      <c r="FW20" s="35" t="str">
        <f t="shared" si="28"/>
        <v/>
      </c>
      <c r="FX20" s="35" t="str">
        <f t="shared" si="28"/>
        <v/>
      </c>
      <c r="FY20" s="35" t="str">
        <f t="shared" si="28"/>
        <v/>
      </c>
      <c r="FZ20" s="35" t="str">
        <f t="shared" si="28"/>
        <v/>
      </c>
      <c r="GA20" s="35" t="str">
        <f t="shared" si="28"/>
        <v/>
      </c>
      <c r="GB20" s="35" t="str">
        <f t="shared" si="28"/>
        <v/>
      </c>
      <c r="GC20" s="35" t="str">
        <f t="shared" si="28"/>
        <v/>
      </c>
      <c r="GD20" s="35" t="str">
        <f t="shared" si="28"/>
        <v/>
      </c>
      <c r="GE20" s="35" t="str">
        <f t="shared" si="29"/>
        <v/>
      </c>
      <c r="GF20" s="35" t="str">
        <f t="shared" si="29"/>
        <v/>
      </c>
      <c r="GG20" s="35" t="str">
        <f t="shared" si="29"/>
        <v/>
      </c>
      <c r="GH20" s="35" t="str">
        <f t="shared" si="29"/>
        <v/>
      </c>
      <c r="GI20" s="35" t="str">
        <f t="shared" si="29"/>
        <v/>
      </c>
      <c r="GJ20" s="35" t="str">
        <f t="shared" si="29"/>
        <v/>
      </c>
      <c r="GK20" s="35" t="str">
        <f t="shared" si="29"/>
        <v/>
      </c>
      <c r="GL20" s="35" t="str">
        <f t="shared" si="29"/>
        <v/>
      </c>
      <c r="GM20" s="35" t="str">
        <f t="shared" si="29"/>
        <v/>
      </c>
      <c r="GN20" s="35" t="str">
        <f t="shared" si="29"/>
        <v/>
      </c>
      <c r="GO20" s="35" t="str">
        <f t="shared" si="30"/>
        <v/>
      </c>
      <c r="GP20" s="35" t="str">
        <f t="shared" si="30"/>
        <v/>
      </c>
      <c r="GQ20" s="35" t="str">
        <f t="shared" si="30"/>
        <v/>
      </c>
      <c r="GR20" s="35" t="str">
        <f t="shared" si="30"/>
        <v/>
      </c>
      <c r="GS20" s="35" t="str">
        <f t="shared" si="30"/>
        <v/>
      </c>
      <c r="GT20" s="35" t="str">
        <f t="shared" si="30"/>
        <v/>
      </c>
      <c r="GU20" s="35" t="str">
        <f t="shared" si="30"/>
        <v/>
      </c>
      <c r="GV20" s="35" t="str">
        <f t="shared" si="30"/>
        <v/>
      </c>
      <c r="GW20" s="35" t="str">
        <f t="shared" si="30"/>
        <v/>
      </c>
      <c r="GX20" s="35" t="str">
        <f t="shared" si="30"/>
        <v/>
      </c>
      <c r="GY20" s="35" t="str">
        <f t="shared" si="31"/>
        <v/>
      </c>
      <c r="GZ20" s="35" t="str">
        <f t="shared" si="31"/>
        <v/>
      </c>
      <c r="HA20" s="35" t="str">
        <f t="shared" si="31"/>
        <v/>
      </c>
      <c r="HB20" s="35" t="str">
        <f t="shared" si="31"/>
        <v/>
      </c>
      <c r="HC20" s="35" t="str">
        <f t="shared" si="31"/>
        <v/>
      </c>
      <c r="HD20" s="35" t="str">
        <f t="shared" si="31"/>
        <v/>
      </c>
      <c r="HE20" s="35" t="str">
        <f t="shared" si="31"/>
        <v/>
      </c>
      <c r="HF20" s="35" t="str">
        <f t="shared" si="31"/>
        <v/>
      </c>
      <c r="HG20" s="35" t="str">
        <f t="shared" si="31"/>
        <v/>
      </c>
      <c r="HH20" s="35" t="str">
        <f t="shared" si="31"/>
        <v/>
      </c>
      <c r="HI20" s="35" t="str">
        <f t="shared" si="32"/>
        <v/>
      </c>
      <c r="HJ20" s="35" t="str">
        <f t="shared" si="32"/>
        <v/>
      </c>
      <c r="HK20" s="35" t="str">
        <f t="shared" si="32"/>
        <v/>
      </c>
      <c r="HL20" s="35" t="str">
        <f t="shared" si="32"/>
        <v/>
      </c>
      <c r="HM20" s="35" t="str">
        <f t="shared" si="32"/>
        <v/>
      </c>
      <c r="HN20" s="35" t="str">
        <f t="shared" si="32"/>
        <v/>
      </c>
      <c r="HO20" s="35" t="str">
        <f t="shared" si="32"/>
        <v/>
      </c>
      <c r="HP20" s="35" t="str">
        <f t="shared" si="32"/>
        <v/>
      </c>
      <c r="HQ20" s="35" t="str">
        <f t="shared" si="32"/>
        <v/>
      </c>
      <c r="HR20" s="35" t="str">
        <f t="shared" si="32"/>
        <v/>
      </c>
      <c r="HS20" s="35" t="str">
        <f t="shared" si="33"/>
        <v/>
      </c>
      <c r="HT20" s="35" t="str">
        <f t="shared" si="33"/>
        <v/>
      </c>
      <c r="HU20" s="35" t="str">
        <f t="shared" si="33"/>
        <v/>
      </c>
      <c r="HV20" s="35" t="str">
        <f t="shared" si="33"/>
        <v/>
      </c>
      <c r="HW20" s="35" t="str">
        <f t="shared" si="33"/>
        <v/>
      </c>
      <c r="HX20" s="35" t="str">
        <f t="shared" si="33"/>
        <v/>
      </c>
      <c r="HY20" s="35" t="str">
        <f t="shared" si="33"/>
        <v/>
      </c>
      <c r="HZ20" s="35" t="str">
        <f t="shared" si="33"/>
        <v/>
      </c>
      <c r="IA20" s="35" t="str">
        <f t="shared" si="33"/>
        <v/>
      </c>
      <c r="IB20" s="35" t="str">
        <f t="shared" si="33"/>
        <v/>
      </c>
      <c r="IC20" s="35" t="str">
        <f t="shared" si="34"/>
        <v/>
      </c>
      <c r="ID20" s="35" t="str">
        <f t="shared" si="34"/>
        <v/>
      </c>
      <c r="IE20" s="35" t="str">
        <f t="shared" si="34"/>
        <v/>
      </c>
      <c r="IF20" s="35" t="str">
        <f t="shared" si="34"/>
        <v/>
      </c>
      <c r="IG20" s="35" t="str">
        <f t="shared" si="34"/>
        <v/>
      </c>
      <c r="IH20" s="35" t="str">
        <f t="shared" si="34"/>
        <v/>
      </c>
      <c r="II20" s="35" t="str">
        <f t="shared" si="34"/>
        <v/>
      </c>
      <c r="IJ20" s="35" t="str">
        <f t="shared" si="34"/>
        <v/>
      </c>
      <c r="IK20" s="35" t="str">
        <f t="shared" si="34"/>
        <v/>
      </c>
      <c r="IL20" s="35" t="str">
        <f t="shared" si="34"/>
        <v/>
      </c>
      <c r="IM20" s="35" t="str">
        <f t="shared" si="35"/>
        <v/>
      </c>
      <c r="IN20" s="35" t="str">
        <f t="shared" si="35"/>
        <v/>
      </c>
      <c r="IO20" s="35" t="str">
        <f t="shared" si="35"/>
        <v/>
      </c>
      <c r="IP20" s="35">
        <f t="shared" si="35"/>
        <v>1</v>
      </c>
      <c r="IQ20" s="35">
        <f t="shared" si="35"/>
        <v>1</v>
      </c>
      <c r="IR20" s="35">
        <f t="shared" si="35"/>
        <v>1</v>
      </c>
      <c r="IS20" s="35">
        <f t="shared" si="35"/>
        <v>1</v>
      </c>
      <c r="IT20" s="35">
        <f t="shared" si="35"/>
        <v>1</v>
      </c>
      <c r="IU20" s="35">
        <f t="shared" si="35"/>
        <v>1</v>
      </c>
      <c r="IV20" s="35">
        <f t="shared" si="35"/>
        <v>1</v>
      </c>
      <c r="IW20" s="35">
        <f t="shared" si="36"/>
        <v>1</v>
      </c>
      <c r="IX20" s="35" t="str">
        <f t="shared" si="36"/>
        <v/>
      </c>
      <c r="IY20" s="35" t="str">
        <f t="shared" si="36"/>
        <v/>
      </c>
      <c r="IZ20" s="35" t="str">
        <f t="shared" si="36"/>
        <v/>
      </c>
      <c r="JA20" s="35" t="str">
        <f t="shared" si="36"/>
        <v/>
      </c>
      <c r="JB20" s="35" t="str">
        <f t="shared" si="36"/>
        <v/>
      </c>
      <c r="JC20" s="35" t="str">
        <f t="shared" si="36"/>
        <v/>
      </c>
      <c r="JD20" s="35" t="str">
        <f t="shared" si="36"/>
        <v/>
      </c>
      <c r="JE20" s="35" t="str">
        <f t="shared" si="36"/>
        <v/>
      </c>
      <c r="JF20" s="35" t="str">
        <f t="shared" si="36"/>
        <v/>
      </c>
      <c r="JG20" s="35" t="str">
        <f t="shared" si="37"/>
        <v/>
      </c>
      <c r="JH20" s="35" t="str">
        <f t="shared" si="37"/>
        <v/>
      </c>
      <c r="JI20" s="35" t="str">
        <f t="shared" si="37"/>
        <v/>
      </c>
      <c r="JJ20" s="35" t="str">
        <f t="shared" si="37"/>
        <v/>
      </c>
      <c r="JK20" s="35" t="str">
        <f t="shared" si="37"/>
        <v/>
      </c>
      <c r="JL20" s="35" t="str">
        <f t="shared" si="37"/>
        <v/>
      </c>
      <c r="JM20" s="35" t="str">
        <f t="shared" si="37"/>
        <v/>
      </c>
      <c r="JN20" s="35" t="str">
        <f t="shared" si="37"/>
        <v/>
      </c>
      <c r="JO20" s="35" t="str">
        <f t="shared" si="37"/>
        <v/>
      </c>
      <c r="JP20" s="35" t="str">
        <f t="shared" si="37"/>
        <v/>
      </c>
    </row>
    <row r="21" spans="1:276" ht="22" customHeight="1" x14ac:dyDescent="0.2">
      <c r="A21" s="32" t="s">
        <v>175</v>
      </c>
      <c r="B21" s="33">
        <f>IF($B$46="","",$B$46)</f>
        <v>46312</v>
      </c>
      <c r="C21" s="33">
        <f>IF($B$47="","",$B$47)</f>
        <v>46315</v>
      </c>
      <c r="D21" s="33" t="s">
        <v>176</v>
      </c>
      <c r="E21" s="34" t="str">
        <f t="shared" ca="1" si="10"/>
        <v>Planned</v>
      </c>
      <c r="G21" s="35" t="str">
        <f t="shared" si="11"/>
        <v/>
      </c>
      <c r="H21" s="35" t="str">
        <f t="shared" si="11"/>
        <v/>
      </c>
      <c r="I21" s="35" t="str">
        <f t="shared" si="11"/>
        <v/>
      </c>
      <c r="J21" s="35" t="str">
        <f t="shared" si="11"/>
        <v/>
      </c>
      <c r="K21" s="35" t="str">
        <f t="shared" si="11"/>
        <v/>
      </c>
      <c r="L21" s="35" t="str">
        <f t="shared" si="11"/>
        <v/>
      </c>
      <c r="M21" s="35" t="str">
        <f t="shared" si="11"/>
        <v/>
      </c>
      <c r="N21" s="35" t="str">
        <f t="shared" si="11"/>
        <v/>
      </c>
      <c r="O21" s="35" t="str">
        <f t="shared" si="11"/>
        <v/>
      </c>
      <c r="P21" s="35" t="str">
        <f t="shared" si="11"/>
        <v/>
      </c>
      <c r="Q21" s="35" t="str">
        <f t="shared" si="12"/>
        <v/>
      </c>
      <c r="R21" s="35" t="str">
        <f t="shared" si="12"/>
        <v/>
      </c>
      <c r="S21" s="35" t="str">
        <f t="shared" si="12"/>
        <v/>
      </c>
      <c r="T21" s="35" t="str">
        <f t="shared" si="12"/>
        <v/>
      </c>
      <c r="U21" s="35" t="str">
        <f t="shared" si="12"/>
        <v/>
      </c>
      <c r="V21" s="35" t="str">
        <f t="shared" si="12"/>
        <v/>
      </c>
      <c r="W21" s="35" t="str">
        <f t="shared" si="12"/>
        <v/>
      </c>
      <c r="X21" s="35" t="str">
        <f t="shared" si="12"/>
        <v/>
      </c>
      <c r="Y21" s="35" t="str">
        <f t="shared" si="12"/>
        <v/>
      </c>
      <c r="Z21" s="35" t="str">
        <f t="shared" si="12"/>
        <v/>
      </c>
      <c r="AA21" s="35" t="str">
        <f t="shared" si="13"/>
        <v/>
      </c>
      <c r="AB21" s="35" t="str">
        <f t="shared" si="13"/>
        <v/>
      </c>
      <c r="AC21" s="35" t="str">
        <f t="shared" si="13"/>
        <v/>
      </c>
      <c r="AD21" s="35" t="str">
        <f t="shared" si="13"/>
        <v/>
      </c>
      <c r="AE21" s="35" t="str">
        <f t="shared" si="13"/>
        <v/>
      </c>
      <c r="AF21" s="35" t="str">
        <f t="shared" si="13"/>
        <v/>
      </c>
      <c r="AG21" s="35" t="str">
        <f t="shared" si="13"/>
        <v/>
      </c>
      <c r="AH21" s="35" t="str">
        <f t="shared" si="13"/>
        <v/>
      </c>
      <c r="AI21" s="35" t="str">
        <f t="shared" si="13"/>
        <v/>
      </c>
      <c r="AJ21" s="35" t="str">
        <f t="shared" si="13"/>
        <v/>
      </c>
      <c r="AK21" s="35" t="str">
        <f t="shared" si="14"/>
        <v/>
      </c>
      <c r="AL21" s="35" t="str">
        <f t="shared" si="14"/>
        <v/>
      </c>
      <c r="AM21" s="35" t="str">
        <f t="shared" si="14"/>
        <v/>
      </c>
      <c r="AN21" s="35" t="str">
        <f t="shared" si="14"/>
        <v/>
      </c>
      <c r="AO21" s="35" t="str">
        <f t="shared" si="14"/>
        <v/>
      </c>
      <c r="AP21" s="35" t="str">
        <f t="shared" si="14"/>
        <v/>
      </c>
      <c r="AQ21" s="35" t="str">
        <f t="shared" si="14"/>
        <v/>
      </c>
      <c r="AR21" s="35" t="str">
        <f t="shared" si="14"/>
        <v/>
      </c>
      <c r="AS21" s="35" t="str">
        <f t="shared" si="14"/>
        <v/>
      </c>
      <c r="AT21" s="35" t="str">
        <f t="shared" si="14"/>
        <v/>
      </c>
      <c r="AU21" s="35" t="str">
        <f t="shared" si="15"/>
        <v/>
      </c>
      <c r="AV21" s="35" t="str">
        <f t="shared" si="15"/>
        <v/>
      </c>
      <c r="AW21" s="35" t="str">
        <f t="shared" si="15"/>
        <v/>
      </c>
      <c r="AX21" s="35" t="str">
        <f t="shared" si="15"/>
        <v/>
      </c>
      <c r="AY21" s="35" t="str">
        <f t="shared" si="15"/>
        <v/>
      </c>
      <c r="AZ21" s="35" t="str">
        <f t="shared" si="15"/>
        <v/>
      </c>
      <c r="BA21" s="35" t="str">
        <f t="shared" si="15"/>
        <v/>
      </c>
      <c r="BB21" s="35" t="str">
        <f t="shared" si="15"/>
        <v/>
      </c>
      <c r="BC21" s="35" t="str">
        <f t="shared" si="15"/>
        <v/>
      </c>
      <c r="BD21" s="35" t="str">
        <f t="shared" si="15"/>
        <v/>
      </c>
      <c r="BE21" s="35" t="str">
        <f t="shared" si="16"/>
        <v/>
      </c>
      <c r="BF21" s="35" t="str">
        <f t="shared" si="16"/>
        <v/>
      </c>
      <c r="BG21" s="35" t="str">
        <f t="shared" si="16"/>
        <v/>
      </c>
      <c r="BH21" s="35" t="str">
        <f t="shared" si="16"/>
        <v/>
      </c>
      <c r="BI21" s="35" t="str">
        <f t="shared" si="16"/>
        <v/>
      </c>
      <c r="BJ21" s="35" t="str">
        <f t="shared" si="16"/>
        <v/>
      </c>
      <c r="BK21" s="35" t="str">
        <f t="shared" si="16"/>
        <v/>
      </c>
      <c r="BL21" s="35" t="str">
        <f t="shared" si="16"/>
        <v/>
      </c>
      <c r="BM21" s="35" t="str">
        <f t="shared" si="16"/>
        <v/>
      </c>
      <c r="BN21" s="35" t="str">
        <f t="shared" si="16"/>
        <v/>
      </c>
      <c r="BO21" s="35" t="str">
        <f t="shared" si="17"/>
        <v/>
      </c>
      <c r="BP21" s="35" t="str">
        <f t="shared" si="17"/>
        <v/>
      </c>
      <c r="BQ21" s="35" t="str">
        <f t="shared" si="17"/>
        <v/>
      </c>
      <c r="BR21" s="35" t="str">
        <f t="shared" si="17"/>
        <v/>
      </c>
      <c r="BS21" s="35" t="str">
        <f t="shared" si="17"/>
        <v/>
      </c>
      <c r="BT21" s="35" t="str">
        <f t="shared" si="17"/>
        <v/>
      </c>
      <c r="BU21" s="35" t="str">
        <f t="shared" si="17"/>
        <v/>
      </c>
      <c r="BV21" s="35" t="str">
        <f t="shared" si="17"/>
        <v/>
      </c>
      <c r="BW21" s="35" t="str">
        <f t="shared" si="17"/>
        <v/>
      </c>
      <c r="BX21" s="35" t="str">
        <f t="shared" si="17"/>
        <v/>
      </c>
      <c r="BY21" s="35" t="str">
        <f t="shared" si="18"/>
        <v/>
      </c>
      <c r="BZ21" s="35" t="str">
        <f t="shared" si="18"/>
        <v/>
      </c>
      <c r="CA21" s="35" t="str">
        <f t="shared" si="18"/>
        <v/>
      </c>
      <c r="CB21" s="35" t="str">
        <f t="shared" si="18"/>
        <v/>
      </c>
      <c r="CC21" s="35" t="str">
        <f t="shared" si="18"/>
        <v/>
      </c>
      <c r="CD21" s="35" t="str">
        <f t="shared" si="18"/>
        <v/>
      </c>
      <c r="CE21" s="35" t="str">
        <f t="shared" si="18"/>
        <v/>
      </c>
      <c r="CF21" s="35" t="str">
        <f t="shared" si="18"/>
        <v/>
      </c>
      <c r="CG21" s="35" t="str">
        <f t="shared" si="18"/>
        <v/>
      </c>
      <c r="CH21" s="35" t="str">
        <f t="shared" si="18"/>
        <v/>
      </c>
      <c r="CI21" s="35" t="str">
        <f t="shared" si="19"/>
        <v/>
      </c>
      <c r="CJ21" s="35" t="str">
        <f t="shared" si="19"/>
        <v/>
      </c>
      <c r="CK21" s="35" t="str">
        <f t="shared" si="19"/>
        <v/>
      </c>
      <c r="CL21" s="35" t="str">
        <f t="shared" si="19"/>
        <v/>
      </c>
      <c r="CM21" s="35" t="str">
        <f t="shared" si="19"/>
        <v/>
      </c>
      <c r="CN21" s="35" t="str">
        <f t="shared" si="19"/>
        <v/>
      </c>
      <c r="CO21" s="35" t="str">
        <f t="shared" si="19"/>
        <v/>
      </c>
      <c r="CP21" s="35" t="str">
        <f t="shared" si="19"/>
        <v/>
      </c>
      <c r="CQ21" s="35" t="str">
        <f t="shared" si="19"/>
        <v/>
      </c>
      <c r="CR21" s="35" t="str">
        <f t="shared" si="19"/>
        <v/>
      </c>
      <c r="CS21" s="35" t="str">
        <f t="shared" si="20"/>
        <v/>
      </c>
      <c r="CT21" s="35" t="str">
        <f t="shared" si="20"/>
        <v/>
      </c>
      <c r="CU21" s="35" t="str">
        <f t="shared" si="20"/>
        <v/>
      </c>
      <c r="CV21" s="35" t="str">
        <f t="shared" si="20"/>
        <v/>
      </c>
      <c r="CW21" s="35" t="str">
        <f t="shared" si="20"/>
        <v/>
      </c>
      <c r="CX21" s="35" t="str">
        <f t="shared" si="20"/>
        <v/>
      </c>
      <c r="CY21" s="35" t="str">
        <f t="shared" si="20"/>
        <v/>
      </c>
      <c r="CZ21" s="35" t="str">
        <f t="shared" si="20"/>
        <v/>
      </c>
      <c r="DA21" s="35" t="str">
        <f t="shared" si="20"/>
        <v/>
      </c>
      <c r="DB21" s="35" t="str">
        <f t="shared" si="20"/>
        <v/>
      </c>
      <c r="DC21" s="35" t="str">
        <f t="shared" si="21"/>
        <v/>
      </c>
      <c r="DD21" s="35" t="str">
        <f t="shared" si="21"/>
        <v/>
      </c>
      <c r="DE21" s="35" t="str">
        <f t="shared" si="21"/>
        <v/>
      </c>
      <c r="DF21" s="35" t="str">
        <f t="shared" si="21"/>
        <v/>
      </c>
      <c r="DG21" s="35" t="str">
        <f t="shared" si="21"/>
        <v/>
      </c>
      <c r="DH21" s="35" t="str">
        <f t="shared" si="21"/>
        <v/>
      </c>
      <c r="DI21" s="35" t="str">
        <f t="shared" si="21"/>
        <v/>
      </c>
      <c r="DJ21" s="35" t="str">
        <f t="shared" si="21"/>
        <v/>
      </c>
      <c r="DK21" s="35" t="str">
        <f t="shared" si="21"/>
        <v/>
      </c>
      <c r="DL21" s="35" t="str">
        <f t="shared" si="21"/>
        <v/>
      </c>
      <c r="DM21" s="35" t="str">
        <f t="shared" si="22"/>
        <v/>
      </c>
      <c r="DN21" s="35" t="str">
        <f t="shared" si="22"/>
        <v/>
      </c>
      <c r="DO21" s="35" t="str">
        <f t="shared" si="22"/>
        <v/>
      </c>
      <c r="DP21" s="35" t="str">
        <f t="shared" si="22"/>
        <v/>
      </c>
      <c r="DQ21" s="35" t="str">
        <f t="shared" si="22"/>
        <v/>
      </c>
      <c r="DR21" s="35" t="str">
        <f t="shared" si="22"/>
        <v/>
      </c>
      <c r="DS21" s="35" t="str">
        <f t="shared" si="22"/>
        <v/>
      </c>
      <c r="DT21" s="35" t="str">
        <f t="shared" si="22"/>
        <v/>
      </c>
      <c r="DU21" s="35" t="str">
        <f t="shared" si="22"/>
        <v/>
      </c>
      <c r="DV21" s="35" t="str">
        <f t="shared" si="22"/>
        <v/>
      </c>
      <c r="DW21" s="35" t="str">
        <f t="shared" si="23"/>
        <v/>
      </c>
      <c r="DX21" s="35" t="str">
        <f t="shared" si="23"/>
        <v/>
      </c>
      <c r="DY21" s="35" t="str">
        <f t="shared" si="23"/>
        <v/>
      </c>
      <c r="DZ21" s="35" t="str">
        <f t="shared" si="23"/>
        <v/>
      </c>
      <c r="EA21" s="35" t="str">
        <f t="shared" si="23"/>
        <v/>
      </c>
      <c r="EB21" s="35" t="str">
        <f t="shared" si="23"/>
        <v/>
      </c>
      <c r="EC21" s="35" t="str">
        <f t="shared" si="23"/>
        <v/>
      </c>
      <c r="ED21" s="35" t="str">
        <f t="shared" si="23"/>
        <v/>
      </c>
      <c r="EE21" s="35" t="str">
        <f t="shared" si="23"/>
        <v/>
      </c>
      <c r="EF21" s="35" t="str">
        <f t="shared" si="23"/>
        <v/>
      </c>
      <c r="EG21" s="35" t="str">
        <f t="shared" si="24"/>
        <v/>
      </c>
      <c r="EH21" s="35" t="str">
        <f t="shared" si="24"/>
        <v/>
      </c>
      <c r="EI21" s="35" t="str">
        <f t="shared" si="24"/>
        <v/>
      </c>
      <c r="EJ21" s="35" t="str">
        <f t="shared" si="24"/>
        <v/>
      </c>
      <c r="EK21" s="35" t="str">
        <f t="shared" si="24"/>
        <v/>
      </c>
      <c r="EL21" s="35" t="str">
        <f t="shared" si="24"/>
        <v/>
      </c>
      <c r="EM21" s="35" t="str">
        <f t="shared" si="24"/>
        <v/>
      </c>
      <c r="EN21" s="35" t="str">
        <f t="shared" si="24"/>
        <v/>
      </c>
      <c r="EO21" s="35" t="str">
        <f t="shared" si="24"/>
        <v/>
      </c>
      <c r="EP21" s="35" t="str">
        <f t="shared" si="24"/>
        <v/>
      </c>
      <c r="EQ21" s="35" t="str">
        <f t="shared" si="25"/>
        <v/>
      </c>
      <c r="ER21" s="35" t="str">
        <f t="shared" si="25"/>
        <v/>
      </c>
      <c r="ES21" s="35" t="str">
        <f t="shared" si="25"/>
        <v/>
      </c>
      <c r="ET21" s="35" t="str">
        <f t="shared" si="25"/>
        <v/>
      </c>
      <c r="EU21" s="35" t="str">
        <f t="shared" si="25"/>
        <v/>
      </c>
      <c r="EV21" s="35" t="str">
        <f t="shared" si="25"/>
        <v/>
      </c>
      <c r="EW21" s="35" t="str">
        <f t="shared" si="25"/>
        <v/>
      </c>
      <c r="EX21" s="35" t="str">
        <f t="shared" si="25"/>
        <v/>
      </c>
      <c r="EY21" s="35" t="str">
        <f t="shared" si="25"/>
        <v/>
      </c>
      <c r="EZ21" s="35" t="str">
        <f t="shared" si="25"/>
        <v/>
      </c>
      <c r="FA21" s="35" t="str">
        <f t="shared" si="26"/>
        <v/>
      </c>
      <c r="FB21" s="35" t="str">
        <f t="shared" si="26"/>
        <v/>
      </c>
      <c r="FC21" s="35" t="str">
        <f t="shared" si="26"/>
        <v/>
      </c>
      <c r="FD21" s="35" t="str">
        <f t="shared" si="26"/>
        <v/>
      </c>
      <c r="FE21" s="35" t="str">
        <f t="shared" si="26"/>
        <v/>
      </c>
      <c r="FF21" s="35" t="str">
        <f t="shared" si="26"/>
        <v/>
      </c>
      <c r="FG21" s="35" t="str">
        <f t="shared" si="26"/>
        <v/>
      </c>
      <c r="FH21" s="35" t="str">
        <f t="shared" si="26"/>
        <v/>
      </c>
      <c r="FI21" s="35" t="str">
        <f t="shared" si="26"/>
        <v/>
      </c>
      <c r="FJ21" s="35" t="str">
        <f t="shared" si="26"/>
        <v/>
      </c>
      <c r="FK21" s="35" t="str">
        <f t="shared" si="27"/>
        <v/>
      </c>
      <c r="FL21" s="35" t="str">
        <f t="shared" si="27"/>
        <v/>
      </c>
      <c r="FM21" s="35" t="str">
        <f t="shared" si="27"/>
        <v/>
      </c>
      <c r="FN21" s="35" t="str">
        <f t="shared" si="27"/>
        <v/>
      </c>
      <c r="FO21" s="35" t="str">
        <f t="shared" si="27"/>
        <v/>
      </c>
      <c r="FP21" s="35" t="str">
        <f t="shared" si="27"/>
        <v/>
      </c>
      <c r="FQ21" s="35" t="str">
        <f t="shared" si="27"/>
        <v/>
      </c>
      <c r="FR21" s="35" t="str">
        <f t="shared" si="27"/>
        <v/>
      </c>
      <c r="FS21" s="35" t="str">
        <f t="shared" si="27"/>
        <v/>
      </c>
      <c r="FT21" s="35" t="str">
        <f t="shared" si="27"/>
        <v/>
      </c>
      <c r="FU21" s="35" t="str">
        <f t="shared" si="28"/>
        <v/>
      </c>
      <c r="FV21" s="35" t="str">
        <f t="shared" si="28"/>
        <v/>
      </c>
      <c r="FW21" s="35" t="str">
        <f t="shared" si="28"/>
        <v/>
      </c>
      <c r="FX21" s="35" t="str">
        <f t="shared" si="28"/>
        <v/>
      </c>
      <c r="FY21" s="35" t="str">
        <f t="shared" si="28"/>
        <v/>
      </c>
      <c r="FZ21" s="35" t="str">
        <f t="shared" si="28"/>
        <v/>
      </c>
      <c r="GA21" s="35" t="str">
        <f t="shared" si="28"/>
        <v/>
      </c>
      <c r="GB21" s="35" t="str">
        <f t="shared" si="28"/>
        <v/>
      </c>
      <c r="GC21" s="35" t="str">
        <f t="shared" si="28"/>
        <v/>
      </c>
      <c r="GD21" s="35" t="str">
        <f t="shared" si="28"/>
        <v/>
      </c>
      <c r="GE21" s="35" t="str">
        <f t="shared" si="29"/>
        <v/>
      </c>
      <c r="GF21" s="35" t="str">
        <f t="shared" si="29"/>
        <v/>
      </c>
      <c r="GG21" s="35" t="str">
        <f t="shared" si="29"/>
        <v/>
      </c>
      <c r="GH21" s="35" t="str">
        <f t="shared" si="29"/>
        <v/>
      </c>
      <c r="GI21" s="35" t="str">
        <f t="shared" si="29"/>
        <v/>
      </c>
      <c r="GJ21" s="35" t="str">
        <f t="shared" si="29"/>
        <v/>
      </c>
      <c r="GK21" s="35" t="str">
        <f t="shared" si="29"/>
        <v/>
      </c>
      <c r="GL21" s="35" t="str">
        <f t="shared" si="29"/>
        <v/>
      </c>
      <c r="GM21" s="35" t="str">
        <f t="shared" si="29"/>
        <v/>
      </c>
      <c r="GN21" s="35" t="str">
        <f t="shared" si="29"/>
        <v/>
      </c>
      <c r="GO21" s="35" t="str">
        <f t="shared" si="30"/>
        <v/>
      </c>
      <c r="GP21" s="35" t="str">
        <f t="shared" si="30"/>
        <v/>
      </c>
      <c r="GQ21" s="35" t="str">
        <f t="shared" si="30"/>
        <v/>
      </c>
      <c r="GR21" s="35" t="str">
        <f t="shared" si="30"/>
        <v/>
      </c>
      <c r="GS21" s="35" t="str">
        <f t="shared" si="30"/>
        <v/>
      </c>
      <c r="GT21" s="35" t="str">
        <f t="shared" si="30"/>
        <v/>
      </c>
      <c r="GU21" s="35" t="str">
        <f t="shared" si="30"/>
        <v/>
      </c>
      <c r="GV21" s="35" t="str">
        <f t="shared" si="30"/>
        <v/>
      </c>
      <c r="GW21" s="35" t="str">
        <f t="shared" si="30"/>
        <v/>
      </c>
      <c r="GX21" s="35" t="str">
        <f t="shared" si="30"/>
        <v/>
      </c>
      <c r="GY21" s="35" t="str">
        <f t="shared" si="31"/>
        <v/>
      </c>
      <c r="GZ21" s="35" t="str">
        <f t="shared" si="31"/>
        <v/>
      </c>
      <c r="HA21" s="35" t="str">
        <f t="shared" si="31"/>
        <v/>
      </c>
      <c r="HB21" s="35" t="str">
        <f t="shared" si="31"/>
        <v/>
      </c>
      <c r="HC21" s="35" t="str">
        <f t="shared" si="31"/>
        <v/>
      </c>
      <c r="HD21" s="35" t="str">
        <f t="shared" si="31"/>
        <v/>
      </c>
      <c r="HE21" s="35" t="str">
        <f t="shared" si="31"/>
        <v/>
      </c>
      <c r="HF21" s="35" t="str">
        <f t="shared" si="31"/>
        <v/>
      </c>
      <c r="HG21" s="35" t="str">
        <f t="shared" si="31"/>
        <v/>
      </c>
      <c r="HH21" s="35" t="str">
        <f t="shared" si="31"/>
        <v/>
      </c>
      <c r="HI21" s="35" t="str">
        <f t="shared" si="32"/>
        <v/>
      </c>
      <c r="HJ21" s="35" t="str">
        <f t="shared" si="32"/>
        <v/>
      </c>
      <c r="HK21" s="35" t="str">
        <f t="shared" si="32"/>
        <v/>
      </c>
      <c r="HL21" s="35" t="str">
        <f t="shared" si="32"/>
        <v/>
      </c>
      <c r="HM21" s="35" t="str">
        <f t="shared" si="32"/>
        <v/>
      </c>
      <c r="HN21" s="35" t="str">
        <f t="shared" si="32"/>
        <v/>
      </c>
      <c r="HO21" s="35" t="str">
        <f t="shared" si="32"/>
        <v/>
      </c>
      <c r="HP21" s="35" t="str">
        <f t="shared" si="32"/>
        <v/>
      </c>
      <c r="HQ21" s="35" t="str">
        <f t="shared" si="32"/>
        <v/>
      </c>
      <c r="HR21" s="35" t="str">
        <f t="shared" si="32"/>
        <v/>
      </c>
      <c r="HS21" s="35" t="str">
        <f t="shared" si="33"/>
        <v/>
      </c>
      <c r="HT21" s="35" t="str">
        <f t="shared" si="33"/>
        <v/>
      </c>
      <c r="HU21" s="35" t="str">
        <f t="shared" si="33"/>
        <v/>
      </c>
      <c r="HV21" s="35" t="str">
        <f t="shared" si="33"/>
        <v/>
      </c>
      <c r="HW21" s="35" t="str">
        <f t="shared" si="33"/>
        <v/>
      </c>
      <c r="HX21" s="35" t="str">
        <f t="shared" si="33"/>
        <v/>
      </c>
      <c r="HY21" s="35" t="str">
        <f t="shared" si="33"/>
        <v/>
      </c>
      <c r="HZ21" s="35" t="str">
        <f t="shared" si="33"/>
        <v/>
      </c>
      <c r="IA21" s="35" t="str">
        <f t="shared" si="33"/>
        <v/>
      </c>
      <c r="IB21" s="35" t="str">
        <f t="shared" si="33"/>
        <v/>
      </c>
      <c r="IC21" s="35" t="str">
        <f t="shared" si="34"/>
        <v/>
      </c>
      <c r="ID21" s="35" t="str">
        <f t="shared" si="34"/>
        <v/>
      </c>
      <c r="IE21" s="35" t="str">
        <f t="shared" si="34"/>
        <v/>
      </c>
      <c r="IF21" s="35" t="str">
        <f t="shared" si="34"/>
        <v/>
      </c>
      <c r="IG21" s="35" t="str">
        <f t="shared" si="34"/>
        <v/>
      </c>
      <c r="IH21" s="35" t="str">
        <f t="shared" si="34"/>
        <v/>
      </c>
      <c r="II21" s="35" t="str">
        <f t="shared" si="34"/>
        <v/>
      </c>
      <c r="IJ21" s="35" t="str">
        <f t="shared" si="34"/>
        <v/>
      </c>
      <c r="IK21" s="35" t="str">
        <f t="shared" si="34"/>
        <v/>
      </c>
      <c r="IL21" s="35" t="str">
        <f t="shared" si="34"/>
        <v/>
      </c>
      <c r="IM21" s="35" t="str">
        <f t="shared" si="35"/>
        <v/>
      </c>
      <c r="IN21" s="35" t="str">
        <f t="shared" si="35"/>
        <v/>
      </c>
      <c r="IO21" s="35" t="str">
        <f t="shared" si="35"/>
        <v/>
      </c>
      <c r="IP21" s="35" t="str">
        <f t="shared" si="35"/>
        <v/>
      </c>
      <c r="IQ21" s="35" t="str">
        <f t="shared" si="35"/>
        <v/>
      </c>
      <c r="IR21" s="35" t="str">
        <f t="shared" si="35"/>
        <v/>
      </c>
      <c r="IS21" s="35" t="str">
        <f t="shared" si="35"/>
        <v/>
      </c>
      <c r="IT21" s="35" t="str">
        <f t="shared" si="35"/>
        <v/>
      </c>
      <c r="IU21" s="35" t="str">
        <f t="shared" si="35"/>
        <v/>
      </c>
      <c r="IV21" s="35" t="str">
        <f t="shared" si="35"/>
        <v/>
      </c>
      <c r="IW21" s="35" t="str">
        <f t="shared" si="36"/>
        <v/>
      </c>
      <c r="IX21" s="35" t="str">
        <f t="shared" si="36"/>
        <v/>
      </c>
      <c r="IY21" s="35" t="str">
        <f t="shared" si="36"/>
        <v/>
      </c>
      <c r="IZ21" s="35" t="str">
        <f t="shared" si="36"/>
        <v/>
      </c>
      <c r="JA21" s="35" t="str">
        <f t="shared" si="36"/>
        <v/>
      </c>
      <c r="JB21" s="35" t="str">
        <f t="shared" si="36"/>
        <v/>
      </c>
      <c r="JC21" s="35" t="str">
        <f t="shared" si="36"/>
        <v/>
      </c>
      <c r="JD21" s="35" t="str">
        <f t="shared" si="36"/>
        <v/>
      </c>
      <c r="JE21" s="35">
        <f t="shared" si="36"/>
        <v>1</v>
      </c>
      <c r="JF21" s="35">
        <f t="shared" si="36"/>
        <v>1</v>
      </c>
      <c r="JG21" s="35">
        <f t="shared" si="37"/>
        <v>1</v>
      </c>
      <c r="JH21" s="35">
        <f t="shared" si="37"/>
        <v>1</v>
      </c>
      <c r="JI21" s="35" t="str">
        <f t="shared" si="37"/>
        <v/>
      </c>
      <c r="JJ21" s="35" t="str">
        <f t="shared" si="37"/>
        <v/>
      </c>
      <c r="JK21" s="35" t="str">
        <f t="shared" si="37"/>
        <v/>
      </c>
      <c r="JL21" s="35" t="str">
        <f t="shared" si="37"/>
        <v/>
      </c>
      <c r="JM21" s="35" t="str">
        <f t="shared" si="37"/>
        <v/>
      </c>
      <c r="JN21" s="35" t="str">
        <f t="shared" si="37"/>
        <v/>
      </c>
      <c r="JO21" s="35" t="str">
        <f t="shared" si="37"/>
        <v/>
      </c>
      <c r="JP21" s="35" t="str">
        <f t="shared" si="37"/>
        <v/>
      </c>
    </row>
    <row r="22" spans="1:276" hidden="1" x14ac:dyDescent="0.2">
      <c r="A22" s="7"/>
      <c r="B22" s="6"/>
      <c r="C22" s="6"/>
      <c r="D22" s="14"/>
      <c r="E22" s="5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  <c r="IZ22" s="22"/>
      <c r="JA22" s="22"/>
      <c r="JB22" s="22"/>
      <c r="JC22" s="22"/>
      <c r="JD22" s="22"/>
      <c r="JE22" s="22"/>
      <c r="JF22" s="22"/>
      <c r="JG22" s="22"/>
      <c r="JH22" s="22"/>
      <c r="JI22" s="22"/>
      <c r="JJ22" s="22"/>
      <c r="JK22" s="22"/>
      <c r="JL22" s="22"/>
      <c r="JM22" s="22"/>
      <c r="JN22" s="22"/>
      <c r="JO22" s="22"/>
      <c r="JP22" s="22"/>
    </row>
    <row r="23" spans="1:276" hidden="1" x14ac:dyDescent="0.2">
      <c r="A23" s="7"/>
      <c r="B23" s="6"/>
      <c r="C23" s="6"/>
      <c r="D23" s="14"/>
      <c r="E23" s="5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  <c r="IZ23" s="22"/>
      <c r="JA23" s="22"/>
      <c r="JB23" s="22"/>
      <c r="JC23" s="22"/>
      <c r="JD23" s="22"/>
      <c r="JE23" s="22"/>
      <c r="JF23" s="22"/>
      <c r="JG23" s="22"/>
      <c r="JH23" s="22"/>
      <c r="JI23" s="22"/>
      <c r="JJ23" s="22"/>
      <c r="JK23" s="22"/>
      <c r="JL23" s="22"/>
      <c r="JM23" s="22"/>
      <c r="JN23" s="22"/>
      <c r="JO23" s="22"/>
      <c r="JP23" s="22"/>
    </row>
    <row r="24" spans="1:276" hidden="1" x14ac:dyDescent="0.2">
      <c r="A24" s="7"/>
      <c r="B24" s="6"/>
      <c r="C24" s="6"/>
      <c r="D24" s="14"/>
      <c r="E24" s="5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  <c r="IZ24" s="22"/>
      <c r="JA24" s="22"/>
      <c r="JB24" s="22"/>
      <c r="JC24" s="22"/>
      <c r="JD24" s="22"/>
      <c r="JE24" s="22"/>
      <c r="JF24" s="22"/>
      <c r="JG24" s="22"/>
      <c r="JH24" s="22"/>
      <c r="JI24" s="22"/>
      <c r="JJ24" s="22"/>
      <c r="JK24" s="22"/>
      <c r="JL24" s="22"/>
      <c r="JM24" s="22"/>
      <c r="JN24" s="22"/>
      <c r="JO24" s="22"/>
      <c r="JP24" s="22"/>
    </row>
    <row r="25" spans="1:276" hidden="1" x14ac:dyDescent="0.2">
      <c r="A25" s="7"/>
      <c r="B25" s="6"/>
      <c r="C25" s="6"/>
      <c r="D25" s="14"/>
      <c r="E25" s="5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  <c r="IZ25" s="22"/>
      <c r="JA25" s="22"/>
      <c r="JB25" s="22"/>
      <c r="JC25" s="22"/>
      <c r="JD25" s="22"/>
      <c r="JE25" s="22"/>
      <c r="JF25" s="22"/>
      <c r="JG25" s="22"/>
      <c r="JH25" s="22"/>
      <c r="JI25" s="22"/>
      <c r="JJ25" s="22"/>
      <c r="JK25" s="22"/>
      <c r="JL25" s="22"/>
      <c r="JM25" s="22"/>
      <c r="JN25" s="22"/>
      <c r="JO25" s="22"/>
      <c r="JP25" s="22"/>
    </row>
    <row r="28" spans="1:276" ht="48" customHeight="1" x14ac:dyDescent="0.2">
      <c r="A28" s="36" t="s">
        <v>177</v>
      </c>
    </row>
    <row r="32" spans="1:276" hidden="1" x14ac:dyDescent="0.2">
      <c r="A32" t="s">
        <v>23</v>
      </c>
      <c r="B32">
        <f>IFERROR(INDEX(Project_Tracker!$E$2:$E$101,MATCH($A$6,Project_Tracker!$AL$2:$AL$101,0)),"")</f>
        <v>46091</v>
      </c>
    </row>
    <row r="33" spans="1:2" hidden="1" x14ac:dyDescent="0.2">
      <c r="A33" t="s">
        <v>178</v>
      </c>
      <c r="B33">
        <f>IFERROR(INDEX(Project_Tracker!$N$2:$N$101,MATCH($A$6,Project_Tracker!$AL$2:$AL$101,0)),"")</f>
        <v>46119</v>
      </c>
    </row>
    <row r="34" spans="1:2" hidden="1" x14ac:dyDescent="0.2">
      <c r="A34" t="s">
        <v>39</v>
      </c>
      <c r="B34">
        <f>IFERROR(INDEX(Project_Tracker!$O$2:$O$101,MATCH($A$6,Project_Tracker!$AL$2:$AL$101,0)),"")</f>
        <v>46074</v>
      </c>
    </row>
    <row r="35" spans="1:2" hidden="1" x14ac:dyDescent="0.2">
      <c r="A35" t="s">
        <v>40</v>
      </c>
      <c r="B35">
        <f>IFERROR(INDEX(Project_Tracker!$P$2:$P$101,MATCH($A$6,Project_Tracker!$AL$2:$AL$101,0)),"")</f>
        <v>46094</v>
      </c>
    </row>
    <row r="36" spans="1:2" hidden="1" x14ac:dyDescent="0.2">
      <c r="A36" t="s">
        <v>46</v>
      </c>
      <c r="B36">
        <f>IFERROR(INDEX(Project_Tracker!$Q$2:$Q$101,MATCH($A$6,Project_Tracker!$AL$2:$AL$101,0)),"")</f>
        <v>46101</v>
      </c>
    </row>
    <row r="37" spans="1:2" hidden="1" x14ac:dyDescent="0.2">
      <c r="A37" t="s">
        <v>59</v>
      </c>
      <c r="B37">
        <f>IFERROR(INDEX(Project_Tracker!$R$2:$R$101,MATCH($A$6,Project_Tracker!$AL$2:$AL$101,0)),"")</f>
        <v>46097</v>
      </c>
    </row>
    <row r="38" spans="1:2" hidden="1" x14ac:dyDescent="0.2">
      <c r="A38" t="s">
        <v>54</v>
      </c>
      <c r="B38">
        <f>IFERROR(INDEX(Project_Tracker!$S$2:$S$101,MATCH($A$6,Project_Tracker!$AL$2:$AL$101,0)),"")</f>
        <v>46104</v>
      </c>
    </row>
    <row r="39" spans="1:2" hidden="1" x14ac:dyDescent="0.2">
      <c r="A39" t="s">
        <v>32</v>
      </c>
      <c r="B39">
        <f>IFERROR(INDEX(Project_Tracker!$T$2:$T$101,MATCH($A$6,Project_Tracker!$AL$2:$AL$101,0)),"")</f>
        <v>46244</v>
      </c>
    </row>
    <row r="40" spans="1:2" hidden="1" x14ac:dyDescent="0.2">
      <c r="A40" t="s">
        <v>65</v>
      </c>
      <c r="B40">
        <f>IFERROR(INDEX(Project_Tracker!$U$2:$U$101,MATCH($A$6,Project_Tracker!$AL$2:$AL$101,0)),"")</f>
        <v>46289</v>
      </c>
    </row>
    <row r="41" spans="1:2" hidden="1" x14ac:dyDescent="0.2">
      <c r="A41" t="s">
        <v>74</v>
      </c>
      <c r="B41">
        <f>IFERROR(INDEX(Project_Tracker!$V$2:$V$101,MATCH($A$6,Project_Tracker!$AL$2:$AL$101,0)),"")</f>
        <v>46269</v>
      </c>
    </row>
    <row r="42" spans="1:2" hidden="1" x14ac:dyDescent="0.2">
      <c r="A42" t="s">
        <v>70</v>
      </c>
      <c r="B42">
        <f>IFERROR(INDEX(Project_Tracker!$W$2:$W$101,MATCH($A$6,Project_Tracker!$AL$2:$AL$101,0)),"")</f>
        <v>46292</v>
      </c>
    </row>
    <row r="43" spans="1:2" hidden="1" x14ac:dyDescent="0.2">
      <c r="A43" t="s">
        <v>78</v>
      </c>
      <c r="B43">
        <f>IFERROR(INDEX(Project_Tracker!$X$2:$X$101,MATCH($A$6,Project_Tracker!$AL$2:$AL$101,0)),"")</f>
        <v>46295</v>
      </c>
    </row>
    <row r="44" spans="1:2" hidden="1" x14ac:dyDescent="0.2">
      <c r="A44" t="s">
        <v>75</v>
      </c>
      <c r="B44">
        <f>IFERROR(INDEX(Project_Tracker!$Y$2:$Y$101,MATCH($A$6,Project_Tracker!$AL$2:$AL$101,0)),"")</f>
        <v>46297</v>
      </c>
    </row>
    <row r="45" spans="1:2" hidden="1" x14ac:dyDescent="0.2">
      <c r="A45" t="s">
        <v>86</v>
      </c>
      <c r="B45">
        <f>IFERROR(INDEX(Project_Tracker!$Z$2:$Z$101,MATCH($A$6,Project_Tracker!$AL$2:$AL$101,0)),"")</f>
        <v>46304</v>
      </c>
    </row>
    <row r="46" spans="1:2" hidden="1" x14ac:dyDescent="0.2">
      <c r="A46" t="s">
        <v>83</v>
      </c>
      <c r="B46">
        <f>IFERROR(INDEX(Project_Tracker!$AA$2:$AA$101,MATCH($A$6,Project_Tracker!$AL$2:$AL$101,0)),"")</f>
        <v>46312</v>
      </c>
    </row>
    <row r="47" spans="1:2" hidden="1" x14ac:dyDescent="0.2">
      <c r="A47" t="s">
        <v>20</v>
      </c>
      <c r="B47">
        <f>IFERROR(INDEX(Project_Tracker!$F$2:$F$101,MATCH($A$6,Project_Tracker!$AL$2:$AL$101,0)),"")</f>
        <v>46315</v>
      </c>
    </row>
  </sheetData>
  <mergeCells count="26">
    <mergeCell ref="U6:AI7"/>
    <mergeCell ref="C6:D7"/>
    <mergeCell ref="I6:J7"/>
    <mergeCell ref="K6:L7"/>
    <mergeCell ref="E5:F5"/>
    <mergeCell ref="K5:L5"/>
    <mergeCell ref="S6:T7"/>
    <mergeCell ref="M5:N5"/>
    <mergeCell ref="O5:P5"/>
    <mergeCell ref="Q5:R5"/>
    <mergeCell ref="A1:AI2"/>
    <mergeCell ref="A6:B7"/>
    <mergeCell ref="A9:E9"/>
    <mergeCell ref="A5:B5"/>
    <mergeCell ref="G5:H5"/>
    <mergeCell ref="O6:P7"/>
    <mergeCell ref="A3:AI3"/>
    <mergeCell ref="I5:J5"/>
    <mergeCell ref="U5:AI5"/>
    <mergeCell ref="S5:T5"/>
    <mergeCell ref="E6:F7"/>
    <mergeCell ref="G6:H7"/>
    <mergeCell ref="M6:N7"/>
    <mergeCell ref="C5:D5"/>
    <mergeCell ref="G9:JP9"/>
    <mergeCell ref="Q6:R7"/>
  </mergeCells>
  <conditionalFormatting sqref="E12:E21">
    <cfRule type="expression" dxfId="21" priority="9">
      <formula>$E12="Done"</formula>
    </cfRule>
    <cfRule type="expression" dxfId="20" priority="10">
      <formula>$E12="Current"</formula>
    </cfRule>
    <cfRule type="expression" dxfId="19" priority="11">
      <formula>$E12="Planned"</formula>
    </cfRule>
  </conditionalFormatting>
  <conditionalFormatting sqref="G12:JP12">
    <cfRule type="expression" dxfId="18" priority="12">
      <formula>G12=1</formula>
    </cfRule>
  </conditionalFormatting>
  <conditionalFormatting sqref="G13:JP13">
    <cfRule type="expression" dxfId="17" priority="13">
      <formula>G13=1</formula>
    </cfRule>
  </conditionalFormatting>
  <conditionalFormatting sqref="G14:JP14">
    <cfRule type="expression" dxfId="16" priority="14">
      <formula>G14=1</formula>
    </cfRule>
  </conditionalFormatting>
  <conditionalFormatting sqref="G15:JP15">
    <cfRule type="expression" dxfId="15" priority="15">
      <formula>G15=1</formula>
    </cfRule>
  </conditionalFormatting>
  <conditionalFormatting sqref="G16:JP16">
    <cfRule type="expression" dxfId="14" priority="16">
      <formula>G16=1</formula>
    </cfRule>
  </conditionalFormatting>
  <conditionalFormatting sqref="G17:JP17">
    <cfRule type="expression" dxfId="13" priority="17">
      <formula>G17=1</formula>
    </cfRule>
  </conditionalFormatting>
  <conditionalFormatting sqref="G18:JP18">
    <cfRule type="expression" dxfId="12" priority="18">
      <formula>G18=1</formula>
    </cfRule>
  </conditionalFormatting>
  <conditionalFormatting sqref="G19:JP19">
    <cfRule type="expression" dxfId="11" priority="19">
      <formula>G19=1</formula>
    </cfRule>
  </conditionalFormatting>
  <conditionalFormatting sqref="G20:JP20">
    <cfRule type="expression" dxfId="10" priority="20">
      <formula>G20=1</formula>
    </cfRule>
  </conditionalFormatting>
  <conditionalFormatting sqref="G21:JP21">
    <cfRule type="expression" dxfId="9" priority="21">
      <formula>G21=1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103"/>
  <sheetViews>
    <sheetView tabSelected="1" topLeftCell="U1" workbookViewId="0">
      <selection activeCell="AE9" sqref="AE9"/>
    </sheetView>
  </sheetViews>
  <sheetFormatPr baseColWidth="10" defaultColWidth="8.83203125" defaultRowHeight="15" x14ac:dyDescent="0.2"/>
  <cols>
    <col min="1" max="1" width="12" customWidth="1"/>
    <col min="2" max="2" width="24" customWidth="1"/>
    <col min="3" max="3" width="16" customWidth="1"/>
    <col min="4" max="4" width="18" customWidth="1"/>
    <col min="5" max="7" width="14" customWidth="1"/>
    <col min="8" max="8" width="12" customWidth="1"/>
    <col min="9" max="9" width="15" customWidth="1"/>
    <col min="10" max="12" width="16" customWidth="1"/>
    <col min="13" max="15" width="14" customWidth="1"/>
    <col min="16" max="16" width="16" customWidth="1"/>
    <col min="17" max="17" width="15" customWidth="1"/>
    <col min="18" max="18" width="14" customWidth="1"/>
    <col min="19" max="19" width="18" customWidth="1"/>
    <col min="20" max="20" width="16" customWidth="1"/>
    <col min="21" max="21" width="18" customWidth="1"/>
    <col min="22" max="22" width="14" customWidth="1"/>
    <col min="23" max="24" width="18" customWidth="1"/>
    <col min="25" max="27" width="14" customWidth="1"/>
    <col min="28" max="31" width="12" customWidth="1"/>
    <col min="32" max="32" width="18" customWidth="1"/>
    <col min="33" max="34" width="12" customWidth="1"/>
    <col min="35" max="35" width="10" customWidth="1"/>
    <col min="36" max="36" width="22" customWidth="1"/>
    <col min="37" max="37" width="10" hidden="1" customWidth="1"/>
    <col min="38" max="39" width="13" hidden="1" customWidth="1"/>
  </cols>
  <sheetData>
    <row r="1" spans="1:39" ht="19.25" customHeight="1" x14ac:dyDescent="0.2">
      <c r="A1" s="19" t="s">
        <v>94</v>
      </c>
      <c r="B1" s="19" t="s">
        <v>95</v>
      </c>
      <c r="C1" s="19" t="s">
        <v>96</v>
      </c>
      <c r="D1" s="19" t="s">
        <v>97</v>
      </c>
      <c r="E1" s="19" t="s">
        <v>98</v>
      </c>
      <c r="F1" s="19" t="s">
        <v>20</v>
      </c>
      <c r="G1" s="19" t="s">
        <v>99</v>
      </c>
      <c r="H1" s="19" t="s">
        <v>100</v>
      </c>
      <c r="I1" s="19" t="s">
        <v>101</v>
      </c>
      <c r="J1" s="19" t="s">
        <v>102</v>
      </c>
      <c r="K1" s="19" t="s">
        <v>103</v>
      </c>
      <c r="L1" s="19" t="s">
        <v>104</v>
      </c>
      <c r="M1" s="19" t="s">
        <v>105</v>
      </c>
      <c r="N1" s="19" t="s">
        <v>107</v>
      </c>
      <c r="O1" s="19" t="s">
        <v>123</v>
      </c>
      <c r="P1" s="19" t="s">
        <v>124</v>
      </c>
      <c r="Q1" s="19" t="s">
        <v>125</v>
      </c>
      <c r="R1" s="19" t="s">
        <v>126</v>
      </c>
      <c r="S1" s="19" t="s">
        <v>108</v>
      </c>
      <c r="T1" s="19" t="s">
        <v>109</v>
      </c>
      <c r="U1" s="19" t="s">
        <v>127</v>
      </c>
      <c r="V1" s="19" t="s">
        <v>128</v>
      </c>
      <c r="W1" s="19" t="s">
        <v>129</v>
      </c>
      <c r="X1" s="19" t="s">
        <v>130</v>
      </c>
      <c r="Y1" s="19" t="s">
        <v>131</v>
      </c>
      <c r="Z1" s="19" t="s">
        <v>132</v>
      </c>
      <c r="AA1" s="19" t="s">
        <v>110</v>
      </c>
      <c r="AB1" s="19" t="s">
        <v>133</v>
      </c>
      <c r="AC1" s="19" t="s">
        <v>134</v>
      </c>
      <c r="AD1" s="19" t="s">
        <v>135</v>
      </c>
      <c r="AE1" s="19" t="s">
        <v>136</v>
      </c>
      <c r="AF1" s="19" t="s">
        <v>137</v>
      </c>
      <c r="AG1" s="19" t="s">
        <v>138</v>
      </c>
      <c r="AH1" s="19" t="s">
        <v>139</v>
      </c>
      <c r="AI1" s="19" t="s">
        <v>111</v>
      </c>
      <c r="AJ1" s="19" t="s">
        <v>106</v>
      </c>
      <c r="AK1" s="19" t="s">
        <v>140</v>
      </c>
      <c r="AL1" t="s">
        <v>141</v>
      </c>
      <c r="AM1" t="s">
        <v>142</v>
      </c>
    </row>
    <row r="2" spans="1:39" ht="22" customHeight="1" x14ac:dyDescent="0.2">
      <c r="A2" s="27">
        <v>123456</v>
      </c>
      <c r="B2" s="28" t="s">
        <v>112</v>
      </c>
      <c r="C2" s="20" t="str">
        <f>IF($AL2="","",IFERROR(INDEX(Product_Registry!$C$2:$C$101,MATCH($AL2,Product_Registry!$A$2:$A$101,0)),""))</f>
        <v>冷水机组</v>
      </c>
      <c r="D2" s="21" t="str">
        <f>IF($AL2="","",IFERROR(INDEX(Product_Registry!$D$2:$D$101,MATCH($AL2,Product_Registry!$A$2:$A$101,0)),""))</f>
        <v>Sample Customer</v>
      </c>
      <c r="E2" s="17">
        <f>IF($AL2="","",IFERROR(INDEX(Product_Registry!$E$2:$E$101,MATCH($AL2,Product_Registry!$A$2:$A$101,0)),""))</f>
        <v>46091</v>
      </c>
      <c r="F2" s="17">
        <f>IF($AL2="","",IFERROR(INDEX(Product_Registry!$F$2:$F$101,MATCH($AL2,Product_Registry!$A$2:$A$101,0)),""))</f>
        <v>46315</v>
      </c>
      <c r="G2" s="21" t="str">
        <f>IF($AL2="","",IFERROR(INDEX(Product_Registry!$G$2:$G$101,MATCH($AL2,Product_Registry!$A$2:$A$101,0)),""))</f>
        <v>CN-2026-001</v>
      </c>
      <c r="H2" s="21" t="str">
        <f>IF($AL2="","",IFERROR(INDEX(Product_Registry!$H$2:$H$101,MATCH($AL2,Product_Registry!$A$2:$A$101,0)),""))</f>
        <v>P84 Pilot</v>
      </c>
      <c r="I2" s="21" t="str">
        <f>IF($AL2="","",IFERROR(INDEX(Product_Registry!$I$2:$I$101,MATCH($AL2,Product_Registry!$A$2:$A$101,0)),""))</f>
        <v>PM Owner</v>
      </c>
      <c r="J2" s="21" t="str">
        <f>IF($AL2="","",IFERROR(INDEX(Product_Registry!$J$2:$J$101,MATCH($AL2,Product_Registry!$A$2:$A$101,0)),""))</f>
        <v>Engineering Owner</v>
      </c>
      <c r="K2" s="21" t="str">
        <f>IF($AL2="","",IFERROR(INDEX(Product_Registry!$K$2:$K$101,MATCH($AL2,Product_Registry!$A$2:$A$101,0)),""))</f>
        <v>Procurement Owner</v>
      </c>
      <c r="L2" s="21" t="str">
        <f>IF($AL2="","",IFERROR(INDEX(Product_Registry!$L$2:$L$101,MATCH($AL2,Product_Registry!$A$2:$A$101,0)),""))</f>
        <v>Production Owner</v>
      </c>
      <c r="M2" s="21" t="str">
        <f>IF($AL2="","",IFERROR(INDEX(Product_Registry!$M$2:$M$101,MATCH($AL2,Product_Registry!$A$2:$A$101,0)),""))</f>
        <v>QA / FAT Owner</v>
      </c>
      <c r="N2" s="6">
        <f>IF($AL2="","",$E2+SUMIFS('Logic &amp; Lists'!$E$4:$E$200,'Logic &amp; Lists'!$A$4:$A$200,$AK2,'Logic &amp; Lists'!$C$4:$C$200,"Level 1 Schedule"))</f>
        <v>46119</v>
      </c>
      <c r="O2" s="6">
        <f>IF($AL2="","",$P2+SUMIFS('Logic &amp; Lists'!$E$4:$E$200,'Logic &amp; Lists'!$A$4:$A$200,$AK2,'Logic &amp; Lists'!$C$4:$C$200,"Input Frozen"))</f>
        <v>46074</v>
      </c>
      <c r="P2" s="6">
        <f>IF($AL2="","",$Q2+SUMIFS('Logic &amp; Lists'!$E$4:$E$200,'Logic &amp; Lists'!$A$4:$A$200,$AK2,'Logic &amp; Lists'!$C$4:$C$200,"Drawing Approval"))</f>
        <v>46094</v>
      </c>
      <c r="Q2" s="6">
        <f>IF($AL2="","",$S2+SUMIFS('Logic &amp; Lists'!$E$4:$E$200,'Logic &amp; Lists'!$A$4:$A$200,$AK2,'Logic &amp; Lists'!$C$4:$C$200,"BOM Pass to PR"))</f>
        <v>46101</v>
      </c>
      <c r="R2" s="6">
        <f>IF($AL2="","",$S2+SUMIFS('Logic &amp; Lists'!$E$4:$E$200,'Logic &amp; Lists'!$A$4:$A$200,$AK2,'Logic &amp; Lists'!$C$4:$C$200,"PR Schedule"))</f>
        <v>46097</v>
      </c>
      <c r="S2" s="6">
        <f>IF($AL2="","",$T2+SUMIFS('Logic &amp; Lists'!$E$4:$E$200,'Logic &amp; Lists'!$A$4:$A$200,$AK2,'Logic &amp; Lists'!$C$4:$C$200,"Components PO Plan"))</f>
        <v>46104</v>
      </c>
      <c r="T2" s="6">
        <f>IF($AL2="","",$U2+SUMIFS('Logic &amp; Lists'!$E$4:$E$200,'Logic &amp; Lists'!$A$4:$A$200,$AK2,'Logic &amp; Lists'!$C$4:$C$200,"Production Start"))</f>
        <v>46244</v>
      </c>
      <c r="U2" s="6">
        <f>IF($AL2="","",$W2+SUMIFS('Logic &amp; Lists'!$E$4:$E$200,'Logic &amp; Lists'!$A$4:$A$200,$AK2,'Logic &amp; Lists'!$C$4:$C$200,"Production Complete"))</f>
        <v>46289</v>
      </c>
      <c r="V2" s="6">
        <f>IF($AL2="","",$Y2+SUMIFS('Logic &amp; Lists'!$E$4:$E$200,'Logic &amp; Lists'!$A$4:$A$200,$AK2,'Logic &amp; Lists'!$C$4:$C$200,"NOI Date"))</f>
        <v>46269</v>
      </c>
      <c r="W2" s="6">
        <f>IF($AL2="","",$X2+SUMIFS('Logic &amp; Lists'!$E$4:$E$200,'Logic &amp; Lists'!$A$4:$A$200,$AK2,'Logic &amp; Lists'!$C$4:$C$200,"Internal Test Start"))</f>
        <v>46292</v>
      </c>
      <c r="X2" s="6">
        <f>IF($AL2="","",$Y2+SUMIFS('Logic &amp; Lists'!$E$4:$E$200,'Logic &amp; Lists'!$A$4:$A$200,$AK2,'Logic &amp; Lists'!$C$4:$C$200,"Internal Test Complete"))</f>
        <v>46295</v>
      </c>
      <c r="Y2" s="6">
        <f>IF($AL2="","",$AA2+SUMIFS('Logic &amp; Lists'!$E$4:$E$200,'Logic &amp; Lists'!$A$4:$A$200,$AK2,'Logic &amp; Lists'!$C$4:$C$200,"FAT Start"))</f>
        <v>46297</v>
      </c>
      <c r="Z2" s="6">
        <f>IF($AL2="","",$Y2+SUMIFS('Logic &amp; Lists'!$E$4:$E$200,'Logic &amp; Lists'!$A$4:$A$200,$AK2,'Logic &amp; Lists'!$C$4:$C$200,"FAT Complete"))</f>
        <v>46304</v>
      </c>
      <c r="AA2" s="6">
        <f>IF($AL2="","",$F2+SUMIFS('Logic &amp; Lists'!$E$4:$E$200,'Logic &amp; Lists'!$A$4:$A$200,$AK2,'Logic &amp; Lists'!$C$4:$C$200,"Delivery"))</f>
        <v>46312</v>
      </c>
      <c r="AB2" s="8"/>
      <c r="AC2" s="8"/>
      <c r="AD2" s="8"/>
      <c r="AE2" s="8"/>
      <c r="AF2" s="16"/>
      <c r="AG2" s="8"/>
      <c r="AH2" s="5" t="str">
        <f t="shared" ref="AH2:AH33" ca="1" si="0">IF($AL2="","",IF($AI2&lt;0,"At Risk",IF($AI2&lt;=30,"Watch","On Track")))</f>
        <v>On Track</v>
      </c>
      <c r="AI2" s="18">
        <f t="shared" ref="AI2:AI33" ca="1" si="1">IF($F2="","",$F2-TODAY())</f>
        <v>63</v>
      </c>
      <c r="AJ2" s="7"/>
      <c r="AK2" s="5" t="str">
        <f>IF($AL2="","",IF(COUNTIF('Logic &amp; Lists'!$A$4:$A$200,$C2)&gt;0,$C2,"Default"))</f>
        <v>冷水机组</v>
      </c>
      <c r="AL2">
        <f>IF($A2&lt;&gt;"",$A2,IF($B2&lt;&gt;"",IFERROR(INDEX(Product_Registry!$A$2:$A$101,MATCH($B2,Product_Registry!$B$2:$B$101,0)),IFERROR(INDEX(Product_Registry!$A$2:$A$101,MATCH("*"&amp;$B2&amp;"*",Product_Registry!$B$2:$B$101,0)),"")),""))</f>
        <v>123456</v>
      </c>
      <c r="AM2" t="str">
        <f>IF($AL2="","",IFERROR(INDEX(Product_Registry!$B$2:$B$101,MATCH($AL2,Product_Registry!$A$2:$A$101,0)),""))</f>
        <v>Chiller Water Unit</v>
      </c>
    </row>
    <row r="3" spans="1:39" x14ac:dyDescent="0.2">
      <c r="A3" s="27"/>
      <c r="B3" s="28"/>
      <c r="C3" s="20" t="str">
        <f>IF($AL3="","",IFERROR(INDEX(Product_Registry!$C$2:$C$101,MATCH($AL3,Product_Registry!$A$2:$A$101,0)),""))</f>
        <v/>
      </c>
      <c r="D3" s="21" t="str">
        <f>IF($AL3="","",IFERROR(INDEX(Product_Registry!$D$2:$D$101,MATCH($AL3,Product_Registry!$A$2:$A$101,0)),""))</f>
        <v/>
      </c>
      <c r="E3" s="17" t="str">
        <f>IF($AL3="","",IFERROR(INDEX(Product_Registry!$E$2:$E$101,MATCH($AL3,Product_Registry!$A$2:$A$101,0)),""))</f>
        <v/>
      </c>
      <c r="F3" s="17" t="str">
        <f>IF($AL3="","",IFERROR(INDEX(Product_Registry!$F$2:$F$101,MATCH($AL3,Product_Registry!$A$2:$A$101,0)),""))</f>
        <v/>
      </c>
      <c r="G3" s="21" t="str">
        <f>IF($AL3="","",IFERROR(INDEX(Product_Registry!$G$2:$G$101,MATCH($AL3,Product_Registry!$A$2:$A$101,0)),""))</f>
        <v/>
      </c>
      <c r="H3" s="21" t="str">
        <f>IF($AL3="","",IFERROR(INDEX(Product_Registry!$H$2:$H$101,MATCH($AL3,Product_Registry!$A$2:$A$101,0)),""))</f>
        <v/>
      </c>
      <c r="I3" s="21" t="str">
        <f>IF($AL3="","",IFERROR(INDEX(Product_Registry!$I$2:$I$101,MATCH($AL3,Product_Registry!$A$2:$A$101,0)),""))</f>
        <v/>
      </c>
      <c r="J3" s="21" t="str">
        <f>IF($AL3="","",IFERROR(INDEX(Product_Registry!$J$2:$J$101,MATCH($AL3,Product_Registry!$A$2:$A$101,0)),""))</f>
        <v/>
      </c>
      <c r="K3" s="21" t="str">
        <f>IF($AL3="","",IFERROR(INDEX(Product_Registry!$K$2:$K$101,MATCH($AL3,Product_Registry!$A$2:$A$101,0)),""))</f>
        <v/>
      </c>
      <c r="L3" s="21" t="str">
        <f>IF($AL3="","",IFERROR(INDEX(Product_Registry!$L$2:$L$101,MATCH($AL3,Product_Registry!$A$2:$A$101,0)),""))</f>
        <v/>
      </c>
      <c r="M3" s="21" t="str">
        <f>IF($AL3="","",IFERROR(INDEX(Product_Registry!$M$2:$M$101,MATCH($AL3,Product_Registry!$A$2:$A$101,0)),""))</f>
        <v/>
      </c>
      <c r="N3" s="6" t="str">
        <f>IF($AL3="","",$E3+SUMIFS('Logic &amp; Lists'!$E$4:$E$200,'Logic &amp; Lists'!$A$4:$A$200,$AK3,'Logic &amp; Lists'!$C$4:$C$200,"Level 1 Schedule"))</f>
        <v/>
      </c>
      <c r="O3" s="6" t="str">
        <f>IF($AL3="","",$P3+SUMIFS('Logic &amp; Lists'!$E$4:$E$200,'Logic &amp; Lists'!$A$4:$A$200,$AK3,'Logic &amp; Lists'!$C$4:$C$200,"Input Frozen"))</f>
        <v/>
      </c>
      <c r="P3" s="6" t="str">
        <f>IF($AL3="","",$Q3+SUMIFS('Logic &amp; Lists'!$E$4:$E$200,'Logic &amp; Lists'!$A$4:$A$200,$AK3,'Logic &amp; Lists'!$C$4:$C$200,"Drawing Approval"))</f>
        <v/>
      </c>
      <c r="Q3" s="6" t="str">
        <f>IF($AL3="","",$S3+SUMIFS('Logic &amp; Lists'!$E$4:$E$200,'Logic &amp; Lists'!$A$4:$A$200,$AK3,'Logic &amp; Lists'!$C$4:$C$200,"BOM Pass to PR"))</f>
        <v/>
      </c>
      <c r="R3" s="6" t="str">
        <f>IF($AL3="","",$S3+SUMIFS('Logic &amp; Lists'!$E$4:$E$200,'Logic &amp; Lists'!$A$4:$A$200,$AK3,'Logic &amp; Lists'!$C$4:$C$200,"PR Schedule"))</f>
        <v/>
      </c>
      <c r="S3" s="6" t="str">
        <f>IF($AL3="","",$T3+SUMIFS('Logic &amp; Lists'!$E$4:$E$200,'Logic &amp; Lists'!$A$4:$A$200,$AK3,'Logic &amp; Lists'!$C$4:$C$200,"Components PO Plan"))</f>
        <v/>
      </c>
      <c r="T3" s="6" t="str">
        <f>IF($AL3="","",$U3+SUMIFS('Logic &amp; Lists'!$E$4:$E$200,'Logic &amp; Lists'!$A$4:$A$200,$AK3,'Logic &amp; Lists'!$C$4:$C$200,"Production Start"))</f>
        <v/>
      </c>
      <c r="U3" s="6" t="str">
        <f>IF($AL3="","",$W3+SUMIFS('Logic &amp; Lists'!$E$4:$E$200,'Logic &amp; Lists'!$A$4:$A$200,$AK3,'Logic &amp; Lists'!$C$4:$C$200,"Production Complete"))</f>
        <v/>
      </c>
      <c r="V3" s="6" t="str">
        <f>IF($AL3="","",$Y3+SUMIFS('Logic &amp; Lists'!$E$4:$E$200,'Logic &amp; Lists'!$A$4:$A$200,$AK3,'Logic &amp; Lists'!$C$4:$C$200,"NOI Date"))</f>
        <v/>
      </c>
      <c r="W3" s="6" t="str">
        <f>IF($AL3="","",$X3+SUMIFS('Logic &amp; Lists'!$E$4:$E$200,'Logic &amp; Lists'!$A$4:$A$200,$AK3,'Logic &amp; Lists'!$C$4:$C$200,"Internal Test Start"))</f>
        <v/>
      </c>
      <c r="X3" s="6" t="str">
        <f>IF($AL3="","",$Y3+SUMIFS('Logic &amp; Lists'!$E$4:$E$200,'Logic &amp; Lists'!$A$4:$A$200,$AK3,'Logic &amp; Lists'!$C$4:$C$200,"Internal Test Complete"))</f>
        <v/>
      </c>
      <c r="Y3" s="6" t="str">
        <f>IF($AL3="","",$AA3+SUMIFS('Logic &amp; Lists'!$E$4:$E$200,'Logic &amp; Lists'!$A$4:$A$200,$AK3,'Logic &amp; Lists'!$C$4:$C$200,"FAT Start"))</f>
        <v/>
      </c>
      <c r="Z3" s="6" t="str">
        <f>IF($AL3="","",$Y3+SUMIFS('Logic &amp; Lists'!$E$4:$E$200,'Logic &amp; Lists'!$A$4:$A$200,$AK3,'Logic &amp; Lists'!$C$4:$C$200,"FAT Complete"))</f>
        <v/>
      </c>
      <c r="AA3" s="6" t="str">
        <f>IF($AL3="","",$F3+SUMIFS('Logic &amp; Lists'!$E$4:$E$200,'Logic &amp; Lists'!$A$4:$A$200,$AK3,'Logic &amp; Lists'!$C$4:$C$200,"Delivery"))</f>
        <v/>
      </c>
      <c r="AB3" s="8"/>
      <c r="AC3" s="8"/>
      <c r="AD3" s="8"/>
      <c r="AE3" s="8"/>
      <c r="AF3" s="16"/>
      <c r="AG3" s="8"/>
      <c r="AH3" s="5" t="str">
        <f t="shared" si="0"/>
        <v/>
      </c>
      <c r="AI3" s="18" t="str">
        <f t="shared" ca="1" si="1"/>
        <v/>
      </c>
      <c r="AJ3" s="7"/>
      <c r="AK3" s="5" t="str">
        <f>IF($AL3="","",IF(COUNTIF('Logic &amp; Lists'!$A$4:$A$200,$C3)&gt;0,$C3,"Default"))</f>
        <v/>
      </c>
      <c r="AL3" t="str">
        <f>IF($A3&lt;&gt;"",$A3,IF($B3&lt;&gt;"",IFERROR(INDEX(Product_Registry!$A$2:$A$101,MATCH($B3,Product_Registry!$B$2:$B$101,0)),IFERROR(INDEX(Product_Registry!$A$2:$A$101,MATCH("*"&amp;$B3&amp;"*",Product_Registry!$B$2:$B$101,0)),"")),""))</f>
        <v/>
      </c>
      <c r="AM3" t="str">
        <f>IF($AL3="","",IFERROR(INDEX(Product_Registry!$B$2:$B$101,MATCH($AL3,Product_Registry!$A$2:$A$101,0)),""))</f>
        <v/>
      </c>
    </row>
    <row r="4" spans="1:39" x14ac:dyDescent="0.2">
      <c r="A4" s="27"/>
      <c r="B4" s="28"/>
      <c r="C4" s="20" t="str">
        <f>IF($AL4="","",IFERROR(INDEX(Product_Registry!$C$2:$C$101,MATCH($AL4,Product_Registry!$A$2:$A$101,0)),""))</f>
        <v/>
      </c>
      <c r="D4" s="21" t="str">
        <f>IF($AL4="","",IFERROR(INDEX(Product_Registry!$D$2:$D$101,MATCH($AL4,Product_Registry!$A$2:$A$101,0)),""))</f>
        <v/>
      </c>
      <c r="E4" s="17" t="str">
        <f>IF($AL4="","",IFERROR(INDEX(Product_Registry!$E$2:$E$101,MATCH($AL4,Product_Registry!$A$2:$A$101,0)),""))</f>
        <v/>
      </c>
      <c r="F4" s="17" t="str">
        <f>IF($AL4="","",IFERROR(INDEX(Product_Registry!$F$2:$F$101,MATCH($AL4,Product_Registry!$A$2:$A$101,0)),""))</f>
        <v/>
      </c>
      <c r="G4" s="21" t="str">
        <f>IF($AL4="","",IFERROR(INDEX(Product_Registry!$G$2:$G$101,MATCH($AL4,Product_Registry!$A$2:$A$101,0)),""))</f>
        <v/>
      </c>
      <c r="H4" s="21" t="str">
        <f>IF($AL4="","",IFERROR(INDEX(Product_Registry!$H$2:$H$101,MATCH($AL4,Product_Registry!$A$2:$A$101,0)),""))</f>
        <v/>
      </c>
      <c r="I4" s="21" t="str">
        <f>IF($AL4="","",IFERROR(INDEX(Product_Registry!$I$2:$I$101,MATCH($AL4,Product_Registry!$A$2:$A$101,0)),""))</f>
        <v/>
      </c>
      <c r="J4" s="21" t="str">
        <f>IF($AL4="","",IFERROR(INDEX(Product_Registry!$J$2:$J$101,MATCH($AL4,Product_Registry!$A$2:$A$101,0)),""))</f>
        <v/>
      </c>
      <c r="K4" s="21" t="str">
        <f>IF($AL4="","",IFERROR(INDEX(Product_Registry!$K$2:$K$101,MATCH($AL4,Product_Registry!$A$2:$A$101,0)),""))</f>
        <v/>
      </c>
      <c r="L4" s="21" t="str">
        <f>IF($AL4="","",IFERROR(INDEX(Product_Registry!$L$2:$L$101,MATCH($AL4,Product_Registry!$A$2:$A$101,0)),""))</f>
        <v/>
      </c>
      <c r="M4" s="21" t="str">
        <f>IF($AL4="","",IFERROR(INDEX(Product_Registry!$M$2:$M$101,MATCH($AL4,Product_Registry!$A$2:$A$101,0)),""))</f>
        <v/>
      </c>
      <c r="N4" s="6" t="str">
        <f>IF($AL4="","",$E4+SUMIFS('Logic &amp; Lists'!$E$4:$E$200,'Logic &amp; Lists'!$A$4:$A$200,$AK4,'Logic &amp; Lists'!$C$4:$C$200,"Level 1 Schedule"))</f>
        <v/>
      </c>
      <c r="O4" s="6" t="str">
        <f>IF($AL4="","",$P4+SUMIFS('Logic &amp; Lists'!$E$4:$E$200,'Logic &amp; Lists'!$A$4:$A$200,$AK4,'Logic &amp; Lists'!$C$4:$C$200,"Input Frozen"))</f>
        <v/>
      </c>
      <c r="P4" s="6" t="str">
        <f>IF($AL4="","",$Q4+SUMIFS('Logic &amp; Lists'!$E$4:$E$200,'Logic &amp; Lists'!$A$4:$A$200,$AK4,'Logic &amp; Lists'!$C$4:$C$200,"Drawing Approval"))</f>
        <v/>
      </c>
      <c r="Q4" s="6" t="str">
        <f>IF($AL4="","",$S4+SUMIFS('Logic &amp; Lists'!$E$4:$E$200,'Logic &amp; Lists'!$A$4:$A$200,$AK4,'Logic &amp; Lists'!$C$4:$C$200,"BOM Pass to PR"))</f>
        <v/>
      </c>
      <c r="R4" s="6" t="str">
        <f>IF($AL4="","",$S4+SUMIFS('Logic &amp; Lists'!$E$4:$E$200,'Logic &amp; Lists'!$A$4:$A$200,$AK4,'Logic &amp; Lists'!$C$4:$C$200,"PR Schedule"))</f>
        <v/>
      </c>
      <c r="S4" s="6" t="str">
        <f>IF($AL4="","",$T4+SUMIFS('Logic &amp; Lists'!$E$4:$E$200,'Logic &amp; Lists'!$A$4:$A$200,$AK4,'Logic &amp; Lists'!$C$4:$C$200,"Components PO Plan"))</f>
        <v/>
      </c>
      <c r="T4" s="6" t="str">
        <f>IF($AL4="","",$U4+SUMIFS('Logic &amp; Lists'!$E$4:$E$200,'Logic &amp; Lists'!$A$4:$A$200,$AK4,'Logic &amp; Lists'!$C$4:$C$200,"Production Start"))</f>
        <v/>
      </c>
      <c r="U4" s="6" t="str">
        <f>IF($AL4="","",$W4+SUMIFS('Logic &amp; Lists'!$E$4:$E$200,'Logic &amp; Lists'!$A$4:$A$200,$AK4,'Logic &amp; Lists'!$C$4:$C$200,"Production Complete"))</f>
        <v/>
      </c>
      <c r="V4" s="6" t="str">
        <f>IF($AL4="","",$Y4+SUMIFS('Logic &amp; Lists'!$E$4:$E$200,'Logic &amp; Lists'!$A$4:$A$200,$AK4,'Logic &amp; Lists'!$C$4:$C$200,"NOI Date"))</f>
        <v/>
      </c>
      <c r="W4" s="6" t="str">
        <f>IF($AL4="","",$X4+SUMIFS('Logic &amp; Lists'!$E$4:$E$200,'Logic &amp; Lists'!$A$4:$A$200,$AK4,'Logic &amp; Lists'!$C$4:$C$200,"Internal Test Start"))</f>
        <v/>
      </c>
      <c r="X4" s="6" t="str">
        <f>IF($AL4="","",$Y4+SUMIFS('Logic &amp; Lists'!$E$4:$E$200,'Logic &amp; Lists'!$A$4:$A$200,$AK4,'Logic &amp; Lists'!$C$4:$C$200,"Internal Test Complete"))</f>
        <v/>
      </c>
      <c r="Y4" s="6" t="str">
        <f>IF($AL4="","",$AA4+SUMIFS('Logic &amp; Lists'!$E$4:$E$200,'Logic &amp; Lists'!$A$4:$A$200,$AK4,'Logic &amp; Lists'!$C$4:$C$200,"FAT Start"))</f>
        <v/>
      </c>
      <c r="Z4" s="6" t="str">
        <f>IF($AL4="","",$Y4+SUMIFS('Logic &amp; Lists'!$E$4:$E$200,'Logic &amp; Lists'!$A$4:$A$200,$AK4,'Logic &amp; Lists'!$C$4:$C$200,"FAT Complete"))</f>
        <v/>
      </c>
      <c r="AA4" s="6" t="str">
        <f>IF($AL4="","",$F4+SUMIFS('Logic &amp; Lists'!$E$4:$E$200,'Logic &amp; Lists'!$A$4:$A$200,$AK4,'Logic &amp; Lists'!$C$4:$C$200,"Delivery"))</f>
        <v/>
      </c>
      <c r="AB4" s="8"/>
      <c r="AC4" s="8"/>
      <c r="AD4" s="8"/>
      <c r="AE4" s="8"/>
      <c r="AF4" s="16"/>
      <c r="AG4" s="8"/>
      <c r="AH4" s="5" t="str">
        <f t="shared" si="0"/>
        <v/>
      </c>
      <c r="AI4" s="18" t="str">
        <f t="shared" ca="1" si="1"/>
        <v/>
      </c>
      <c r="AJ4" s="7"/>
      <c r="AK4" s="5" t="str">
        <f>IF($AL4="","",IF(COUNTIF('Logic &amp; Lists'!$A$4:$A$200,$C4)&gt;0,$C4,"Default"))</f>
        <v/>
      </c>
      <c r="AL4" t="str">
        <f>IF($A4&lt;&gt;"",$A4,IF($B4&lt;&gt;"",IFERROR(INDEX(Product_Registry!$A$2:$A$101,MATCH($B4,Product_Registry!$B$2:$B$101,0)),IFERROR(INDEX(Product_Registry!$A$2:$A$101,MATCH("*"&amp;$B4&amp;"*",Product_Registry!$B$2:$B$101,0)),"")),""))</f>
        <v/>
      </c>
      <c r="AM4" t="str">
        <f>IF($AL4="","",IFERROR(INDEX(Product_Registry!$B$2:$B$101,MATCH($AL4,Product_Registry!$A$2:$A$101,0)),""))</f>
        <v/>
      </c>
    </row>
    <row r="5" spans="1:39" x14ac:dyDescent="0.2">
      <c r="A5" s="27"/>
      <c r="B5" s="28"/>
      <c r="C5" s="20" t="str">
        <f>IF($AL5="","",IFERROR(INDEX(Product_Registry!$C$2:$C$101,MATCH($AL5,Product_Registry!$A$2:$A$101,0)),""))</f>
        <v/>
      </c>
      <c r="D5" s="21" t="str">
        <f>IF($AL5="","",IFERROR(INDEX(Product_Registry!$D$2:$D$101,MATCH($AL5,Product_Registry!$A$2:$A$101,0)),""))</f>
        <v/>
      </c>
      <c r="E5" s="17" t="str">
        <f>IF($AL5="","",IFERROR(INDEX(Product_Registry!$E$2:$E$101,MATCH($AL5,Product_Registry!$A$2:$A$101,0)),""))</f>
        <v/>
      </c>
      <c r="F5" s="17" t="str">
        <f>IF($AL5="","",IFERROR(INDEX(Product_Registry!$F$2:$F$101,MATCH($AL5,Product_Registry!$A$2:$A$101,0)),""))</f>
        <v/>
      </c>
      <c r="G5" s="21" t="str">
        <f>IF($AL5="","",IFERROR(INDEX(Product_Registry!$G$2:$G$101,MATCH($AL5,Product_Registry!$A$2:$A$101,0)),""))</f>
        <v/>
      </c>
      <c r="H5" s="21" t="str">
        <f>IF($AL5="","",IFERROR(INDEX(Product_Registry!$H$2:$H$101,MATCH($AL5,Product_Registry!$A$2:$A$101,0)),""))</f>
        <v/>
      </c>
      <c r="I5" s="21" t="str">
        <f>IF($AL5="","",IFERROR(INDEX(Product_Registry!$I$2:$I$101,MATCH($AL5,Product_Registry!$A$2:$A$101,0)),""))</f>
        <v/>
      </c>
      <c r="J5" s="21" t="str">
        <f>IF($AL5="","",IFERROR(INDEX(Product_Registry!$J$2:$J$101,MATCH($AL5,Product_Registry!$A$2:$A$101,0)),""))</f>
        <v/>
      </c>
      <c r="K5" s="21" t="str">
        <f>IF($AL5="","",IFERROR(INDEX(Product_Registry!$K$2:$K$101,MATCH($AL5,Product_Registry!$A$2:$A$101,0)),""))</f>
        <v/>
      </c>
      <c r="L5" s="21" t="str">
        <f>IF($AL5="","",IFERROR(INDEX(Product_Registry!$L$2:$L$101,MATCH($AL5,Product_Registry!$A$2:$A$101,0)),""))</f>
        <v/>
      </c>
      <c r="M5" s="21" t="str">
        <f>IF($AL5="","",IFERROR(INDEX(Product_Registry!$M$2:$M$101,MATCH($AL5,Product_Registry!$A$2:$A$101,0)),""))</f>
        <v/>
      </c>
      <c r="N5" s="6" t="str">
        <f>IF($AL5="","",$E5+SUMIFS('Logic &amp; Lists'!$E$4:$E$200,'Logic &amp; Lists'!$A$4:$A$200,$AK5,'Logic &amp; Lists'!$C$4:$C$200,"Level 1 Schedule"))</f>
        <v/>
      </c>
      <c r="O5" s="6" t="str">
        <f>IF($AL5="","",$P5+SUMIFS('Logic &amp; Lists'!$E$4:$E$200,'Logic &amp; Lists'!$A$4:$A$200,$AK5,'Logic &amp; Lists'!$C$4:$C$200,"Input Frozen"))</f>
        <v/>
      </c>
      <c r="P5" s="6" t="str">
        <f>IF($AL5="","",$Q5+SUMIFS('Logic &amp; Lists'!$E$4:$E$200,'Logic &amp; Lists'!$A$4:$A$200,$AK5,'Logic &amp; Lists'!$C$4:$C$200,"Drawing Approval"))</f>
        <v/>
      </c>
      <c r="Q5" s="6" t="str">
        <f>IF($AL5="","",$S5+SUMIFS('Logic &amp; Lists'!$E$4:$E$200,'Logic &amp; Lists'!$A$4:$A$200,$AK5,'Logic &amp; Lists'!$C$4:$C$200,"BOM Pass to PR"))</f>
        <v/>
      </c>
      <c r="R5" s="6" t="str">
        <f>IF($AL5="","",$S5+SUMIFS('Logic &amp; Lists'!$E$4:$E$200,'Logic &amp; Lists'!$A$4:$A$200,$AK5,'Logic &amp; Lists'!$C$4:$C$200,"PR Schedule"))</f>
        <v/>
      </c>
      <c r="S5" s="6" t="str">
        <f>IF($AL5="","",$T5+SUMIFS('Logic &amp; Lists'!$E$4:$E$200,'Logic &amp; Lists'!$A$4:$A$200,$AK5,'Logic &amp; Lists'!$C$4:$C$200,"Components PO Plan"))</f>
        <v/>
      </c>
      <c r="T5" s="6" t="str">
        <f>IF($AL5="","",$U5+SUMIFS('Logic &amp; Lists'!$E$4:$E$200,'Logic &amp; Lists'!$A$4:$A$200,$AK5,'Logic &amp; Lists'!$C$4:$C$200,"Production Start"))</f>
        <v/>
      </c>
      <c r="U5" s="6" t="str">
        <f>IF($AL5="","",$W5+SUMIFS('Logic &amp; Lists'!$E$4:$E$200,'Logic &amp; Lists'!$A$4:$A$200,$AK5,'Logic &amp; Lists'!$C$4:$C$200,"Production Complete"))</f>
        <v/>
      </c>
      <c r="V5" s="6" t="str">
        <f>IF($AL5="","",$Y5+SUMIFS('Logic &amp; Lists'!$E$4:$E$200,'Logic &amp; Lists'!$A$4:$A$200,$AK5,'Logic &amp; Lists'!$C$4:$C$200,"NOI Date"))</f>
        <v/>
      </c>
      <c r="W5" s="6" t="str">
        <f>IF($AL5="","",$X5+SUMIFS('Logic &amp; Lists'!$E$4:$E$200,'Logic &amp; Lists'!$A$4:$A$200,$AK5,'Logic &amp; Lists'!$C$4:$C$200,"Internal Test Start"))</f>
        <v/>
      </c>
      <c r="X5" s="6" t="str">
        <f>IF($AL5="","",$Y5+SUMIFS('Logic &amp; Lists'!$E$4:$E$200,'Logic &amp; Lists'!$A$4:$A$200,$AK5,'Logic &amp; Lists'!$C$4:$C$200,"Internal Test Complete"))</f>
        <v/>
      </c>
      <c r="Y5" s="6" t="str">
        <f>IF($AL5="","",$AA5+SUMIFS('Logic &amp; Lists'!$E$4:$E$200,'Logic &amp; Lists'!$A$4:$A$200,$AK5,'Logic &amp; Lists'!$C$4:$C$200,"FAT Start"))</f>
        <v/>
      </c>
      <c r="Z5" s="6" t="str">
        <f>IF($AL5="","",$Y5+SUMIFS('Logic &amp; Lists'!$E$4:$E$200,'Logic &amp; Lists'!$A$4:$A$200,$AK5,'Logic &amp; Lists'!$C$4:$C$200,"FAT Complete"))</f>
        <v/>
      </c>
      <c r="AA5" s="6" t="str">
        <f>IF($AL5="","",$F5+SUMIFS('Logic &amp; Lists'!$E$4:$E$200,'Logic &amp; Lists'!$A$4:$A$200,$AK5,'Logic &amp; Lists'!$C$4:$C$200,"Delivery"))</f>
        <v/>
      </c>
      <c r="AB5" s="8"/>
      <c r="AC5" s="8"/>
      <c r="AD5" s="8"/>
      <c r="AE5" s="8"/>
      <c r="AF5" s="16"/>
      <c r="AG5" s="8"/>
      <c r="AH5" s="5" t="str">
        <f t="shared" si="0"/>
        <v/>
      </c>
      <c r="AI5" s="18" t="str">
        <f t="shared" ca="1" si="1"/>
        <v/>
      </c>
      <c r="AJ5" s="7"/>
      <c r="AK5" s="5" t="str">
        <f>IF($AL5="","",IF(COUNTIF('Logic &amp; Lists'!$A$4:$A$200,$C5)&gt;0,$C5,"Default"))</f>
        <v/>
      </c>
      <c r="AL5" t="str">
        <f>IF($A5&lt;&gt;"",$A5,IF($B5&lt;&gt;"",IFERROR(INDEX(Product_Registry!$A$2:$A$101,MATCH($B5,Product_Registry!$B$2:$B$101,0)),IFERROR(INDEX(Product_Registry!$A$2:$A$101,MATCH("*"&amp;$B5&amp;"*",Product_Registry!$B$2:$B$101,0)),"")),""))</f>
        <v/>
      </c>
      <c r="AM5" t="str">
        <f>IF($AL5="","",IFERROR(INDEX(Product_Registry!$B$2:$B$101,MATCH($AL5,Product_Registry!$A$2:$A$101,0)),""))</f>
        <v/>
      </c>
    </row>
    <row r="6" spans="1:39" x14ac:dyDescent="0.2">
      <c r="A6" s="27"/>
      <c r="B6" s="28"/>
      <c r="C6" s="20" t="str">
        <f>IF($AL6="","",IFERROR(INDEX(Product_Registry!$C$2:$C$101,MATCH($AL6,Product_Registry!$A$2:$A$101,0)),""))</f>
        <v/>
      </c>
      <c r="D6" s="21" t="str">
        <f>IF($AL6="","",IFERROR(INDEX(Product_Registry!$D$2:$D$101,MATCH($AL6,Product_Registry!$A$2:$A$101,0)),""))</f>
        <v/>
      </c>
      <c r="E6" s="17" t="str">
        <f>IF($AL6="","",IFERROR(INDEX(Product_Registry!$E$2:$E$101,MATCH($AL6,Product_Registry!$A$2:$A$101,0)),""))</f>
        <v/>
      </c>
      <c r="F6" s="17" t="str">
        <f>IF($AL6="","",IFERROR(INDEX(Product_Registry!$F$2:$F$101,MATCH($AL6,Product_Registry!$A$2:$A$101,0)),""))</f>
        <v/>
      </c>
      <c r="G6" s="21" t="str">
        <f>IF($AL6="","",IFERROR(INDEX(Product_Registry!$G$2:$G$101,MATCH($AL6,Product_Registry!$A$2:$A$101,0)),""))</f>
        <v/>
      </c>
      <c r="H6" s="21" t="str">
        <f>IF($AL6="","",IFERROR(INDEX(Product_Registry!$H$2:$H$101,MATCH($AL6,Product_Registry!$A$2:$A$101,0)),""))</f>
        <v/>
      </c>
      <c r="I6" s="21" t="str">
        <f>IF($AL6="","",IFERROR(INDEX(Product_Registry!$I$2:$I$101,MATCH($AL6,Product_Registry!$A$2:$A$101,0)),""))</f>
        <v/>
      </c>
      <c r="J6" s="21" t="str">
        <f>IF($AL6="","",IFERROR(INDEX(Product_Registry!$J$2:$J$101,MATCH($AL6,Product_Registry!$A$2:$A$101,0)),""))</f>
        <v/>
      </c>
      <c r="K6" s="21" t="str">
        <f>IF($AL6="","",IFERROR(INDEX(Product_Registry!$K$2:$K$101,MATCH($AL6,Product_Registry!$A$2:$A$101,0)),""))</f>
        <v/>
      </c>
      <c r="L6" s="21" t="str">
        <f>IF($AL6="","",IFERROR(INDEX(Product_Registry!$L$2:$L$101,MATCH($AL6,Product_Registry!$A$2:$A$101,0)),""))</f>
        <v/>
      </c>
      <c r="M6" s="21" t="str">
        <f>IF($AL6="","",IFERROR(INDEX(Product_Registry!$M$2:$M$101,MATCH($AL6,Product_Registry!$A$2:$A$101,0)),""))</f>
        <v/>
      </c>
      <c r="N6" s="6" t="str">
        <f>IF($AL6="","",$E6+SUMIFS('Logic &amp; Lists'!$E$4:$E$200,'Logic &amp; Lists'!$A$4:$A$200,$AK6,'Logic &amp; Lists'!$C$4:$C$200,"Level 1 Schedule"))</f>
        <v/>
      </c>
      <c r="O6" s="6" t="str">
        <f>IF($AL6="","",$P6+SUMIFS('Logic &amp; Lists'!$E$4:$E$200,'Logic &amp; Lists'!$A$4:$A$200,$AK6,'Logic &amp; Lists'!$C$4:$C$200,"Input Frozen"))</f>
        <v/>
      </c>
      <c r="P6" s="6" t="str">
        <f>IF($AL6="","",$Q6+SUMIFS('Logic &amp; Lists'!$E$4:$E$200,'Logic &amp; Lists'!$A$4:$A$200,$AK6,'Logic &amp; Lists'!$C$4:$C$200,"Drawing Approval"))</f>
        <v/>
      </c>
      <c r="Q6" s="6" t="str">
        <f>IF($AL6="","",$S6+SUMIFS('Logic &amp; Lists'!$E$4:$E$200,'Logic &amp; Lists'!$A$4:$A$200,$AK6,'Logic &amp; Lists'!$C$4:$C$200,"BOM Pass to PR"))</f>
        <v/>
      </c>
      <c r="R6" s="6" t="str">
        <f>IF($AL6="","",$S6+SUMIFS('Logic &amp; Lists'!$E$4:$E$200,'Logic &amp; Lists'!$A$4:$A$200,$AK6,'Logic &amp; Lists'!$C$4:$C$200,"PR Schedule"))</f>
        <v/>
      </c>
      <c r="S6" s="6" t="str">
        <f>IF($AL6="","",$T6+SUMIFS('Logic &amp; Lists'!$E$4:$E$200,'Logic &amp; Lists'!$A$4:$A$200,$AK6,'Logic &amp; Lists'!$C$4:$C$200,"Components PO Plan"))</f>
        <v/>
      </c>
      <c r="T6" s="6" t="str">
        <f>IF($AL6="","",$U6+SUMIFS('Logic &amp; Lists'!$E$4:$E$200,'Logic &amp; Lists'!$A$4:$A$200,$AK6,'Logic &amp; Lists'!$C$4:$C$200,"Production Start"))</f>
        <v/>
      </c>
      <c r="U6" s="6" t="str">
        <f>IF($AL6="","",$W6+SUMIFS('Logic &amp; Lists'!$E$4:$E$200,'Logic &amp; Lists'!$A$4:$A$200,$AK6,'Logic &amp; Lists'!$C$4:$C$200,"Production Complete"))</f>
        <v/>
      </c>
      <c r="V6" s="6" t="str">
        <f>IF($AL6="","",$Y6+SUMIFS('Logic &amp; Lists'!$E$4:$E$200,'Logic &amp; Lists'!$A$4:$A$200,$AK6,'Logic &amp; Lists'!$C$4:$C$200,"NOI Date"))</f>
        <v/>
      </c>
      <c r="W6" s="6" t="str">
        <f>IF($AL6="","",$X6+SUMIFS('Logic &amp; Lists'!$E$4:$E$200,'Logic &amp; Lists'!$A$4:$A$200,$AK6,'Logic &amp; Lists'!$C$4:$C$200,"Internal Test Start"))</f>
        <v/>
      </c>
      <c r="X6" s="6" t="str">
        <f>IF($AL6="","",$Y6+SUMIFS('Logic &amp; Lists'!$E$4:$E$200,'Logic &amp; Lists'!$A$4:$A$200,$AK6,'Logic &amp; Lists'!$C$4:$C$200,"Internal Test Complete"))</f>
        <v/>
      </c>
      <c r="Y6" s="6" t="str">
        <f>IF($AL6="","",$AA6+SUMIFS('Logic &amp; Lists'!$E$4:$E$200,'Logic &amp; Lists'!$A$4:$A$200,$AK6,'Logic &amp; Lists'!$C$4:$C$200,"FAT Start"))</f>
        <v/>
      </c>
      <c r="Z6" s="6" t="str">
        <f>IF($AL6="","",$Y6+SUMIFS('Logic &amp; Lists'!$E$4:$E$200,'Logic &amp; Lists'!$A$4:$A$200,$AK6,'Logic &amp; Lists'!$C$4:$C$200,"FAT Complete"))</f>
        <v/>
      </c>
      <c r="AA6" s="6" t="str">
        <f>IF($AL6="","",$F6+SUMIFS('Logic &amp; Lists'!$E$4:$E$200,'Logic &amp; Lists'!$A$4:$A$200,$AK6,'Logic &amp; Lists'!$C$4:$C$200,"Delivery"))</f>
        <v/>
      </c>
      <c r="AB6" s="8"/>
      <c r="AC6" s="8"/>
      <c r="AD6" s="8"/>
      <c r="AE6" s="8"/>
      <c r="AF6" s="16"/>
      <c r="AG6" s="8"/>
      <c r="AH6" s="5" t="str">
        <f t="shared" si="0"/>
        <v/>
      </c>
      <c r="AI6" s="18" t="str">
        <f t="shared" ca="1" si="1"/>
        <v/>
      </c>
      <c r="AJ6" s="7"/>
      <c r="AK6" s="5" t="str">
        <f>IF($AL6="","",IF(COUNTIF('Logic &amp; Lists'!$A$4:$A$200,$C6)&gt;0,$C6,"Default"))</f>
        <v/>
      </c>
      <c r="AL6" t="str">
        <f>IF($A6&lt;&gt;"",$A6,IF($B6&lt;&gt;"",IFERROR(INDEX(Product_Registry!$A$2:$A$101,MATCH($B6,Product_Registry!$B$2:$B$101,0)),IFERROR(INDEX(Product_Registry!$A$2:$A$101,MATCH("*"&amp;$B6&amp;"*",Product_Registry!$B$2:$B$101,0)),"")),""))</f>
        <v/>
      </c>
      <c r="AM6" t="str">
        <f>IF($AL6="","",IFERROR(INDEX(Product_Registry!$B$2:$B$101,MATCH($AL6,Product_Registry!$A$2:$A$101,0)),""))</f>
        <v/>
      </c>
    </row>
    <row r="7" spans="1:39" x14ac:dyDescent="0.2">
      <c r="A7" s="27"/>
      <c r="B7" s="28"/>
      <c r="C7" s="20" t="str">
        <f>IF($AL7="","",IFERROR(INDEX(Product_Registry!$C$2:$C$101,MATCH($AL7,Product_Registry!$A$2:$A$101,0)),""))</f>
        <v/>
      </c>
      <c r="D7" s="21" t="str">
        <f>IF($AL7="","",IFERROR(INDEX(Product_Registry!$D$2:$D$101,MATCH($AL7,Product_Registry!$A$2:$A$101,0)),""))</f>
        <v/>
      </c>
      <c r="E7" s="17" t="str">
        <f>IF($AL7="","",IFERROR(INDEX(Product_Registry!$E$2:$E$101,MATCH($AL7,Product_Registry!$A$2:$A$101,0)),""))</f>
        <v/>
      </c>
      <c r="F7" s="17" t="str">
        <f>IF($AL7="","",IFERROR(INDEX(Product_Registry!$F$2:$F$101,MATCH($AL7,Product_Registry!$A$2:$A$101,0)),""))</f>
        <v/>
      </c>
      <c r="G7" s="21" t="str">
        <f>IF($AL7="","",IFERROR(INDEX(Product_Registry!$G$2:$G$101,MATCH($AL7,Product_Registry!$A$2:$A$101,0)),""))</f>
        <v/>
      </c>
      <c r="H7" s="21" t="str">
        <f>IF($AL7="","",IFERROR(INDEX(Product_Registry!$H$2:$H$101,MATCH($AL7,Product_Registry!$A$2:$A$101,0)),""))</f>
        <v/>
      </c>
      <c r="I7" s="21" t="str">
        <f>IF($AL7="","",IFERROR(INDEX(Product_Registry!$I$2:$I$101,MATCH($AL7,Product_Registry!$A$2:$A$101,0)),""))</f>
        <v/>
      </c>
      <c r="J7" s="21" t="str">
        <f>IF($AL7="","",IFERROR(INDEX(Product_Registry!$J$2:$J$101,MATCH($AL7,Product_Registry!$A$2:$A$101,0)),""))</f>
        <v/>
      </c>
      <c r="K7" s="21" t="str">
        <f>IF($AL7="","",IFERROR(INDEX(Product_Registry!$K$2:$K$101,MATCH($AL7,Product_Registry!$A$2:$A$101,0)),""))</f>
        <v/>
      </c>
      <c r="L7" s="21" t="str">
        <f>IF($AL7="","",IFERROR(INDEX(Product_Registry!$L$2:$L$101,MATCH($AL7,Product_Registry!$A$2:$A$101,0)),""))</f>
        <v/>
      </c>
      <c r="M7" s="21" t="str">
        <f>IF($AL7="","",IFERROR(INDEX(Product_Registry!$M$2:$M$101,MATCH($AL7,Product_Registry!$A$2:$A$101,0)),""))</f>
        <v/>
      </c>
      <c r="N7" s="6" t="str">
        <f>IF($AL7="","",$E7+SUMIFS('Logic &amp; Lists'!$E$4:$E$200,'Logic &amp; Lists'!$A$4:$A$200,$AK7,'Logic &amp; Lists'!$C$4:$C$200,"Level 1 Schedule"))</f>
        <v/>
      </c>
      <c r="O7" s="6" t="str">
        <f>IF($AL7="","",$P7+SUMIFS('Logic &amp; Lists'!$E$4:$E$200,'Logic &amp; Lists'!$A$4:$A$200,$AK7,'Logic &amp; Lists'!$C$4:$C$200,"Input Frozen"))</f>
        <v/>
      </c>
      <c r="P7" s="6" t="str">
        <f>IF($AL7="","",$Q7+SUMIFS('Logic &amp; Lists'!$E$4:$E$200,'Logic &amp; Lists'!$A$4:$A$200,$AK7,'Logic &amp; Lists'!$C$4:$C$200,"Drawing Approval"))</f>
        <v/>
      </c>
      <c r="Q7" s="6" t="str">
        <f>IF($AL7="","",$S7+SUMIFS('Logic &amp; Lists'!$E$4:$E$200,'Logic &amp; Lists'!$A$4:$A$200,$AK7,'Logic &amp; Lists'!$C$4:$C$200,"BOM Pass to PR"))</f>
        <v/>
      </c>
      <c r="R7" s="6" t="str">
        <f>IF($AL7="","",$S7+SUMIFS('Logic &amp; Lists'!$E$4:$E$200,'Logic &amp; Lists'!$A$4:$A$200,$AK7,'Logic &amp; Lists'!$C$4:$C$200,"PR Schedule"))</f>
        <v/>
      </c>
      <c r="S7" s="6" t="str">
        <f>IF($AL7="","",$T7+SUMIFS('Logic &amp; Lists'!$E$4:$E$200,'Logic &amp; Lists'!$A$4:$A$200,$AK7,'Logic &amp; Lists'!$C$4:$C$200,"Components PO Plan"))</f>
        <v/>
      </c>
      <c r="T7" s="6" t="str">
        <f>IF($AL7="","",$U7+SUMIFS('Logic &amp; Lists'!$E$4:$E$200,'Logic &amp; Lists'!$A$4:$A$200,$AK7,'Logic &amp; Lists'!$C$4:$C$200,"Production Start"))</f>
        <v/>
      </c>
      <c r="U7" s="6" t="str">
        <f>IF($AL7="","",$W7+SUMIFS('Logic &amp; Lists'!$E$4:$E$200,'Logic &amp; Lists'!$A$4:$A$200,$AK7,'Logic &amp; Lists'!$C$4:$C$200,"Production Complete"))</f>
        <v/>
      </c>
      <c r="V7" s="6" t="str">
        <f>IF($AL7="","",$Y7+SUMIFS('Logic &amp; Lists'!$E$4:$E$200,'Logic &amp; Lists'!$A$4:$A$200,$AK7,'Logic &amp; Lists'!$C$4:$C$200,"NOI Date"))</f>
        <v/>
      </c>
      <c r="W7" s="6" t="str">
        <f>IF($AL7="","",$X7+SUMIFS('Logic &amp; Lists'!$E$4:$E$200,'Logic &amp; Lists'!$A$4:$A$200,$AK7,'Logic &amp; Lists'!$C$4:$C$200,"Internal Test Start"))</f>
        <v/>
      </c>
      <c r="X7" s="6" t="str">
        <f>IF($AL7="","",$Y7+SUMIFS('Logic &amp; Lists'!$E$4:$E$200,'Logic &amp; Lists'!$A$4:$A$200,$AK7,'Logic &amp; Lists'!$C$4:$C$200,"Internal Test Complete"))</f>
        <v/>
      </c>
      <c r="Y7" s="6" t="str">
        <f>IF($AL7="","",$AA7+SUMIFS('Logic &amp; Lists'!$E$4:$E$200,'Logic &amp; Lists'!$A$4:$A$200,$AK7,'Logic &amp; Lists'!$C$4:$C$200,"FAT Start"))</f>
        <v/>
      </c>
      <c r="Z7" s="6" t="str">
        <f>IF($AL7="","",$Y7+SUMIFS('Logic &amp; Lists'!$E$4:$E$200,'Logic &amp; Lists'!$A$4:$A$200,$AK7,'Logic &amp; Lists'!$C$4:$C$200,"FAT Complete"))</f>
        <v/>
      </c>
      <c r="AA7" s="6" t="str">
        <f>IF($AL7="","",$F7+SUMIFS('Logic &amp; Lists'!$E$4:$E$200,'Logic &amp; Lists'!$A$4:$A$200,$AK7,'Logic &amp; Lists'!$C$4:$C$200,"Delivery"))</f>
        <v/>
      </c>
      <c r="AB7" s="8"/>
      <c r="AC7" s="8"/>
      <c r="AD7" s="8"/>
      <c r="AE7" s="8"/>
      <c r="AF7" s="16"/>
      <c r="AG7" s="8"/>
      <c r="AH7" s="5" t="str">
        <f t="shared" si="0"/>
        <v/>
      </c>
      <c r="AI7" s="18" t="str">
        <f t="shared" ca="1" si="1"/>
        <v/>
      </c>
      <c r="AJ7" s="7"/>
      <c r="AK7" s="5" t="str">
        <f>IF($AL7="","",IF(COUNTIF('Logic &amp; Lists'!$A$4:$A$200,$C7)&gt;0,$C7,"Default"))</f>
        <v/>
      </c>
      <c r="AL7" t="str">
        <f>IF($A7&lt;&gt;"",$A7,IF($B7&lt;&gt;"",IFERROR(INDEX(Product_Registry!$A$2:$A$101,MATCH($B7,Product_Registry!$B$2:$B$101,0)),IFERROR(INDEX(Product_Registry!$A$2:$A$101,MATCH("*"&amp;$B7&amp;"*",Product_Registry!$B$2:$B$101,0)),"")),""))</f>
        <v/>
      </c>
      <c r="AM7" t="str">
        <f>IF($AL7="","",IFERROR(INDEX(Product_Registry!$B$2:$B$101,MATCH($AL7,Product_Registry!$A$2:$A$101,0)),""))</f>
        <v/>
      </c>
    </row>
    <row r="8" spans="1:39" x14ac:dyDescent="0.2">
      <c r="A8" s="27"/>
      <c r="B8" s="28"/>
      <c r="C8" s="20" t="str">
        <f>IF($AL8="","",IFERROR(INDEX(Product_Registry!$C$2:$C$101,MATCH($AL8,Product_Registry!$A$2:$A$101,0)),""))</f>
        <v/>
      </c>
      <c r="D8" s="21" t="str">
        <f>IF($AL8="","",IFERROR(INDEX(Product_Registry!$D$2:$D$101,MATCH($AL8,Product_Registry!$A$2:$A$101,0)),""))</f>
        <v/>
      </c>
      <c r="E8" s="17" t="str">
        <f>IF($AL8="","",IFERROR(INDEX(Product_Registry!$E$2:$E$101,MATCH($AL8,Product_Registry!$A$2:$A$101,0)),""))</f>
        <v/>
      </c>
      <c r="F8" s="17" t="str">
        <f>IF($AL8="","",IFERROR(INDEX(Product_Registry!$F$2:$F$101,MATCH($AL8,Product_Registry!$A$2:$A$101,0)),""))</f>
        <v/>
      </c>
      <c r="G8" s="21" t="str">
        <f>IF($AL8="","",IFERROR(INDEX(Product_Registry!$G$2:$G$101,MATCH($AL8,Product_Registry!$A$2:$A$101,0)),""))</f>
        <v/>
      </c>
      <c r="H8" s="21" t="str">
        <f>IF($AL8="","",IFERROR(INDEX(Product_Registry!$H$2:$H$101,MATCH($AL8,Product_Registry!$A$2:$A$101,0)),""))</f>
        <v/>
      </c>
      <c r="I8" s="21" t="str">
        <f>IF($AL8="","",IFERROR(INDEX(Product_Registry!$I$2:$I$101,MATCH($AL8,Product_Registry!$A$2:$A$101,0)),""))</f>
        <v/>
      </c>
      <c r="J8" s="21" t="str">
        <f>IF($AL8="","",IFERROR(INDEX(Product_Registry!$J$2:$J$101,MATCH($AL8,Product_Registry!$A$2:$A$101,0)),""))</f>
        <v/>
      </c>
      <c r="K8" s="21" t="str">
        <f>IF($AL8="","",IFERROR(INDEX(Product_Registry!$K$2:$K$101,MATCH($AL8,Product_Registry!$A$2:$A$101,0)),""))</f>
        <v/>
      </c>
      <c r="L8" s="21" t="str">
        <f>IF($AL8="","",IFERROR(INDEX(Product_Registry!$L$2:$L$101,MATCH($AL8,Product_Registry!$A$2:$A$101,0)),""))</f>
        <v/>
      </c>
      <c r="M8" s="21" t="str">
        <f>IF($AL8="","",IFERROR(INDEX(Product_Registry!$M$2:$M$101,MATCH($AL8,Product_Registry!$A$2:$A$101,0)),""))</f>
        <v/>
      </c>
      <c r="N8" s="6" t="str">
        <f>IF($AL8="","",$E8+SUMIFS('Logic &amp; Lists'!$E$4:$E$200,'Logic &amp; Lists'!$A$4:$A$200,$AK8,'Logic &amp; Lists'!$C$4:$C$200,"Level 1 Schedule"))</f>
        <v/>
      </c>
      <c r="O8" s="6" t="str">
        <f>IF($AL8="","",$P8+SUMIFS('Logic &amp; Lists'!$E$4:$E$200,'Logic &amp; Lists'!$A$4:$A$200,$AK8,'Logic &amp; Lists'!$C$4:$C$200,"Input Frozen"))</f>
        <v/>
      </c>
      <c r="P8" s="6" t="str">
        <f>IF($AL8="","",$Q8+SUMIFS('Logic &amp; Lists'!$E$4:$E$200,'Logic &amp; Lists'!$A$4:$A$200,$AK8,'Logic &amp; Lists'!$C$4:$C$200,"Drawing Approval"))</f>
        <v/>
      </c>
      <c r="Q8" s="6" t="str">
        <f>IF($AL8="","",$S8+SUMIFS('Logic &amp; Lists'!$E$4:$E$200,'Logic &amp; Lists'!$A$4:$A$200,$AK8,'Logic &amp; Lists'!$C$4:$C$200,"BOM Pass to PR"))</f>
        <v/>
      </c>
      <c r="R8" s="6" t="str">
        <f>IF($AL8="","",$S8+SUMIFS('Logic &amp; Lists'!$E$4:$E$200,'Logic &amp; Lists'!$A$4:$A$200,$AK8,'Logic &amp; Lists'!$C$4:$C$200,"PR Schedule"))</f>
        <v/>
      </c>
      <c r="S8" s="6" t="str">
        <f>IF($AL8="","",$T8+SUMIFS('Logic &amp; Lists'!$E$4:$E$200,'Logic &amp; Lists'!$A$4:$A$200,$AK8,'Logic &amp; Lists'!$C$4:$C$200,"Components PO Plan"))</f>
        <v/>
      </c>
      <c r="T8" s="6" t="str">
        <f>IF($AL8="","",$U8+SUMIFS('Logic &amp; Lists'!$E$4:$E$200,'Logic &amp; Lists'!$A$4:$A$200,$AK8,'Logic &amp; Lists'!$C$4:$C$200,"Production Start"))</f>
        <v/>
      </c>
      <c r="U8" s="6" t="str">
        <f>IF($AL8="","",$W8+SUMIFS('Logic &amp; Lists'!$E$4:$E$200,'Logic &amp; Lists'!$A$4:$A$200,$AK8,'Logic &amp; Lists'!$C$4:$C$200,"Production Complete"))</f>
        <v/>
      </c>
      <c r="V8" s="6" t="str">
        <f>IF($AL8="","",$Y8+SUMIFS('Logic &amp; Lists'!$E$4:$E$200,'Logic &amp; Lists'!$A$4:$A$200,$AK8,'Logic &amp; Lists'!$C$4:$C$200,"NOI Date"))</f>
        <v/>
      </c>
      <c r="W8" s="6" t="str">
        <f>IF($AL8="","",$X8+SUMIFS('Logic &amp; Lists'!$E$4:$E$200,'Logic &amp; Lists'!$A$4:$A$200,$AK8,'Logic &amp; Lists'!$C$4:$C$200,"Internal Test Start"))</f>
        <v/>
      </c>
      <c r="X8" s="6" t="str">
        <f>IF($AL8="","",$Y8+SUMIFS('Logic &amp; Lists'!$E$4:$E$200,'Logic &amp; Lists'!$A$4:$A$200,$AK8,'Logic &amp; Lists'!$C$4:$C$200,"Internal Test Complete"))</f>
        <v/>
      </c>
      <c r="Y8" s="6" t="str">
        <f>IF($AL8="","",$AA8+SUMIFS('Logic &amp; Lists'!$E$4:$E$200,'Logic &amp; Lists'!$A$4:$A$200,$AK8,'Logic &amp; Lists'!$C$4:$C$200,"FAT Start"))</f>
        <v/>
      </c>
      <c r="Z8" s="6" t="str">
        <f>IF($AL8="","",$Y8+SUMIFS('Logic &amp; Lists'!$E$4:$E$200,'Logic &amp; Lists'!$A$4:$A$200,$AK8,'Logic &amp; Lists'!$C$4:$C$200,"FAT Complete"))</f>
        <v/>
      </c>
      <c r="AA8" s="6" t="str">
        <f>IF($AL8="","",$F8+SUMIFS('Logic &amp; Lists'!$E$4:$E$200,'Logic &amp; Lists'!$A$4:$A$200,$AK8,'Logic &amp; Lists'!$C$4:$C$200,"Delivery"))</f>
        <v/>
      </c>
      <c r="AB8" s="8"/>
      <c r="AC8" s="8"/>
      <c r="AD8" s="8"/>
      <c r="AE8" s="8"/>
      <c r="AF8" s="16"/>
      <c r="AG8" s="8"/>
      <c r="AH8" s="5" t="str">
        <f t="shared" si="0"/>
        <v/>
      </c>
      <c r="AI8" s="18" t="str">
        <f t="shared" ca="1" si="1"/>
        <v/>
      </c>
      <c r="AJ8" s="7"/>
      <c r="AK8" s="5" t="str">
        <f>IF($AL8="","",IF(COUNTIF('Logic &amp; Lists'!$A$4:$A$200,$C8)&gt;0,$C8,"Default"))</f>
        <v/>
      </c>
      <c r="AL8" t="str">
        <f>IF($A8&lt;&gt;"",$A8,IF($B8&lt;&gt;"",IFERROR(INDEX(Product_Registry!$A$2:$A$101,MATCH($B8,Product_Registry!$B$2:$B$101,0)),IFERROR(INDEX(Product_Registry!$A$2:$A$101,MATCH("*"&amp;$B8&amp;"*",Product_Registry!$B$2:$B$101,0)),"")),""))</f>
        <v/>
      </c>
      <c r="AM8" t="str">
        <f>IF($AL8="","",IFERROR(INDEX(Product_Registry!$B$2:$B$101,MATCH($AL8,Product_Registry!$A$2:$A$101,0)),""))</f>
        <v/>
      </c>
    </row>
    <row r="9" spans="1:39" x14ac:dyDescent="0.2">
      <c r="A9" s="27"/>
      <c r="B9" s="28"/>
      <c r="C9" s="20" t="str">
        <f>IF($AL9="","",IFERROR(INDEX(Product_Registry!$C$2:$C$101,MATCH($AL9,Product_Registry!$A$2:$A$101,0)),""))</f>
        <v/>
      </c>
      <c r="D9" s="21" t="str">
        <f>IF($AL9="","",IFERROR(INDEX(Product_Registry!$D$2:$D$101,MATCH($AL9,Product_Registry!$A$2:$A$101,0)),""))</f>
        <v/>
      </c>
      <c r="E9" s="17" t="str">
        <f>IF($AL9="","",IFERROR(INDEX(Product_Registry!$E$2:$E$101,MATCH($AL9,Product_Registry!$A$2:$A$101,0)),""))</f>
        <v/>
      </c>
      <c r="F9" s="17" t="str">
        <f>IF($AL9="","",IFERROR(INDEX(Product_Registry!$F$2:$F$101,MATCH($AL9,Product_Registry!$A$2:$A$101,0)),""))</f>
        <v/>
      </c>
      <c r="G9" s="21" t="str">
        <f>IF($AL9="","",IFERROR(INDEX(Product_Registry!$G$2:$G$101,MATCH($AL9,Product_Registry!$A$2:$A$101,0)),""))</f>
        <v/>
      </c>
      <c r="H9" s="21" t="str">
        <f>IF($AL9="","",IFERROR(INDEX(Product_Registry!$H$2:$H$101,MATCH($AL9,Product_Registry!$A$2:$A$101,0)),""))</f>
        <v/>
      </c>
      <c r="I9" s="21" t="str">
        <f>IF($AL9="","",IFERROR(INDEX(Product_Registry!$I$2:$I$101,MATCH($AL9,Product_Registry!$A$2:$A$101,0)),""))</f>
        <v/>
      </c>
      <c r="J9" s="21" t="str">
        <f>IF($AL9="","",IFERROR(INDEX(Product_Registry!$J$2:$J$101,MATCH($AL9,Product_Registry!$A$2:$A$101,0)),""))</f>
        <v/>
      </c>
      <c r="K9" s="21" t="str">
        <f>IF($AL9="","",IFERROR(INDEX(Product_Registry!$K$2:$K$101,MATCH($AL9,Product_Registry!$A$2:$A$101,0)),""))</f>
        <v/>
      </c>
      <c r="L9" s="21" t="str">
        <f>IF($AL9="","",IFERROR(INDEX(Product_Registry!$L$2:$L$101,MATCH($AL9,Product_Registry!$A$2:$A$101,0)),""))</f>
        <v/>
      </c>
      <c r="M9" s="21" t="str">
        <f>IF($AL9="","",IFERROR(INDEX(Product_Registry!$M$2:$M$101,MATCH($AL9,Product_Registry!$A$2:$A$101,0)),""))</f>
        <v/>
      </c>
      <c r="N9" s="6" t="str">
        <f>IF($AL9="","",$E9+SUMIFS('Logic &amp; Lists'!$E$4:$E$200,'Logic &amp; Lists'!$A$4:$A$200,$AK9,'Logic &amp; Lists'!$C$4:$C$200,"Level 1 Schedule"))</f>
        <v/>
      </c>
      <c r="O9" s="6" t="str">
        <f>IF($AL9="","",$P9+SUMIFS('Logic &amp; Lists'!$E$4:$E$200,'Logic &amp; Lists'!$A$4:$A$200,$AK9,'Logic &amp; Lists'!$C$4:$C$200,"Input Frozen"))</f>
        <v/>
      </c>
      <c r="P9" s="6" t="str">
        <f>IF($AL9="","",$Q9+SUMIFS('Logic &amp; Lists'!$E$4:$E$200,'Logic &amp; Lists'!$A$4:$A$200,$AK9,'Logic &amp; Lists'!$C$4:$C$200,"Drawing Approval"))</f>
        <v/>
      </c>
      <c r="Q9" s="6" t="str">
        <f>IF($AL9="","",$S9+SUMIFS('Logic &amp; Lists'!$E$4:$E$200,'Logic &amp; Lists'!$A$4:$A$200,$AK9,'Logic &amp; Lists'!$C$4:$C$200,"BOM Pass to PR"))</f>
        <v/>
      </c>
      <c r="R9" s="6" t="str">
        <f>IF($AL9="","",$S9+SUMIFS('Logic &amp; Lists'!$E$4:$E$200,'Logic &amp; Lists'!$A$4:$A$200,$AK9,'Logic &amp; Lists'!$C$4:$C$200,"PR Schedule"))</f>
        <v/>
      </c>
      <c r="S9" s="6" t="str">
        <f>IF($AL9="","",$T9+SUMIFS('Logic &amp; Lists'!$E$4:$E$200,'Logic &amp; Lists'!$A$4:$A$200,$AK9,'Logic &amp; Lists'!$C$4:$C$200,"Components PO Plan"))</f>
        <v/>
      </c>
      <c r="T9" s="6" t="str">
        <f>IF($AL9="","",$U9+SUMIFS('Logic &amp; Lists'!$E$4:$E$200,'Logic &amp; Lists'!$A$4:$A$200,$AK9,'Logic &amp; Lists'!$C$4:$C$200,"Production Start"))</f>
        <v/>
      </c>
      <c r="U9" s="6" t="str">
        <f>IF($AL9="","",$W9+SUMIFS('Logic &amp; Lists'!$E$4:$E$200,'Logic &amp; Lists'!$A$4:$A$200,$AK9,'Logic &amp; Lists'!$C$4:$C$200,"Production Complete"))</f>
        <v/>
      </c>
      <c r="V9" s="6" t="str">
        <f>IF($AL9="","",$Y9+SUMIFS('Logic &amp; Lists'!$E$4:$E$200,'Logic &amp; Lists'!$A$4:$A$200,$AK9,'Logic &amp; Lists'!$C$4:$C$200,"NOI Date"))</f>
        <v/>
      </c>
      <c r="W9" s="6" t="str">
        <f>IF($AL9="","",$X9+SUMIFS('Logic &amp; Lists'!$E$4:$E$200,'Logic &amp; Lists'!$A$4:$A$200,$AK9,'Logic &amp; Lists'!$C$4:$C$200,"Internal Test Start"))</f>
        <v/>
      </c>
      <c r="X9" s="6" t="str">
        <f>IF($AL9="","",$Y9+SUMIFS('Logic &amp; Lists'!$E$4:$E$200,'Logic &amp; Lists'!$A$4:$A$200,$AK9,'Logic &amp; Lists'!$C$4:$C$200,"Internal Test Complete"))</f>
        <v/>
      </c>
      <c r="Y9" s="6" t="str">
        <f>IF($AL9="","",$AA9+SUMIFS('Logic &amp; Lists'!$E$4:$E$200,'Logic &amp; Lists'!$A$4:$A$200,$AK9,'Logic &amp; Lists'!$C$4:$C$200,"FAT Start"))</f>
        <v/>
      </c>
      <c r="Z9" s="6" t="str">
        <f>IF($AL9="","",$Y9+SUMIFS('Logic &amp; Lists'!$E$4:$E$200,'Logic &amp; Lists'!$A$4:$A$200,$AK9,'Logic &amp; Lists'!$C$4:$C$200,"FAT Complete"))</f>
        <v/>
      </c>
      <c r="AA9" s="6" t="str">
        <f>IF($AL9="","",$F9+SUMIFS('Logic &amp; Lists'!$E$4:$E$200,'Logic &amp; Lists'!$A$4:$A$200,$AK9,'Logic &amp; Lists'!$C$4:$C$200,"Delivery"))</f>
        <v/>
      </c>
      <c r="AB9" s="8"/>
      <c r="AC9" s="8"/>
      <c r="AD9" s="8"/>
      <c r="AE9" s="8"/>
      <c r="AF9" s="16"/>
      <c r="AG9" s="8"/>
      <c r="AH9" s="5" t="str">
        <f t="shared" si="0"/>
        <v/>
      </c>
      <c r="AI9" s="18" t="str">
        <f t="shared" ca="1" si="1"/>
        <v/>
      </c>
      <c r="AJ9" s="7"/>
      <c r="AK9" s="5" t="str">
        <f>IF($AL9="","",IF(COUNTIF('Logic &amp; Lists'!$A$4:$A$200,$C9)&gt;0,$C9,"Default"))</f>
        <v/>
      </c>
      <c r="AL9" t="str">
        <f>IF($A9&lt;&gt;"",$A9,IF($B9&lt;&gt;"",IFERROR(INDEX(Product_Registry!$A$2:$A$101,MATCH($B9,Product_Registry!$B$2:$B$101,0)),IFERROR(INDEX(Product_Registry!$A$2:$A$101,MATCH("*"&amp;$B9&amp;"*",Product_Registry!$B$2:$B$101,0)),"")),""))</f>
        <v/>
      </c>
      <c r="AM9" t="str">
        <f>IF($AL9="","",IFERROR(INDEX(Product_Registry!$B$2:$B$101,MATCH($AL9,Product_Registry!$A$2:$A$101,0)),""))</f>
        <v/>
      </c>
    </row>
    <row r="10" spans="1:39" x14ac:dyDescent="0.2">
      <c r="A10" s="27"/>
      <c r="B10" s="28"/>
      <c r="C10" s="20" t="str">
        <f>IF($AL10="","",IFERROR(INDEX(Product_Registry!$C$2:$C$101,MATCH($AL10,Product_Registry!$A$2:$A$101,0)),""))</f>
        <v/>
      </c>
      <c r="D10" s="21" t="str">
        <f>IF($AL10="","",IFERROR(INDEX(Product_Registry!$D$2:$D$101,MATCH($AL10,Product_Registry!$A$2:$A$101,0)),""))</f>
        <v/>
      </c>
      <c r="E10" s="17" t="str">
        <f>IF($AL10="","",IFERROR(INDEX(Product_Registry!$E$2:$E$101,MATCH($AL10,Product_Registry!$A$2:$A$101,0)),""))</f>
        <v/>
      </c>
      <c r="F10" s="17" t="str">
        <f>IF($AL10="","",IFERROR(INDEX(Product_Registry!$F$2:$F$101,MATCH($AL10,Product_Registry!$A$2:$A$101,0)),""))</f>
        <v/>
      </c>
      <c r="G10" s="21" t="str">
        <f>IF($AL10="","",IFERROR(INDEX(Product_Registry!$G$2:$G$101,MATCH($AL10,Product_Registry!$A$2:$A$101,0)),""))</f>
        <v/>
      </c>
      <c r="H10" s="21" t="str">
        <f>IF($AL10="","",IFERROR(INDEX(Product_Registry!$H$2:$H$101,MATCH($AL10,Product_Registry!$A$2:$A$101,0)),""))</f>
        <v/>
      </c>
      <c r="I10" s="21" t="str">
        <f>IF($AL10="","",IFERROR(INDEX(Product_Registry!$I$2:$I$101,MATCH($AL10,Product_Registry!$A$2:$A$101,0)),""))</f>
        <v/>
      </c>
      <c r="J10" s="21" t="str">
        <f>IF($AL10="","",IFERROR(INDEX(Product_Registry!$J$2:$J$101,MATCH($AL10,Product_Registry!$A$2:$A$101,0)),""))</f>
        <v/>
      </c>
      <c r="K10" s="21" t="str">
        <f>IF($AL10="","",IFERROR(INDEX(Product_Registry!$K$2:$K$101,MATCH($AL10,Product_Registry!$A$2:$A$101,0)),""))</f>
        <v/>
      </c>
      <c r="L10" s="21" t="str">
        <f>IF($AL10="","",IFERROR(INDEX(Product_Registry!$L$2:$L$101,MATCH($AL10,Product_Registry!$A$2:$A$101,0)),""))</f>
        <v/>
      </c>
      <c r="M10" s="21" t="str">
        <f>IF($AL10="","",IFERROR(INDEX(Product_Registry!$M$2:$M$101,MATCH($AL10,Product_Registry!$A$2:$A$101,0)),""))</f>
        <v/>
      </c>
      <c r="N10" s="6" t="str">
        <f>IF($AL10="","",$E10+SUMIFS('Logic &amp; Lists'!$E$4:$E$200,'Logic &amp; Lists'!$A$4:$A$200,$AK10,'Logic &amp; Lists'!$C$4:$C$200,"Level 1 Schedule"))</f>
        <v/>
      </c>
      <c r="O10" s="6" t="str">
        <f>IF($AL10="","",$P10+SUMIFS('Logic &amp; Lists'!$E$4:$E$200,'Logic &amp; Lists'!$A$4:$A$200,$AK10,'Logic &amp; Lists'!$C$4:$C$200,"Input Frozen"))</f>
        <v/>
      </c>
      <c r="P10" s="6" t="str">
        <f>IF($AL10="","",$Q10+SUMIFS('Logic &amp; Lists'!$E$4:$E$200,'Logic &amp; Lists'!$A$4:$A$200,$AK10,'Logic &amp; Lists'!$C$4:$C$200,"Drawing Approval"))</f>
        <v/>
      </c>
      <c r="Q10" s="6" t="str">
        <f>IF($AL10="","",$S10+SUMIFS('Logic &amp; Lists'!$E$4:$E$200,'Logic &amp; Lists'!$A$4:$A$200,$AK10,'Logic &amp; Lists'!$C$4:$C$200,"BOM Pass to PR"))</f>
        <v/>
      </c>
      <c r="R10" s="6" t="str">
        <f>IF($AL10="","",$S10+SUMIFS('Logic &amp; Lists'!$E$4:$E$200,'Logic &amp; Lists'!$A$4:$A$200,$AK10,'Logic &amp; Lists'!$C$4:$C$200,"PR Schedule"))</f>
        <v/>
      </c>
      <c r="S10" s="6" t="str">
        <f>IF($AL10="","",$T10+SUMIFS('Logic &amp; Lists'!$E$4:$E$200,'Logic &amp; Lists'!$A$4:$A$200,$AK10,'Logic &amp; Lists'!$C$4:$C$200,"Components PO Plan"))</f>
        <v/>
      </c>
      <c r="T10" s="6" t="str">
        <f>IF($AL10="","",$U10+SUMIFS('Logic &amp; Lists'!$E$4:$E$200,'Logic &amp; Lists'!$A$4:$A$200,$AK10,'Logic &amp; Lists'!$C$4:$C$200,"Production Start"))</f>
        <v/>
      </c>
      <c r="U10" s="6" t="str">
        <f>IF($AL10="","",$W10+SUMIFS('Logic &amp; Lists'!$E$4:$E$200,'Logic &amp; Lists'!$A$4:$A$200,$AK10,'Logic &amp; Lists'!$C$4:$C$200,"Production Complete"))</f>
        <v/>
      </c>
      <c r="V10" s="6" t="str">
        <f>IF($AL10="","",$Y10+SUMIFS('Logic &amp; Lists'!$E$4:$E$200,'Logic &amp; Lists'!$A$4:$A$200,$AK10,'Logic &amp; Lists'!$C$4:$C$200,"NOI Date"))</f>
        <v/>
      </c>
      <c r="W10" s="6" t="str">
        <f>IF($AL10="","",$X10+SUMIFS('Logic &amp; Lists'!$E$4:$E$200,'Logic &amp; Lists'!$A$4:$A$200,$AK10,'Logic &amp; Lists'!$C$4:$C$200,"Internal Test Start"))</f>
        <v/>
      </c>
      <c r="X10" s="6" t="str">
        <f>IF($AL10="","",$Y10+SUMIFS('Logic &amp; Lists'!$E$4:$E$200,'Logic &amp; Lists'!$A$4:$A$200,$AK10,'Logic &amp; Lists'!$C$4:$C$200,"Internal Test Complete"))</f>
        <v/>
      </c>
      <c r="Y10" s="6" t="str">
        <f>IF($AL10="","",$AA10+SUMIFS('Logic &amp; Lists'!$E$4:$E$200,'Logic &amp; Lists'!$A$4:$A$200,$AK10,'Logic &amp; Lists'!$C$4:$C$200,"FAT Start"))</f>
        <v/>
      </c>
      <c r="Z10" s="6" t="str">
        <f>IF($AL10="","",$Y10+SUMIFS('Logic &amp; Lists'!$E$4:$E$200,'Logic &amp; Lists'!$A$4:$A$200,$AK10,'Logic &amp; Lists'!$C$4:$C$200,"FAT Complete"))</f>
        <v/>
      </c>
      <c r="AA10" s="6" t="str">
        <f>IF($AL10="","",$F10+SUMIFS('Logic &amp; Lists'!$E$4:$E$200,'Logic &amp; Lists'!$A$4:$A$200,$AK10,'Logic &amp; Lists'!$C$4:$C$200,"Delivery"))</f>
        <v/>
      </c>
      <c r="AB10" s="8"/>
      <c r="AC10" s="8"/>
      <c r="AD10" s="8"/>
      <c r="AE10" s="8"/>
      <c r="AF10" s="16"/>
      <c r="AG10" s="8"/>
      <c r="AH10" s="5" t="str">
        <f t="shared" si="0"/>
        <v/>
      </c>
      <c r="AI10" s="18" t="str">
        <f t="shared" ca="1" si="1"/>
        <v/>
      </c>
      <c r="AJ10" s="7"/>
      <c r="AK10" s="5" t="str">
        <f>IF($AL10="","",IF(COUNTIF('Logic &amp; Lists'!$A$4:$A$200,$C10)&gt;0,$C10,"Default"))</f>
        <v/>
      </c>
      <c r="AL10" t="str">
        <f>IF($A10&lt;&gt;"",$A10,IF($B10&lt;&gt;"",IFERROR(INDEX(Product_Registry!$A$2:$A$101,MATCH($B10,Product_Registry!$B$2:$B$101,0)),IFERROR(INDEX(Product_Registry!$A$2:$A$101,MATCH("*"&amp;$B10&amp;"*",Product_Registry!$B$2:$B$101,0)),"")),""))</f>
        <v/>
      </c>
      <c r="AM10" t="str">
        <f>IF($AL10="","",IFERROR(INDEX(Product_Registry!$B$2:$B$101,MATCH($AL10,Product_Registry!$A$2:$A$101,0)),""))</f>
        <v/>
      </c>
    </row>
    <row r="11" spans="1:39" x14ac:dyDescent="0.2">
      <c r="A11" s="27"/>
      <c r="B11" s="28"/>
      <c r="C11" s="20" t="str">
        <f>IF($AL11="","",IFERROR(INDEX(Product_Registry!$C$2:$C$101,MATCH($AL11,Product_Registry!$A$2:$A$101,0)),""))</f>
        <v/>
      </c>
      <c r="D11" s="21" t="str">
        <f>IF($AL11="","",IFERROR(INDEX(Product_Registry!$D$2:$D$101,MATCH($AL11,Product_Registry!$A$2:$A$101,0)),""))</f>
        <v/>
      </c>
      <c r="E11" s="17" t="str">
        <f>IF($AL11="","",IFERROR(INDEX(Product_Registry!$E$2:$E$101,MATCH($AL11,Product_Registry!$A$2:$A$101,0)),""))</f>
        <v/>
      </c>
      <c r="F11" s="17" t="str">
        <f>IF($AL11="","",IFERROR(INDEX(Product_Registry!$F$2:$F$101,MATCH($AL11,Product_Registry!$A$2:$A$101,0)),""))</f>
        <v/>
      </c>
      <c r="G11" s="21" t="str">
        <f>IF($AL11="","",IFERROR(INDEX(Product_Registry!$G$2:$G$101,MATCH($AL11,Product_Registry!$A$2:$A$101,0)),""))</f>
        <v/>
      </c>
      <c r="H11" s="21" t="str">
        <f>IF($AL11="","",IFERROR(INDEX(Product_Registry!$H$2:$H$101,MATCH($AL11,Product_Registry!$A$2:$A$101,0)),""))</f>
        <v/>
      </c>
      <c r="I11" s="21" t="str">
        <f>IF($AL11="","",IFERROR(INDEX(Product_Registry!$I$2:$I$101,MATCH($AL11,Product_Registry!$A$2:$A$101,0)),""))</f>
        <v/>
      </c>
      <c r="J11" s="21" t="str">
        <f>IF($AL11="","",IFERROR(INDEX(Product_Registry!$J$2:$J$101,MATCH($AL11,Product_Registry!$A$2:$A$101,0)),""))</f>
        <v/>
      </c>
      <c r="K11" s="21" t="str">
        <f>IF($AL11="","",IFERROR(INDEX(Product_Registry!$K$2:$K$101,MATCH($AL11,Product_Registry!$A$2:$A$101,0)),""))</f>
        <v/>
      </c>
      <c r="L11" s="21" t="str">
        <f>IF($AL11="","",IFERROR(INDEX(Product_Registry!$L$2:$L$101,MATCH($AL11,Product_Registry!$A$2:$A$101,0)),""))</f>
        <v/>
      </c>
      <c r="M11" s="21" t="str">
        <f>IF($AL11="","",IFERROR(INDEX(Product_Registry!$M$2:$M$101,MATCH($AL11,Product_Registry!$A$2:$A$101,0)),""))</f>
        <v/>
      </c>
      <c r="N11" s="6" t="str">
        <f>IF($AL11="","",$E11+SUMIFS('Logic &amp; Lists'!$E$4:$E$200,'Logic &amp; Lists'!$A$4:$A$200,$AK11,'Logic &amp; Lists'!$C$4:$C$200,"Level 1 Schedule"))</f>
        <v/>
      </c>
      <c r="O11" s="6" t="str">
        <f>IF($AL11="","",$P11+SUMIFS('Logic &amp; Lists'!$E$4:$E$200,'Logic &amp; Lists'!$A$4:$A$200,$AK11,'Logic &amp; Lists'!$C$4:$C$200,"Input Frozen"))</f>
        <v/>
      </c>
      <c r="P11" s="6" t="str">
        <f>IF($AL11="","",$Q11+SUMIFS('Logic &amp; Lists'!$E$4:$E$200,'Logic &amp; Lists'!$A$4:$A$200,$AK11,'Logic &amp; Lists'!$C$4:$C$200,"Drawing Approval"))</f>
        <v/>
      </c>
      <c r="Q11" s="6" t="str">
        <f>IF($AL11="","",$S11+SUMIFS('Logic &amp; Lists'!$E$4:$E$200,'Logic &amp; Lists'!$A$4:$A$200,$AK11,'Logic &amp; Lists'!$C$4:$C$200,"BOM Pass to PR"))</f>
        <v/>
      </c>
      <c r="R11" s="6" t="str">
        <f>IF($AL11="","",$S11+SUMIFS('Logic &amp; Lists'!$E$4:$E$200,'Logic &amp; Lists'!$A$4:$A$200,$AK11,'Logic &amp; Lists'!$C$4:$C$200,"PR Schedule"))</f>
        <v/>
      </c>
      <c r="S11" s="6" t="str">
        <f>IF($AL11="","",$T11+SUMIFS('Logic &amp; Lists'!$E$4:$E$200,'Logic &amp; Lists'!$A$4:$A$200,$AK11,'Logic &amp; Lists'!$C$4:$C$200,"Components PO Plan"))</f>
        <v/>
      </c>
      <c r="T11" s="6" t="str">
        <f>IF($AL11="","",$U11+SUMIFS('Logic &amp; Lists'!$E$4:$E$200,'Logic &amp; Lists'!$A$4:$A$200,$AK11,'Logic &amp; Lists'!$C$4:$C$200,"Production Start"))</f>
        <v/>
      </c>
      <c r="U11" s="6" t="str">
        <f>IF($AL11="","",$W11+SUMIFS('Logic &amp; Lists'!$E$4:$E$200,'Logic &amp; Lists'!$A$4:$A$200,$AK11,'Logic &amp; Lists'!$C$4:$C$200,"Production Complete"))</f>
        <v/>
      </c>
      <c r="V11" s="6" t="str">
        <f>IF($AL11="","",$Y11+SUMIFS('Logic &amp; Lists'!$E$4:$E$200,'Logic &amp; Lists'!$A$4:$A$200,$AK11,'Logic &amp; Lists'!$C$4:$C$200,"NOI Date"))</f>
        <v/>
      </c>
      <c r="W11" s="6" t="str">
        <f>IF($AL11="","",$X11+SUMIFS('Logic &amp; Lists'!$E$4:$E$200,'Logic &amp; Lists'!$A$4:$A$200,$AK11,'Logic &amp; Lists'!$C$4:$C$200,"Internal Test Start"))</f>
        <v/>
      </c>
      <c r="X11" s="6" t="str">
        <f>IF($AL11="","",$Y11+SUMIFS('Logic &amp; Lists'!$E$4:$E$200,'Logic &amp; Lists'!$A$4:$A$200,$AK11,'Logic &amp; Lists'!$C$4:$C$200,"Internal Test Complete"))</f>
        <v/>
      </c>
      <c r="Y11" s="6" t="str">
        <f>IF($AL11="","",$AA11+SUMIFS('Logic &amp; Lists'!$E$4:$E$200,'Logic &amp; Lists'!$A$4:$A$200,$AK11,'Logic &amp; Lists'!$C$4:$C$200,"FAT Start"))</f>
        <v/>
      </c>
      <c r="Z11" s="6" t="str">
        <f>IF($AL11="","",$Y11+SUMIFS('Logic &amp; Lists'!$E$4:$E$200,'Logic &amp; Lists'!$A$4:$A$200,$AK11,'Logic &amp; Lists'!$C$4:$C$200,"FAT Complete"))</f>
        <v/>
      </c>
      <c r="AA11" s="6" t="str">
        <f>IF($AL11="","",$F11+SUMIFS('Logic &amp; Lists'!$E$4:$E$200,'Logic &amp; Lists'!$A$4:$A$200,$AK11,'Logic &amp; Lists'!$C$4:$C$200,"Delivery"))</f>
        <v/>
      </c>
      <c r="AB11" s="8"/>
      <c r="AC11" s="8"/>
      <c r="AD11" s="8"/>
      <c r="AE11" s="8"/>
      <c r="AF11" s="16"/>
      <c r="AG11" s="8"/>
      <c r="AH11" s="5" t="str">
        <f t="shared" si="0"/>
        <v/>
      </c>
      <c r="AI11" s="18" t="str">
        <f t="shared" ca="1" si="1"/>
        <v/>
      </c>
      <c r="AJ11" s="7"/>
      <c r="AK11" s="5" t="str">
        <f>IF($AL11="","",IF(COUNTIF('Logic &amp; Lists'!$A$4:$A$200,$C11)&gt;0,$C11,"Default"))</f>
        <v/>
      </c>
      <c r="AL11" t="str">
        <f>IF($A11&lt;&gt;"",$A11,IF($B11&lt;&gt;"",IFERROR(INDEX(Product_Registry!$A$2:$A$101,MATCH($B11,Product_Registry!$B$2:$B$101,0)),IFERROR(INDEX(Product_Registry!$A$2:$A$101,MATCH("*"&amp;$B11&amp;"*",Product_Registry!$B$2:$B$101,0)),"")),""))</f>
        <v/>
      </c>
      <c r="AM11" t="str">
        <f>IF($AL11="","",IFERROR(INDEX(Product_Registry!$B$2:$B$101,MATCH($AL11,Product_Registry!$A$2:$A$101,0)),""))</f>
        <v/>
      </c>
    </row>
    <row r="12" spans="1:39" x14ac:dyDescent="0.2">
      <c r="A12" s="27"/>
      <c r="B12" s="28"/>
      <c r="C12" s="20" t="str">
        <f>IF($AL12="","",IFERROR(INDEX(Product_Registry!$C$2:$C$101,MATCH($AL12,Product_Registry!$A$2:$A$101,0)),""))</f>
        <v/>
      </c>
      <c r="D12" s="21" t="str">
        <f>IF($AL12="","",IFERROR(INDEX(Product_Registry!$D$2:$D$101,MATCH($AL12,Product_Registry!$A$2:$A$101,0)),""))</f>
        <v/>
      </c>
      <c r="E12" s="17" t="str">
        <f>IF($AL12="","",IFERROR(INDEX(Product_Registry!$E$2:$E$101,MATCH($AL12,Product_Registry!$A$2:$A$101,0)),""))</f>
        <v/>
      </c>
      <c r="F12" s="17" t="str">
        <f>IF($AL12="","",IFERROR(INDEX(Product_Registry!$F$2:$F$101,MATCH($AL12,Product_Registry!$A$2:$A$101,0)),""))</f>
        <v/>
      </c>
      <c r="G12" s="21" t="str">
        <f>IF($AL12="","",IFERROR(INDEX(Product_Registry!$G$2:$G$101,MATCH($AL12,Product_Registry!$A$2:$A$101,0)),""))</f>
        <v/>
      </c>
      <c r="H12" s="21" t="str">
        <f>IF($AL12="","",IFERROR(INDEX(Product_Registry!$H$2:$H$101,MATCH($AL12,Product_Registry!$A$2:$A$101,0)),""))</f>
        <v/>
      </c>
      <c r="I12" s="21" t="str">
        <f>IF($AL12="","",IFERROR(INDEX(Product_Registry!$I$2:$I$101,MATCH($AL12,Product_Registry!$A$2:$A$101,0)),""))</f>
        <v/>
      </c>
      <c r="J12" s="21" t="str">
        <f>IF($AL12="","",IFERROR(INDEX(Product_Registry!$J$2:$J$101,MATCH($AL12,Product_Registry!$A$2:$A$101,0)),""))</f>
        <v/>
      </c>
      <c r="K12" s="21" t="str">
        <f>IF($AL12="","",IFERROR(INDEX(Product_Registry!$K$2:$K$101,MATCH($AL12,Product_Registry!$A$2:$A$101,0)),""))</f>
        <v/>
      </c>
      <c r="L12" s="21" t="str">
        <f>IF($AL12="","",IFERROR(INDEX(Product_Registry!$L$2:$L$101,MATCH($AL12,Product_Registry!$A$2:$A$101,0)),""))</f>
        <v/>
      </c>
      <c r="M12" s="21" t="str">
        <f>IF($AL12="","",IFERROR(INDEX(Product_Registry!$M$2:$M$101,MATCH($AL12,Product_Registry!$A$2:$A$101,0)),""))</f>
        <v/>
      </c>
      <c r="N12" s="6" t="str">
        <f>IF($AL12="","",$E12+SUMIFS('Logic &amp; Lists'!$E$4:$E$200,'Logic &amp; Lists'!$A$4:$A$200,$AK12,'Logic &amp; Lists'!$C$4:$C$200,"Level 1 Schedule"))</f>
        <v/>
      </c>
      <c r="O12" s="6" t="str">
        <f>IF($AL12="","",$P12+SUMIFS('Logic &amp; Lists'!$E$4:$E$200,'Logic &amp; Lists'!$A$4:$A$200,$AK12,'Logic &amp; Lists'!$C$4:$C$200,"Input Frozen"))</f>
        <v/>
      </c>
      <c r="P12" s="6" t="str">
        <f>IF($AL12="","",$Q12+SUMIFS('Logic &amp; Lists'!$E$4:$E$200,'Logic &amp; Lists'!$A$4:$A$200,$AK12,'Logic &amp; Lists'!$C$4:$C$200,"Drawing Approval"))</f>
        <v/>
      </c>
      <c r="Q12" s="6" t="str">
        <f>IF($AL12="","",$S12+SUMIFS('Logic &amp; Lists'!$E$4:$E$200,'Logic &amp; Lists'!$A$4:$A$200,$AK12,'Logic &amp; Lists'!$C$4:$C$200,"BOM Pass to PR"))</f>
        <v/>
      </c>
      <c r="R12" s="6" t="str">
        <f>IF($AL12="","",$S12+SUMIFS('Logic &amp; Lists'!$E$4:$E$200,'Logic &amp; Lists'!$A$4:$A$200,$AK12,'Logic &amp; Lists'!$C$4:$C$200,"PR Schedule"))</f>
        <v/>
      </c>
      <c r="S12" s="6" t="str">
        <f>IF($AL12="","",$T12+SUMIFS('Logic &amp; Lists'!$E$4:$E$200,'Logic &amp; Lists'!$A$4:$A$200,$AK12,'Logic &amp; Lists'!$C$4:$C$200,"Components PO Plan"))</f>
        <v/>
      </c>
      <c r="T12" s="6" t="str">
        <f>IF($AL12="","",$U12+SUMIFS('Logic &amp; Lists'!$E$4:$E$200,'Logic &amp; Lists'!$A$4:$A$200,$AK12,'Logic &amp; Lists'!$C$4:$C$200,"Production Start"))</f>
        <v/>
      </c>
      <c r="U12" s="6" t="str">
        <f>IF($AL12="","",$W12+SUMIFS('Logic &amp; Lists'!$E$4:$E$200,'Logic &amp; Lists'!$A$4:$A$200,$AK12,'Logic &amp; Lists'!$C$4:$C$200,"Production Complete"))</f>
        <v/>
      </c>
      <c r="V12" s="6" t="str">
        <f>IF($AL12="","",$Y12+SUMIFS('Logic &amp; Lists'!$E$4:$E$200,'Logic &amp; Lists'!$A$4:$A$200,$AK12,'Logic &amp; Lists'!$C$4:$C$200,"NOI Date"))</f>
        <v/>
      </c>
      <c r="W12" s="6" t="str">
        <f>IF($AL12="","",$X12+SUMIFS('Logic &amp; Lists'!$E$4:$E$200,'Logic &amp; Lists'!$A$4:$A$200,$AK12,'Logic &amp; Lists'!$C$4:$C$200,"Internal Test Start"))</f>
        <v/>
      </c>
      <c r="X12" s="6" t="str">
        <f>IF($AL12="","",$Y12+SUMIFS('Logic &amp; Lists'!$E$4:$E$200,'Logic &amp; Lists'!$A$4:$A$200,$AK12,'Logic &amp; Lists'!$C$4:$C$200,"Internal Test Complete"))</f>
        <v/>
      </c>
      <c r="Y12" s="6" t="str">
        <f>IF($AL12="","",$AA12+SUMIFS('Logic &amp; Lists'!$E$4:$E$200,'Logic &amp; Lists'!$A$4:$A$200,$AK12,'Logic &amp; Lists'!$C$4:$C$200,"FAT Start"))</f>
        <v/>
      </c>
      <c r="Z12" s="6" t="str">
        <f>IF($AL12="","",$Y12+SUMIFS('Logic &amp; Lists'!$E$4:$E$200,'Logic &amp; Lists'!$A$4:$A$200,$AK12,'Logic &amp; Lists'!$C$4:$C$200,"FAT Complete"))</f>
        <v/>
      </c>
      <c r="AA12" s="6" t="str">
        <f>IF($AL12="","",$F12+SUMIFS('Logic &amp; Lists'!$E$4:$E$200,'Logic &amp; Lists'!$A$4:$A$200,$AK12,'Logic &amp; Lists'!$C$4:$C$200,"Delivery"))</f>
        <v/>
      </c>
      <c r="AB12" s="8"/>
      <c r="AC12" s="8"/>
      <c r="AD12" s="8"/>
      <c r="AE12" s="8"/>
      <c r="AF12" s="16"/>
      <c r="AG12" s="8"/>
      <c r="AH12" s="5" t="str">
        <f t="shared" si="0"/>
        <v/>
      </c>
      <c r="AI12" s="18" t="str">
        <f t="shared" ca="1" si="1"/>
        <v/>
      </c>
      <c r="AJ12" s="7"/>
      <c r="AK12" s="5" t="str">
        <f>IF($AL12="","",IF(COUNTIF('Logic &amp; Lists'!$A$4:$A$200,$C12)&gt;0,$C12,"Default"))</f>
        <v/>
      </c>
      <c r="AL12" t="str">
        <f>IF($A12&lt;&gt;"",$A12,IF($B12&lt;&gt;"",IFERROR(INDEX(Product_Registry!$A$2:$A$101,MATCH($B12,Product_Registry!$B$2:$B$101,0)),IFERROR(INDEX(Product_Registry!$A$2:$A$101,MATCH("*"&amp;$B12&amp;"*",Product_Registry!$B$2:$B$101,0)),"")),""))</f>
        <v/>
      </c>
      <c r="AM12" t="str">
        <f>IF($AL12="","",IFERROR(INDEX(Product_Registry!$B$2:$B$101,MATCH($AL12,Product_Registry!$A$2:$A$101,0)),""))</f>
        <v/>
      </c>
    </row>
    <row r="13" spans="1:39" x14ac:dyDescent="0.2">
      <c r="A13" s="27"/>
      <c r="B13" s="28"/>
      <c r="C13" s="20" t="str">
        <f>IF($AL13="","",IFERROR(INDEX(Product_Registry!$C$2:$C$101,MATCH($AL13,Product_Registry!$A$2:$A$101,0)),""))</f>
        <v/>
      </c>
      <c r="D13" s="21" t="str">
        <f>IF($AL13="","",IFERROR(INDEX(Product_Registry!$D$2:$D$101,MATCH($AL13,Product_Registry!$A$2:$A$101,0)),""))</f>
        <v/>
      </c>
      <c r="E13" s="17" t="str">
        <f>IF($AL13="","",IFERROR(INDEX(Product_Registry!$E$2:$E$101,MATCH($AL13,Product_Registry!$A$2:$A$101,0)),""))</f>
        <v/>
      </c>
      <c r="F13" s="17" t="str">
        <f>IF($AL13="","",IFERROR(INDEX(Product_Registry!$F$2:$F$101,MATCH($AL13,Product_Registry!$A$2:$A$101,0)),""))</f>
        <v/>
      </c>
      <c r="G13" s="21" t="str">
        <f>IF($AL13="","",IFERROR(INDEX(Product_Registry!$G$2:$G$101,MATCH($AL13,Product_Registry!$A$2:$A$101,0)),""))</f>
        <v/>
      </c>
      <c r="H13" s="21" t="str">
        <f>IF($AL13="","",IFERROR(INDEX(Product_Registry!$H$2:$H$101,MATCH($AL13,Product_Registry!$A$2:$A$101,0)),""))</f>
        <v/>
      </c>
      <c r="I13" s="21" t="str">
        <f>IF($AL13="","",IFERROR(INDEX(Product_Registry!$I$2:$I$101,MATCH($AL13,Product_Registry!$A$2:$A$101,0)),""))</f>
        <v/>
      </c>
      <c r="J13" s="21" t="str">
        <f>IF($AL13="","",IFERROR(INDEX(Product_Registry!$J$2:$J$101,MATCH($AL13,Product_Registry!$A$2:$A$101,0)),""))</f>
        <v/>
      </c>
      <c r="K13" s="21" t="str">
        <f>IF($AL13="","",IFERROR(INDEX(Product_Registry!$K$2:$K$101,MATCH($AL13,Product_Registry!$A$2:$A$101,0)),""))</f>
        <v/>
      </c>
      <c r="L13" s="21" t="str">
        <f>IF($AL13="","",IFERROR(INDEX(Product_Registry!$L$2:$L$101,MATCH($AL13,Product_Registry!$A$2:$A$101,0)),""))</f>
        <v/>
      </c>
      <c r="M13" s="21" t="str">
        <f>IF($AL13="","",IFERROR(INDEX(Product_Registry!$M$2:$M$101,MATCH($AL13,Product_Registry!$A$2:$A$101,0)),""))</f>
        <v/>
      </c>
      <c r="N13" s="6" t="str">
        <f>IF($AL13="","",$E13+SUMIFS('Logic &amp; Lists'!$E$4:$E$200,'Logic &amp; Lists'!$A$4:$A$200,$AK13,'Logic &amp; Lists'!$C$4:$C$200,"Level 1 Schedule"))</f>
        <v/>
      </c>
      <c r="O13" s="6" t="str">
        <f>IF($AL13="","",$P13+SUMIFS('Logic &amp; Lists'!$E$4:$E$200,'Logic &amp; Lists'!$A$4:$A$200,$AK13,'Logic &amp; Lists'!$C$4:$C$200,"Input Frozen"))</f>
        <v/>
      </c>
      <c r="P13" s="6" t="str">
        <f>IF($AL13="","",$Q13+SUMIFS('Logic &amp; Lists'!$E$4:$E$200,'Logic &amp; Lists'!$A$4:$A$200,$AK13,'Logic &amp; Lists'!$C$4:$C$200,"Drawing Approval"))</f>
        <v/>
      </c>
      <c r="Q13" s="6" t="str">
        <f>IF($AL13="","",$S13+SUMIFS('Logic &amp; Lists'!$E$4:$E$200,'Logic &amp; Lists'!$A$4:$A$200,$AK13,'Logic &amp; Lists'!$C$4:$C$200,"BOM Pass to PR"))</f>
        <v/>
      </c>
      <c r="R13" s="6" t="str">
        <f>IF($AL13="","",$S13+SUMIFS('Logic &amp; Lists'!$E$4:$E$200,'Logic &amp; Lists'!$A$4:$A$200,$AK13,'Logic &amp; Lists'!$C$4:$C$200,"PR Schedule"))</f>
        <v/>
      </c>
      <c r="S13" s="6" t="str">
        <f>IF($AL13="","",$T13+SUMIFS('Logic &amp; Lists'!$E$4:$E$200,'Logic &amp; Lists'!$A$4:$A$200,$AK13,'Logic &amp; Lists'!$C$4:$C$200,"Components PO Plan"))</f>
        <v/>
      </c>
      <c r="T13" s="6" t="str">
        <f>IF($AL13="","",$U13+SUMIFS('Logic &amp; Lists'!$E$4:$E$200,'Logic &amp; Lists'!$A$4:$A$200,$AK13,'Logic &amp; Lists'!$C$4:$C$200,"Production Start"))</f>
        <v/>
      </c>
      <c r="U13" s="6" t="str">
        <f>IF($AL13="","",$W13+SUMIFS('Logic &amp; Lists'!$E$4:$E$200,'Logic &amp; Lists'!$A$4:$A$200,$AK13,'Logic &amp; Lists'!$C$4:$C$200,"Production Complete"))</f>
        <v/>
      </c>
      <c r="V13" s="6" t="str">
        <f>IF($AL13="","",$Y13+SUMIFS('Logic &amp; Lists'!$E$4:$E$200,'Logic &amp; Lists'!$A$4:$A$200,$AK13,'Logic &amp; Lists'!$C$4:$C$200,"NOI Date"))</f>
        <v/>
      </c>
      <c r="W13" s="6" t="str">
        <f>IF($AL13="","",$X13+SUMIFS('Logic &amp; Lists'!$E$4:$E$200,'Logic &amp; Lists'!$A$4:$A$200,$AK13,'Logic &amp; Lists'!$C$4:$C$200,"Internal Test Start"))</f>
        <v/>
      </c>
      <c r="X13" s="6" t="str">
        <f>IF($AL13="","",$Y13+SUMIFS('Logic &amp; Lists'!$E$4:$E$200,'Logic &amp; Lists'!$A$4:$A$200,$AK13,'Logic &amp; Lists'!$C$4:$C$200,"Internal Test Complete"))</f>
        <v/>
      </c>
      <c r="Y13" s="6" t="str">
        <f>IF($AL13="","",$AA13+SUMIFS('Logic &amp; Lists'!$E$4:$E$200,'Logic &amp; Lists'!$A$4:$A$200,$AK13,'Logic &amp; Lists'!$C$4:$C$200,"FAT Start"))</f>
        <v/>
      </c>
      <c r="Z13" s="6" t="str">
        <f>IF($AL13="","",$Y13+SUMIFS('Logic &amp; Lists'!$E$4:$E$200,'Logic &amp; Lists'!$A$4:$A$200,$AK13,'Logic &amp; Lists'!$C$4:$C$200,"FAT Complete"))</f>
        <v/>
      </c>
      <c r="AA13" s="6" t="str">
        <f>IF($AL13="","",$F13+SUMIFS('Logic &amp; Lists'!$E$4:$E$200,'Logic &amp; Lists'!$A$4:$A$200,$AK13,'Logic &amp; Lists'!$C$4:$C$200,"Delivery"))</f>
        <v/>
      </c>
      <c r="AB13" s="8"/>
      <c r="AC13" s="8"/>
      <c r="AD13" s="8"/>
      <c r="AE13" s="8"/>
      <c r="AF13" s="16"/>
      <c r="AG13" s="8"/>
      <c r="AH13" s="5" t="str">
        <f t="shared" si="0"/>
        <v/>
      </c>
      <c r="AI13" s="18" t="str">
        <f t="shared" ca="1" si="1"/>
        <v/>
      </c>
      <c r="AJ13" s="7"/>
      <c r="AK13" s="5" t="str">
        <f>IF($AL13="","",IF(COUNTIF('Logic &amp; Lists'!$A$4:$A$200,$C13)&gt;0,$C13,"Default"))</f>
        <v/>
      </c>
      <c r="AL13" t="str">
        <f>IF($A13&lt;&gt;"",$A13,IF($B13&lt;&gt;"",IFERROR(INDEX(Product_Registry!$A$2:$A$101,MATCH($B13,Product_Registry!$B$2:$B$101,0)),IFERROR(INDEX(Product_Registry!$A$2:$A$101,MATCH("*"&amp;$B13&amp;"*",Product_Registry!$B$2:$B$101,0)),"")),""))</f>
        <v/>
      </c>
      <c r="AM13" t="str">
        <f>IF($AL13="","",IFERROR(INDEX(Product_Registry!$B$2:$B$101,MATCH($AL13,Product_Registry!$A$2:$A$101,0)),""))</f>
        <v/>
      </c>
    </row>
    <row r="14" spans="1:39" x14ac:dyDescent="0.2">
      <c r="A14" s="27"/>
      <c r="B14" s="28"/>
      <c r="C14" s="20" t="str">
        <f>IF($AL14="","",IFERROR(INDEX(Product_Registry!$C$2:$C$101,MATCH($AL14,Product_Registry!$A$2:$A$101,0)),""))</f>
        <v/>
      </c>
      <c r="D14" s="21" t="str">
        <f>IF($AL14="","",IFERROR(INDEX(Product_Registry!$D$2:$D$101,MATCH($AL14,Product_Registry!$A$2:$A$101,0)),""))</f>
        <v/>
      </c>
      <c r="E14" s="17" t="str">
        <f>IF($AL14="","",IFERROR(INDEX(Product_Registry!$E$2:$E$101,MATCH($AL14,Product_Registry!$A$2:$A$101,0)),""))</f>
        <v/>
      </c>
      <c r="F14" s="17" t="str">
        <f>IF($AL14="","",IFERROR(INDEX(Product_Registry!$F$2:$F$101,MATCH($AL14,Product_Registry!$A$2:$A$101,0)),""))</f>
        <v/>
      </c>
      <c r="G14" s="21" t="str">
        <f>IF($AL14="","",IFERROR(INDEX(Product_Registry!$G$2:$G$101,MATCH($AL14,Product_Registry!$A$2:$A$101,0)),""))</f>
        <v/>
      </c>
      <c r="H14" s="21" t="str">
        <f>IF($AL14="","",IFERROR(INDEX(Product_Registry!$H$2:$H$101,MATCH($AL14,Product_Registry!$A$2:$A$101,0)),""))</f>
        <v/>
      </c>
      <c r="I14" s="21" t="str">
        <f>IF($AL14="","",IFERROR(INDEX(Product_Registry!$I$2:$I$101,MATCH($AL14,Product_Registry!$A$2:$A$101,0)),""))</f>
        <v/>
      </c>
      <c r="J14" s="21" t="str">
        <f>IF($AL14="","",IFERROR(INDEX(Product_Registry!$J$2:$J$101,MATCH($AL14,Product_Registry!$A$2:$A$101,0)),""))</f>
        <v/>
      </c>
      <c r="K14" s="21" t="str">
        <f>IF($AL14="","",IFERROR(INDEX(Product_Registry!$K$2:$K$101,MATCH($AL14,Product_Registry!$A$2:$A$101,0)),""))</f>
        <v/>
      </c>
      <c r="L14" s="21" t="str">
        <f>IF($AL14="","",IFERROR(INDEX(Product_Registry!$L$2:$L$101,MATCH($AL14,Product_Registry!$A$2:$A$101,0)),""))</f>
        <v/>
      </c>
      <c r="M14" s="21" t="str">
        <f>IF($AL14="","",IFERROR(INDEX(Product_Registry!$M$2:$M$101,MATCH($AL14,Product_Registry!$A$2:$A$101,0)),""))</f>
        <v/>
      </c>
      <c r="N14" s="6" t="str">
        <f>IF($AL14="","",$E14+SUMIFS('Logic &amp; Lists'!$E$4:$E$200,'Logic &amp; Lists'!$A$4:$A$200,$AK14,'Logic &amp; Lists'!$C$4:$C$200,"Level 1 Schedule"))</f>
        <v/>
      </c>
      <c r="O14" s="6" t="str">
        <f>IF($AL14="","",$P14+SUMIFS('Logic &amp; Lists'!$E$4:$E$200,'Logic &amp; Lists'!$A$4:$A$200,$AK14,'Logic &amp; Lists'!$C$4:$C$200,"Input Frozen"))</f>
        <v/>
      </c>
      <c r="P14" s="6" t="str">
        <f>IF($AL14="","",$Q14+SUMIFS('Logic &amp; Lists'!$E$4:$E$200,'Logic &amp; Lists'!$A$4:$A$200,$AK14,'Logic &amp; Lists'!$C$4:$C$200,"Drawing Approval"))</f>
        <v/>
      </c>
      <c r="Q14" s="6" t="str">
        <f>IF($AL14="","",$S14+SUMIFS('Logic &amp; Lists'!$E$4:$E$200,'Logic &amp; Lists'!$A$4:$A$200,$AK14,'Logic &amp; Lists'!$C$4:$C$200,"BOM Pass to PR"))</f>
        <v/>
      </c>
      <c r="R14" s="6" t="str">
        <f>IF($AL14="","",$S14+SUMIFS('Logic &amp; Lists'!$E$4:$E$200,'Logic &amp; Lists'!$A$4:$A$200,$AK14,'Logic &amp; Lists'!$C$4:$C$200,"PR Schedule"))</f>
        <v/>
      </c>
      <c r="S14" s="6" t="str">
        <f>IF($AL14="","",$T14+SUMIFS('Logic &amp; Lists'!$E$4:$E$200,'Logic &amp; Lists'!$A$4:$A$200,$AK14,'Logic &amp; Lists'!$C$4:$C$200,"Components PO Plan"))</f>
        <v/>
      </c>
      <c r="T14" s="6" t="str">
        <f>IF($AL14="","",$U14+SUMIFS('Logic &amp; Lists'!$E$4:$E$200,'Logic &amp; Lists'!$A$4:$A$200,$AK14,'Logic &amp; Lists'!$C$4:$C$200,"Production Start"))</f>
        <v/>
      </c>
      <c r="U14" s="6" t="str">
        <f>IF($AL14="","",$W14+SUMIFS('Logic &amp; Lists'!$E$4:$E$200,'Logic &amp; Lists'!$A$4:$A$200,$AK14,'Logic &amp; Lists'!$C$4:$C$200,"Production Complete"))</f>
        <v/>
      </c>
      <c r="V14" s="6" t="str">
        <f>IF($AL14="","",$Y14+SUMIFS('Logic &amp; Lists'!$E$4:$E$200,'Logic &amp; Lists'!$A$4:$A$200,$AK14,'Logic &amp; Lists'!$C$4:$C$200,"NOI Date"))</f>
        <v/>
      </c>
      <c r="W14" s="6" t="str">
        <f>IF($AL14="","",$X14+SUMIFS('Logic &amp; Lists'!$E$4:$E$200,'Logic &amp; Lists'!$A$4:$A$200,$AK14,'Logic &amp; Lists'!$C$4:$C$200,"Internal Test Start"))</f>
        <v/>
      </c>
      <c r="X14" s="6" t="str">
        <f>IF($AL14="","",$Y14+SUMIFS('Logic &amp; Lists'!$E$4:$E$200,'Logic &amp; Lists'!$A$4:$A$200,$AK14,'Logic &amp; Lists'!$C$4:$C$200,"Internal Test Complete"))</f>
        <v/>
      </c>
      <c r="Y14" s="6" t="str">
        <f>IF($AL14="","",$AA14+SUMIFS('Logic &amp; Lists'!$E$4:$E$200,'Logic &amp; Lists'!$A$4:$A$200,$AK14,'Logic &amp; Lists'!$C$4:$C$200,"FAT Start"))</f>
        <v/>
      </c>
      <c r="Z14" s="6" t="str">
        <f>IF($AL14="","",$Y14+SUMIFS('Logic &amp; Lists'!$E$4:$E$200,'Logic &amp; Lists'!$A$4:$A$200,$AK14,'Logic &amp; Lists'!$C$4:$C$200,"FAT Complete"))</f>
        <v/>
      </c>
      <c r="AA14" s="6" t="str">
        <f>IF($AL14="","",$F14+SUMIFS('Logic &amp; Lists'!$E$4:$E$200,'Logic &amp; Lists'!$A$4:$A$200,$AK14,'Logic &amp; Lists'!$C$4:$C$200,"Delivery"))</f>
        <v/>
      </c>
      <c r="AB14" s="8"/>
      <c r="AC14" s="8"/>
      <c r="AD14" s="8"/>
      <c r="AE14" s="8"/>
      <c r="AF14" s="16"/>
      <c r="AG14" s="8"/>
      <c r="AH14" s="5" t="str">
        <f t="shared" si="0"/>
        <v/>
      </c>
      <c r="AI14" s="18" t="str">
        <f t="shared" ca="1" si="1"/>
        <v/>
      </c>
      <c r="AJ14" s="7"/>
      <c r="AK14" s="5" t="str">
        <f>IF($AL14="","",IF(COUNTIF('Logic &amp; Lists'!$A$4:$A$200,$C14)&gt;0,$C14,"Default"))</f>
        <v/>
      </c>
      <c r="AL14" t="str">
        <f>IF($A14&lt;&gt;"",$A14,IF($B14&lt;&gt;"",IFERROR(INDEX(Product_Registry!$A$2:$A$101,MATCH($B14,Product_Registry!$B$2:$B$101,0)),IFERROR(INDEX(Product_Registry!$A$2:$A$101,MATCH("*"&amp;$B14&amp;"*",Product_Registry!$B$2:$B$101,0)),"")),""))</f>
        <v/>
      </c>
      <c r="AM14" t="str">
        <f>IF($AL14="","",IFERROR(INDEX(Product_Registry!$B$2:$B$101,MATCH($AL14,Product_Registry!$A$2:$A$101,0)),""))</f>
        <v/>
      </c>
    </row>
    <row r="15" spans="1:39" x14ac:dyDescent="0.2">
      <c r="A15" s="27"/>
      <c r="B15" s="28"/>
      <c r="C15" s="20" t="str">
        <f>IF($AL15="","",IFERROR(INDEX(Product_Registry!$C$2:$C$101,MATCH($AL15,Product_Registry!$A$2:$A$101,0)),""))</f>
        <v/>
      </c>
      <c r="D15" s="21" t="str">
        <f>IF($AL15="","",IFERROR(INDEX(Product_Registry!$D$2:$D$101,MATCH($AL15,Product_Registry!$A$2:$A$101,0)),""))</f>
        <v/>
      </c>
      <c r="E15" s="17" t="str">
        <f>IF($AL15="","",IFERROR(INDEX(Product_Registry!$E$2:$E$101,MATCH($AL15,Product_Registry!$A$2:$A$101,0)),""))</f>
        <v/>
      </c>
      <c r="F15" s="17" t="str">
        <f>IF($AL15="","",IFERROR(INDEX(Product_Registry!$F$2:$F$101,MATCH($AL15,Product_Registry!$A$2:$A$101,0)),""))</f>
        <v/>
      </c>
      <c r="G15" s="21" t="str">
        <f>IF($AL15="","",IFERROR(INDEX(Product_Registry!$G$2:$G$101,MATCH($AL15,Product_Registry!$A$2:$A$101,0)),""))</f>
        <v/>
      </c>
      <c r="H15" s="21" t="str">
        <f>IF($AL15="","",IFERROR(INDEX(Product_Registry!$H$2:$H$101,MATCH($AL15,Product_Registry!$A$2:$A$101,0)),""))</f>
        <v/>
      </c>
      <c r="I15" s="21" t="str">
        <f>IF($AL15="","",IFERROR(INDEX(Product_Registry!$I$2:$I$101,MATCH($AL15,Product_Registry!$A$2:$A$101,0)),""))</f>
        <v/>
      </c>
      <c r="J15" s="21" t="str">
        <f>IF($AL15="","",IFERROR(INDEX(Product_Registry!$J$2:$J$101,MATCH($AL15,Product_Registry!$A$2:$A$101,0)),""))</f>
        <v/>
      </c>
      <c r="K15" s="21" t="str">
        <f>IF($AL15="","",IFERROR(INDEX(Product_Registry!$K$2:$K$101,MATCH($AL15,Product_Registry!$A$2:$A$101,0)),""))</f>
        <v/>
      </c>
      <c r="L15" s="21" t="str">
        <f>IF($AL15="","",IFERROR(INDEX(Product_Registry!$L$2:$L$101,MATCH($AL15,Product_Registry!$A$2:$A$101,0)),""))</f>
        <v/>
      </c>
      <c r="M15" s="21" t="str">
        <f>IF($AL15="","",IFERROR(INDEX(Product_Registry!$M$2:$M$101,MATCH($AL15,Product_Registry!$A$2:$A$101,0)),""))</f>
        <v/>
      </c>
      <c r="N15" s="6" t="str">
        <f>IF($AL15="","",$E15+SUMIFS('Logic &amp; Lists'!$E$4:$E$200,'Logic &amp; Lists'!$A$4:$A$200,$AK15,'Logic &amp; Lists'!$C$4:$C$200,"Level 1 Schedule"))</f>
        <v/>
      </c>
      <c r="O15" s="6" t="str">
        <f>IF($AL15="","",$P15+SUMIFS('Logic &amp; Lists'!$E$4:$E$200,'Logic &amp; Lists'!$A$4:$A$200,$AK15,'Logic &amp; Lists'!$C$4:$C$200,"Input Frozen"))</f>
        <v/>
      </c>
      <c r="P15" s="6" t="str">
        <f>IF($AL15="","",$Q15+SUMIFS('Logic &amp; Lists'!$E$4:$E$200,'Logic &amp; Lists'!$A$4:$A$200,$AK15,'Logic &amp; Lists'!$C$4:$C$200,"Drawing Approval"))</f>
        <v/>
      </c>
      <c r="Q15" s="6" t="str">
        <f>IF($AL15="","",$S15+SUMIFS('Logic &amp; Lists'!$E$4:$E$200,'Logic &amp; Lists'!$A$4:$A$200,$AK15,'Logic &amp; Lists'!$C$4:$C$200,"BOM Pass to PR"))</f>
        <v/>
      </c>
      <c r="R15" s="6" t="str">
        <f>IF($AL15="","",$S15+SUMIFS('Logic &amp; Lists'!$E$4:$E$200,'Logic &amp; Lists'!$A$4:$A$200,$AK15,'Logic &amp; Lists'!$C$4:$C$200,"PR Schedule"))</f>
        <v/>
      </c>
      <c r="S15" s="6" t="str">
        <f>IF($AL15="","",$T15+SUMIFS('Logic &amp; Lists'!$E$4:$E$200,'Logic &amp; Lists'!$A$4:$A$200,$AK15,'Logic &amp; Lists'!$C$4:$C$200,"Components PO Plan"))</f>
        <v/>
      </c>
      <c r="T15" s="6" t="str">
        <f>IF($AL15="","",$U15+SUMIFS('Logic &amp; Lists'!$E$4:$E$200,'Logic &amp; Lists'!$A$4:$A$200,$AK15,'Logic &amp; Lists'!$C$4:$C$200,"Production Start"))</f>
        <v/>
      </c>
      <c r="U15" s="6" t="str">
        <f>IF($AL15="","",$W15+SUMIFS('Logic &amp; Lists'!$E$4:$E$200,'Logic &amp; Lists'!$A$4:$A$200,$AK15,'Logic &amp; Lists'!$C$4:$C$200,"Production Complete"))</f>
        <v/>
      </c>
      <c r="V15" s="6" t="str">
        <f>IF($AL15="","",$Y15+SUMIFS('Logic &amp; Lists'!$E$4:$E$200,'Logic &amp; Lists'!$A$4:$A$200,$AK15,'Logic &amp; Lists'!$C$4:$C$200,"NOI Date"))</f>
        <v/>
      </c>
      <c r="W15" s="6" t="str">
        <f>IF($AL15="","",$X15+SUMIFS('Logic &amp; Lists'!$E$4:$E$200,'Logic &amp; Lists'!$A$4:$A$200,$AK15,'Logic &amp; Lists'!$C$4:$C$200,"Internal Test Start"))</f>
        <v/>
      </c>
      <c r="X15" s="6" t="str">
        <f>IF($AL15="","",$Y15+SUMIFS('Logic &amp; Lists'!$E$4:$E$200,'Logic &amp; Lists'!$A$4:$A$200,$AK15,'Logic &amp; Lists'!$C$4:$C$200,"Internal Test Complete"))</f>
        <v/>
      </c>
      <c r="Y15" s="6" t="str">
        <f>IF($AL15="","",$AA15+SUMIFS('Logic &amp; Lists'!$E$4:$E$200,'Logic &amp; Lists'!$A$4:$A$200,$AK15,'Logic &amp; Lists'!$C$4:$C$200,"FAT Start"))</f>
        <v/>
      </c>
      <c r="Z15" s="6" t="str">
        <f>IF($AL15="","",$Y15+SUMIFS('Logic &amp; Lists'!$E$4:$E$200,'Logic &amp; Lists'!$A$4:$A$200,$AK15,'Logic &amp; Lists'!$C$4:$C$200,"FAT Complete"))</f>
        <v/>
      </c>
      <c r="AA15" s="6" t="str">
        <f>IF($AL15="","",$F15+SUMIFS('Logic &amp; Lists'!$E$4:$E$200,'Logic &amp; Lists'!$A$4:$A$200,$AK15,'Logic &amp; Lists'!$C$4:$C$200,"Delivery"))</f>
        <v/>
      </c>
      <c r="AB15" s="8"/>
      <c r="AC15" s="8"/>
      <c r="AD15" s="8"/>
      <c r="AE15" s="8"/>
      <c r="AF15" s="16"/>
      <c r="AG15" s="8"/>
      <c r="AH15" s="5" t="str">
        <f t="shared" si="0"/>
        <v/>
      </c>
      <c r="AI15" s="18" t="str">
        <f t="shared" ca="1" si="1"/>
        <v/>
      </c>
      <c r="AJ15" s="7"/>
      <c r="AK15" s="5" t="str">
        <f>IF($AL15="","",IF(COUNTIF('Logic &amp; Lists'!$A$4:$A$200,$C15)&gt;0,$C15,"Default"))</f>
        <v/>
      </c>
      <c r="AL15" t="str">
        <f>IF($A15&lt;&gt;"",$A15,IF($B15&lt;&gt;"",IFERROR(INDEX(Product_Registry!$A$2:$A$101,MATCH($B15,Product_Registry!$B$2:$B$101,0)),IFERROR(INDEX(Product_Registry!$A$2:$A$101,MATCH("*"&amp;$B15&amp;"*",Product_Registry!$B$2:$B$101,0)),"")),""))</f>
        <v/>
      </c>
      <c r="AM15" t="str">
        <f>IF($AL15="","",IFERROR(INDEX(Product_Registry!$B$2:$B$101,MATCH($AL15,Product_Registry!$A$2:$A$101,0)),""))</f>
        <v/>
      </c>
    </row>
    <row r="16" spans="1:39" x14ac:dyDescent="0.2">
      <c r="A16" s="27"/>
      <c r="B16" s="28"/>
      <c r="C16" s="20" t="str">
        <f>IF($AL16="","",IFERROR(INDEX(Product_Registry!$C$2:$C$101,MATCH($AL16,Product_Registry!$A$2:$A$101,0)),""))</f>
        <v/>
      </c>
      <c r="D16" s="21" t="str">
        <f>IF($AL16="","",IFERROR(INDEX(Product_Registry!$D$2:$D$101,MATCH($AL16,Product_Registry!$A$2:$A$101,0)),""))</f>
        <v/>
      </c>
      <c r="E16" s="17" t="str">
        <f>IF($AL16="","",IFERROR(INDEX(Product_Registry!$E$2:$E$101,MATCH($AL16,Product_Registry!$A$2:$A$101,0)),""))</f>
        <v/>
      </c>
      <c r="F16" s="17" t="str">
        <f>IF($AL16="","",IFERROR(INDEX(Product_Registry!$F$2:$F$101,MATCH($AL16,Product_Registry!$A$2:$A$101,0)),""))</f>
        <v/>
      </c>
      <c r="G16" s="21" t="str">
        <f>IF($AL16="","",IFERROR(INDEX(Product_Registry!$G$2:$G$101,MATCH($AL16,Product_Registry!$A$2:$A$101,0)),""))</f>
        <v/>
      </c>
      <c r="H16" s="21" t="str">
        <f>IF($AL16="","",IFERROR(INDEX(Product_Registry!$H$2:$H$101,MATCH($AL16,Product_Registry!$A$2:$A$101,0)),""))</f>
        <v/>
      </c>
      <c r="I16" s="21" t="str">
        <f>IF($AL16="","",IFERROR(INDEX(Product_Registry!$I$2:$I$101,MATCH($AL16,Product_Registry!$A$2:$A$101,0)),""))</f>
        <v/>
      </c>
      <c r="J16" s="21" t="str">
        <f>IF($AL16="","",IFERROR(INDEX(Product_Registry!$J$2:$J$101,MATCH($AL16,Product_Registry!$A$2:$A$101,0)),""))</f>
        <v/>
      </c>
      <c r="K16" s="21" t="str">
        <f>IF($AL16="","",IFERROR(INDEX(Product_Registry!$K$2:$K$101,MATCH($AL16,Product_Registry!$A$2:$A$101,0)),""))</f>
        <v/>
      </c>
      <c r="L16" s="21" t="str">
        <f>IF($AL16="","",IFERROR(INDEX(Product_Registry!$L$2:$L$101,MATCH($AL16,Product_Registry!$A$2:$A$101,0)),""))</f>
        <v/>
      </c>
      <c r="M16" s="21" t="str">
        <f>IF($AL16="","",IFERROR(INDEX(Product_Registry!$M$2:$M$101,MATCH($AL16,Product_Registry!$A$2:$A$101,0)),""))</f>
        <v/>
      </c>
      <c r="N16" s="6" t="str">
        <f>IF($AL16="","",$E16+SUMIFS('Logic &amp; Lists'!$E$4:$E$200,'Logic &amp; Lists'!$A$4:$A$200,$AK16,'Logic &amp; Lists'!$C$4:$C$200,"Level 1 Schedule"))</f>
        <v/>
      </c>
      <c r="O16" s="6" t="str">
        <f>IF($AL16="","",$P16+SUMIFS('Logic &amp; Lists'!$E$4:$E$200,'Logic &amp; Lists'!$A$4:$A$200,$AK16,'Logic &amp; Lists'!$C$4:$C$200,"Input Frozen"))</f>
        <v/>
      </c>
      <c r="P16" s="6" t="str">
        <f>IF($AL16="","",$Q16+SUMIFS('Logic &amp; Lists'!$E$4:$E$200,'Logic &amp; Lists'!$A$4:$A$200,$AK16,'Logic &amp; Lists'!$C$4:$C$200,"Drawing Approval"))</f>
        <v/>
      </c>
      <c r="Q16" s="6" t="str">
        <f>IF($AL16="","",$S16+SUMIFS('Logic &amp; Lists'!$E$4:$E$200,'Logic &amp; Lists'!$A$4:$A$200,$AK16,'Logic &amp; Lists'!$C$4:$C$200,"BOM Pass to PR"))</f>
        <v/>
      </c>
      <c r="R16" s="6" t="str">
        <f>IF($AL16="","",$S16+SUMIFS('Logic &amp; Lists'!$E$4:$E$200,'Logic &amp; Lists'!$A$4:$A$200,$AK16,'Logic &amp; Lists'!$C$4:$C$200,"PR Schedule"))</f>
        <v/>
      </c>
      <c r="S16" s="6" t="str">
        <f>IF($AL16="","",$T16+SUMIFS('Logic &amp; Lists'!$E$4:$E$200,'Logic &amp; Lists'!$A$4:$A$200,$AK16,'Logic &amp; Lists'!$C$4:$C$200,"Components PO Plan"))</f>
        <v/>
      </c>
      <c r="T16" s="6" t="str">
        <f>IF($AL16="","",$U16+SUMIFS('Logic &amp; Lists'!$E$4:$E$200,'Logic &amp; Lists'!$A$4:$A$200,$AK16,'Logic &amp; Lists'!$C$4:$C$200,"Production Start"))</f>
        <v/>
      </c>
      <c r="U16" s="6" t="str">
        <f>IF($AL16="","",$W16+SUMIFS('Logic &amp; Lists'!$E$4:$E$200,'Logic &amp; Lists'!$A$4:$A$200,$AK16,'Logic &amp; Lists'!$C$4:$C$200,"Production Complete"))</f>
        <v/>
      </c>
      <c r="V16" s="6" t="str">
        <f>IF($AL16="","",$Y16+SUMIFS('Logic &amp; Lists'!$E$4:$E$200,'Logic &amp; Lists'!$A$4:$A$200,$AK16,'Logic &amp; Lists'!$C$4:$C$200,"NOI Date"))</f>
        <v/>
      </c>
      <c r="W16" s="6" t="str">
        <f>IF($AL16="","",$X16+SUMIFS('Logic &amp; Lists'!$E$4:$E$200,'Logic &amp; Lists'!$A$4:$A$200,$AK16,'Logic &amp; Lists'!$C$4:$C$200,"Internal Test Start"))</f>
        <v/>
      </c>
      <c r="X16" s="6" t="str">
        <f>IF($AL16="","",$Y16+SUMIFS('Logic &amp; Lists'!$E$4:$E$200,'Logic &amp; Lists'!$A$4:$A$200,$AK16,'Logic &amp; Lists'!$C$4:$C$200,"Internal Test Complete"))</f>
        <v/>
      </c>
      <c r="Y16" s="6" t="str">
        <f>IF($AL16="","",$AA16+SUMIFS('Logic &amp; Lists'!$E$4:$E$200,'Logic &amp; Lists'!$A$4:$A$200,$AK16,'Logic &amp; Lists'!$C$4:$C$200,"FAT Start"))</f>
        <v/>
      </c>
      <c r="Z16" s="6" t="str">
        <f>IF($AL16="","",$Y16+SUMIFS('Logic &amp; Lists'!$E$4:$E$200,'Logic &amp; Lists'!$A$4:$A$200,$AK16,'Logic &amp; Lists'!$C$4:$C$200,"FAT Complete"))</f>
        <v/>
      </c>
      <c r="AA16" s="6" t="str">
        <f>IF($AL16="","",$F16+SUMIFS('Logic &amp; Lists'!$E$4:$E$200,'Logic &amp; Lists'!$A$4:$A$200,$AK16,'Logic &amp; Lists'!$C$4:$C$200,"Delivery"))</f>
        <v/>
      </c>
      <c r="AB16" s="8"/>
      <c r="AC16" s="8"/>
      <c r="AD16" s="8"/>
      <c r="AE16" s="8"/>
      <c r="AF16" s="16"/>
      <c r="AG16" s="8"/>
      <c r="AH16" s="5" t="str">
        <f t="shared" si="0"/>
        <v/>
      </c>
      <c r="AI16" s="18" t="str">
        <f t="shared" ca="1" si="1"/>
        <v/>
      </c>
      <c r="AJ16" s="7"/>
      <c r="AK16" s="5" t="str">
        <f>IF($AL16="","",IF(COUNTIF('Logic &amp; Lists'!$A$4:$A$200,$C16)&gt;0,$C16,"Default"))</f>
        <v/>
      </c>
      <c r="AL16" t="str">
        <f>IF($A16&lt;&gt;"",$A16,IF($B16&lt;&gt;"",IFERROR(INDEX(Product_Registry!$A$2:$A$101,MATCH($B16,Product_Registry!$B$2:$B$101,0)),IFERROR(INDEX(Product_Registry!$A$2:$A$101,MATCH("*"&amp;$B16&amp;"*",Product_Registry!$B$2:$B$101,0)),"")),""))</f>
        <v/>
      </c>
      <c r="AM16" t="str">
        <f>IF($AL16="","",IFERROR(INDEX(Product_Registry!$B$2:$B$101,MATCH($AL16,Product_Registry!$A$2:$A$101,0)),""))</f>
        <v/>
      </c>
    </row>
    <row r="17" spans="1:39" x14ac:dyDescent="0.2">
      <c r="A17" s="27"/>
      <c r="B17" s="28"/>
      <c r="C17" s="20" t="str">
        <f>IF($AL17="","",IFERROR(INDEX(Product_Registry!$C$2:$C$101,MATCH($AL17,Product_Registry!$A$2:$A$101,0)),""))</f>
        <v/>
      </c>
      <c r="D17" s="21" t="str">
        <f>IF($AL17="","",IFERROR(INDEX(Product_Registry!$D$2:$D$101,MATCH($AL17,Product_Registry!$A$2:$A$101,0)),""))</f>
        <v/>
      </c>
      <c r="E17" s="17" t="str">
        <f>IF($AL17="","",IFERROR(INDEX(Product_Registry!$E$2:$E$101,MATCH($AL17,Product_Registry!$A$2:$A$101,0)),""))</f>
        <v/>
      </c>
      <c r="F17" s="17" t="str">
        <f>IF($AL17="","",IFERROR(INDEX(Product_Registry!$F$2:$F$101,MATCH($AL17,Product_Registry!$A$2:$A$101,0)),""))</f>
        <v/>
      </c>
      <c r="G17" s="21" t="str">
        <f>IF($AL17="","",IFERROR(INDEX(Product_Registry!$G$2:$G$101,MATCH($AL17,Product_Registry!$A$2:$A$101,0)),""))</f>
        <v/>
      </c>
      <c r="H17" s="21" t="str">
        <f>IF($AL17="","",IFERROR(INDEX(Product_Registry!$H$2:$H$101,MATCH($AL17,Product_Registry!$A$2:$A$101,0)),""))</f>
        <v/>
      </c>
      <c r="I17" s="21" t="str">
        <f>IF($AL17="","",IFERROR(INDEX(Product_Registry!$I$2:$I$101,MATCH($AL17,Product_Registry!$A$2:$A$101,0)),""))</f>
        <v/>
      </c>
      <c r="J17" s="21" t="str">
        <f>IF($AL17="","",IFERROR(INDEX(Product_Registry!$J$2:$J$101,MATCH($AL17,Product_Registry!$A$2:$A$101,0)),""))</f>
        <v/>
      </c>
      <c r="K17" s="21" t="str">
        <f>IF($AL17="","",IFERROR(INDEX(Product_Registry!$K$2:$K$101,MATCH($AL17,Product_Registry!$A$2:$A$101,0)),""))</f>
        <v/>
      </c>
      <c r="L17" s="21" t="str">
        <f>IF($AL17="","",IFERROR(INDEX(Product_Registry!$L$2:$L$101,MATCH($AL17,Product_Registry!$A$2:$A$101,0)),""))</f>
        <v/>
      </c>
      <c r="M17" s="21" t="str">
        <f>IF($AL17="","",IFERROR(INDEX(Product_Registry!$M$2:$M$101,MATCH($AL17,Product_Registry!$A$2:$A$101,0)),""))</f>
        <v/>
      </c>
      <c r="N17" s="6" t="str">
        <f>IF($AL17="","",$E17+SUMIFS('Logic &amp; Lists'!$E$4:$E$200,'Logic &amp; Lists'!$A$4:$A$200,$AK17,'Logic &amp; Lists'!$C$4:$C$200,"Level 1 Schedule"))</f>
        <v/>
      </c>
      <c r="O17" s="6" t="str">
        <f>IF($AL17="","",$P17+SUMIFS('Logic &amp; Lists'!$E$4:$E$200,'Logic &amp; Lists'!$A$4:$A$200,$AK17,'Logic &amp; Lists'!$C$4:$C$200,"Input Frozen"))</f>
        <v/>
      </c>
      <c r="P17" s="6" t="str">
        <f>IF($AL17="","",$Q17+SUMIFS('Logic &amp; Lists'!$E$4:$E$200,'Logic &amp; Lists'!$A$4:$A$200,$AK17,'Logic &amp; Lists'!$C$4:$C$200,"Drawing Approval"))</f>
        <v/>
      </c>
      <c r="Q17" s="6" t="str">
        <f>IF($AL17="","",$S17+SUMIFS('Logic &amp; Lists'!$E$4:$E$200,'Logic &amp; Lists'!$A$4:$A$200,$AK17,'Logic &amp; Lists'!$C$4:$C$200,"BOM Pass to PR"))</f>
        <v/>
      </c>
      <c r="R17" s="6" t="str">
        <f>IF($AL17="","",$S17+SUMIFS('Logic &amp; Lists'!$E$4:$E$200,'Logic &amp; Lists'!$A$4:$A$200,$AK17,'Logic &amp; Lists'!$C$4:$C$200,"PR Schedule"))</f>
        <v/>
      </c>
      <c r="S17" s="6" t="str">
        <f>IF($AL17="","",$T17+SUMIFS('Logic &amp; Lists'!$E$4:$E$200,'Logic &amp; Lists'!$A$4:$A$200,$AK17,'Logic &amp; Lists'!$C$4:$C$200,"Components PO Plan"))</f>
        <v/>
      </c>
      <c r="T17" s="6" t="str">
        <f>IF($AL17="","",$U17+SUMIFS('Logic &amp; Lists'!$E$4:$E$200,'Logic &amp; Lists'!$A$4:$A$200,$AK17,'Logic &amp; Lists'!$C$4:$C$200,"Production Start"))</f>
        <v/>
      </c>
      <c r="U17" s="6" t="str">
        <f>IF($AL17="","",$W17+SUMIFS('Logic &amp; Lists'!$E$4:$E$200,'Logic &amp; Lists'!$A$4:$A$200,$AK17,'Logic &amp; Lists'!$C$4:$C$200,"Production Complete"))</f>
        <v/>
      </c>
      <c r="V17" s="6" t="str">
        <f>IF($AL17="","",$Y17+SUMIFS('Logic &amp; Lists'!$E$4:$E$200,'Logic &amp; Lists'!$A$4:$A$200,$AK17,'Logic &amp; Lists'!$C$4:$C$200,"NOI Date"))</f>
        <v/>
      </c>
      <c r="W17" s="6" t="str">
        <f>IF($AL17="","",$X17+SUMIFS('Logic &amp; Lists'!$E$4:$E$200,'Logic &amp; Lists'!$A$4:$A$200,$AK17,'Logic &amp; Lists'!$C$4:$C$200,"Internal Test Start"))</f>
        <v/>
      </c>
      <c r="X17" s="6" t="str">
        <f>IF($AL17="","",$Y17+SUMIFS('Logic &amp; Lists'!$E$4:$E$200,'Logic &amp; Lists'!$A$4:$A$200,$AK17,'Logic &amp; Lists'!$C$4:$C$200,"Internal Test Complete"))</f>
        <v/>
      </c>
      <c r="Y17" s="6" t="str">
        <f>IF($AL17="","",$AA17+SUMIFS('Logic &amp; Lists'!$E$4:$E$200,'Logic &amp; Lists'!$A$4:$A$200,$AK17,'Logic &amp; Lists'!$C$4:$C$200,"FAT Start"))</f>
        <v/>
      </c>
      <c r="Z17" s="6" t="str">
        <f>IF($AL17="","",$Y17+SUMIFS('Logic &amp; Lists'!$E$4:$E$200,'Logic &amp; Lists'!$A$4:$A$200,$AK17,'Logic &amp; Lists'!$C$4:$C$200,"FAT Complete"))</f>
        <v/>
      </c>
      <c r="AA17" s="6" t="str">
        <f>IF($AL17="","",$F17+SUMIFS('Logic &amp; Lists'!$E$4:$E$200,'Logic &amp; Lists'!$A$4:$A$200,$AK17,'Logic &amp; Lists'!$C$4:$C$200,"Delivery"))</f>
        <v/>
      </c>
      <c r="AB17" s="8"/>
      <c r="AC17" s="8"/>
      <c r="AD17" s="8"/>
      <c r="AE17" s="8"/>
      <c r="AF17" s="16"/>
      <c r="AG17" s="8"/>
      <c r="AH17" s="5" t="str">
        <f t="shared" si="0"/>
        <v/>
      </c>
      <c r="AI17" s="18" t="str">
        <f t="shared" ca="1" si="1"/>
        <v/>
      </c>
      <c r="AJ17" s="7"/>
      <c r="AK17" s="5" t="str">
        <f>IF($AL17="","",IF(COUNTIF('Logic &amp; Lists'!$A$4:$A$200,$C17)&gt;0,$C17,"Default"))</f>
        <v/>
      </c>
      <c r="AL17" t="str">
        <f>IF($A17&lt;&gt;"",$A17,IF($B17&lt;&gt;"",IFERROR(INDEX(Product_Registry!$A$2:$A$101,MATCH($B17,Product_Registry!$B$2:$B$101,0)),IFERROR(INDEX(Product_Registry!$A$2:$A$101,MATCH("*"&amp;$B17&amp;"*",Product_Registry!$B$2:$B$101,0)),"")),""))</f>
        <v/>
      </c>
      <c r="AM17" t="str">
        <f>IF($AL17="","",IFERROR(INDEX(Product_Registry!$B$2:$B$101,MATCH($AL17,Product_Registry!$A$2:$A$101,0)),""))</f>
        <v/>
      </c>
    </row>
    <row r="18" spans="1:39" x14ac:dyDescent="0.2">
      <c r="A18" s="27"/>
      <c r="B18" s="28"/>
      <c r="C18" s="20" t="str">
        <f>IF($AL18="","",IFERROR(INDEX(Product_Registry!$C$2:$C$101,MATCH($AL18,Product_Registry!$A$2:$A$101,0)),""))</f>
        <v/>
      </c>
      <c r="D18" s="21" t="str">
        <f>IF($AL18="","",IFERROR(INDEX(Product_Registry!$D$2:$D$101,MATCH($AL18,Product_Registry!$A$2:$A$101,0)),""))</f>
        <v/>
      </c>
      <c r="E18" s="17" t="str">
        <f>IF($AL18="","",IFERROR(INDEX(Product_Registry!$E$2:$E$101,MATCH($AL18,Product_Registry!$A$2:$A$101,0)),""))</f>
        <v/>
      </c>
      <c r="F18" s="17" t="str">
        <f>IF($AL18="","",IFERROR(INDEX(Product_Registry!$F$2:$F$101,MATCH($AL18,Product_Registry!$A$2:$A$101,0)),""))</f>
        <v/>
      </c>
      <c r="G18" s="21" t="str">
        <f>IF($AL18="","",IFERROR(INDEX(Product_Registry!$G$2:$G$101,MATCH($AL18,Product_Registry!$A$2:$A$101,0)),""))</f>
        <v/>
      </c>
      <c r="H18" s="21" t="str">
        <f>IF($AL18="","",IFERROR(INDEX(Product_Registry!$H$2:$H$101,MATCH($AL18,Product_Registry!$A$2:$A$101,0)),""))</f>
        <v/>
      </c>
      <c r="I18" s="21" t="str">
        <f>IF($AL18="","",IFERROR(INDEX(Product_Registry!$I$2:$I$101,MATCH($AL18,Product_Registry!$A$2:$A$101,0)),""))</f>
        <v/>
      </c>
      <c r="J18" s="21" t="str">
        <f>IF($AL18="","",IFERROR(INDEX(Product_Registry!$J$2:$J$101,MATCH($AL18,Product_Registry!$A$2:$A$101,0)),""))</f>
        <v/>
      </c>
      <c r="K18" s="21" t="str">
        <f>IF($AL18="","",IFERROR(INDEX(Product_Registry!$K$2:$K$101,MATCH($AL18,Product_Registry!$A$2:$A$101,0)),""))</f>
        <v/>
      </c>
      <c r="L18" s="21" t="str">
        <f>IF($AL18="","",IFERROR(INDEX(Product_Registry!$L$2:$L$101,MATCH($AL18,Product_Registry!$A$2:$A$101,0)),""))</f>
        <v/>
      </c>
      <c r="M18" s="21" t="str">
        <f>IF($AL18="","",IFERROR(INDEX(Product_Registry!$M$2:$M$101,MATCH($AL18,Product_Registry!$A$2:$A$101,0)),""))</f>
        <v/>
      </c>
      <c r="N18" s="6" t="str">
        <f>IF($AL18="","",$E18+SUMIFS('Logic &amp; Lists'!$E$4:$E$200,'Logic &amp; Lists'!$A$4:$A$200,$AK18,'Logic &amp; Lists'!$C$4:$C$200,"Level 1 Schedule"))</f>
        <v/>
      </c>
      <c r="O18" s="6" t="str">
        <f>IF($AL18="","",$P18+SUMIFS('Logic &amp; Lists'!$E$4:$E$200,'Logic &amp; Lists'!$A$4:$A$200,$AK18,'Logic &amp; Lists'!$C$4:$C$200,"Input Frozen"))</f>
        <v/>
      </c>
      <c r="P18" s="6" t="str">
        <f>IF($AL18="","",$Q18+SUMIFS('Logic &amp; Lists'!$E$4:$E$200,'Logic &amp; Lists'!$A$4:$A$200,$AK18,'Logic &amp; Lists'!$C$4:$C$200,"Drawing Approval"))</f>
        <v/>
      </c>
      <c r="Q18" s="6" t="str">
        <f>IF($AL18="","",$S18+SUMIFS('Logic &amp; Lists'!$E$4:$E$200,'Logic &amp; Lists'!$A$4:$A$200,$AK18,'Logic &amp; Lists'!$C$4:$C$200,"BOM Pass to PR"))</f>
        <v/>
      </c>
      <c r="R18" s="6" t="str">
        <f>IF($AL18="","",$S18+SUMIFS('Logic &amp; Lists'!$E$4:$E$200,'Logic &amp; Lists'!$A$4:$A$200,$AK18,'Logic &amp; Lists'!$C$4:$C$200,"PR Schedule"))</f>
        <v/>
      </c>
      <c r="S18" s="6" t="str">
        <f>IF($AL18="","",$T18+SUMIFS('Logic &amp; Lists'!$E$4:$E$200,'Logic &amp; Lists'!$A$4:$A$200,$AK18,'Logic &amp; Lists'!$C$4:$C$200,"Components PO Plan"))</f>
        <v/>
      </c>
      <c r="T18" s="6" t="str">
        <f>IF($AL18="","",$U18+SUMIFS('Logic &amp; Lists'!$E$4:$E$200,'Logic &amp; Lists'!$A$4:$A$200,$AK18,'Logic &amp; Lists'!$C$4:$C$200,"Production Start"))</f>
        <v/>
      </c>
      <c r="U18" s="6" t="str">
        <f>IF($AL18="","",$W18+SUMIFS('Logic &amp; Lists'!$E$4:$E$200,'Logic &amp; Lists'!$A$4:$A$200,$AK18,'Logic &amp; Lists'!$C$4:$C$200,"Production Complete"))</f>
        <v/>
      </c>
      <c r="V18" s="6" t="str">
        <f>IF($AL18="","",$Y18+SUMIFS('Logic &amp; Lists'!$E$4:$E$200,'Logic &amp; Lists'!$A$4:$A$200,$AK18,'Logic &amp; Lists'!$C$4:$C$200,"NOI Date"))</f>
        <v/>
      </c>
      <c r="W18" s="6" t="str">
        <f>IF($AL18="","",$X18+SUMIFS('Logic &amp; Lists'!$E$4:$E$200,'Logic &amp; Lists'!$A$4:$A$200,$AK18,'Logic &amp; Lists'!$C$4:$C$200,"Internal Test Start"))</f>
        <v/>
      </c>
      <c r="X18" s="6" t="str">
        <f>IF($AL18="","",$Y18+SUMIFS('Logic &amp; Lists'!$E$4:$E$200,'Logic &amp; Lists'!$A$4:$A$200,$AK18,'Logic &amp; Lists'!$C$4:$C$200,"Internal Test Complete"))</f>
        <v/>
      </c>
      <c r="Y18" s="6" t="str">
        <f>IF($AL18="","",$AA18+SUMIFS('Logic &amp; Lists'!$E$4:$E$200,'Logic &amp; Lists'!$A$4:$A$200,$AK18,'Logic &amp; Lists'!$C$4:$C$200,"FAT Start"))</f>
        <v/>
      </c>
      <c r="Z18" s="6" t="str">
        <f>IF($AL18="","",$Y18+SUMIFS('Logic &amp; Lists'!$E$4:$E$200,'Logic &amp; Lists'!$A$4:$A$200,$AK18,'Logic &amp; Lists'!$C$4:$C$200,"FAT Complete"))</f>
        <v/>
      </c>
      <c r="AA18" s="6" t="str">
        <f>IF($AL18="","",$F18+SUMIFS('Logic &amp; Lists'!$E$4:$E$200,'Logic &amp; Lists'!$A$4:$A$200,$AK18,'Logic &amp; Lists'!$C$4:$C$200,"Delivery"))</f>
        <v/>
      </c>
      <c r="AB18" s="8"/>
      <c r="AC18" s="8"/>
      <c r="AD18" s="8"/>
      <c r="AE18" s="8"/>
      <c r="AF18" s="16"/>
      <c r="AG18" s="8"/>
      <c r="AH18" s="5" t="str">
        <f t="shared" si="0"/>
        <v/>
      </c>
      <c r="AI18" s="18" t="str">
        <f t="shared" ca="1" si="1"/>
        <v/>
      </c>
      <c r="AJ18" s="7"/>
      <c r="AK18" s="5" t="str">
        <f>IF($AL18="","",IF(COUNTIF('Logic &amp; Lists'!$A$4:$A$200,$C18)&gt;0,$C18,"Default"))</f>
        <v/>
      </c>
      <c r="AL18" t="str">
        <f>IF($A18&lt;&gt;"",$A18,IF($B18&lt;&gt;"",IFERROR(INDEX(Product_Registry!$A$2:$A$101,MATCH($B18,Product_Registry!$B$2:$B$101,0)),IFERROR(INDEX(Product_Registry!$A$2:$A$101,MATCH("*"&amp;$B18&amp;"*",Product_Registry!$B$2:$B$101,0)),"")),""))</f>
        <v/>
      </c>
      <c r="AM18" t="str">
        <f>IF($AL18="","",IFERROR(INDEX(Product_Registry!$B$2:$B$101,MATCH($AL18,Product_Registry!$A$2:$A$101,0)),""))</f>
        <v/>
      </c>
    </row>
    <row r="19" spans="1:39" x14ac:dyDescent="0.2">
      <c r="A19" s="27"/>
      <c r="B19" s="28"/>
      <c r="C19" s="20" t="str">
        <f>IF($AL19="","",IFERROR(INDEX(Product_Registry!$C$2:$C$101,MATCH($AL19,Product_Registry!$A$2:$A$101,0)),""))</f>
        <v/>
      </c>
      <c r="D19" s="21" t="str">
        <f>IF($AL19="","",IFERROR(INDEX(Product_Registry!$D$2:$D$101,MATCH($AL19,Product_Registry!$A$2:$A$101,0)),""))</f>
        <v/>
      </c>
      <c r="E19" s="17" t="str">
        <f>IF($AL19="","",IFERROR(INDEX(Product_Registry!$E$2:$E$101,MATCH($AL19,Product_Registry!$A$2:$A$101,0)),""))</f>
        <v/>
      </c>
      <c r="F19" s="17" t="str">
        <f>IF($AL19="","",IFERROR(INDEX(Product_Registry!$F$2:$F$101,MATCH($AL19,Product_Registry!$A$2:$A$101,0)),""))</f>
        <v/>
      </c>
      <c r="G19" s="21" t="str">
        <f>IF($AL19="","",IFERROR(INDEX(Product_Registry!$G$2:$G$101,MATCH($AL19,Product_Registry!$A$2:$A$101,0)),""))</f>
        <v/>
      </c>
      <c r="H19" s="21" t="str">
        <f>IF($AL19="","",IFERROR(INDEX(Product_Registry!$H$2:$H$101,MATCH($AL19,Product_Registry!$A$2:$A$101,0)),""))</f>
        <v/>
      </c>
      <c r="I19" s="21" t="str">
        <f>IF($AL19="","",IFERROR(INDEX(Product_Registry!$I$2:$I$101,MATCH($AL19,Product_Registry!$A$2:$A$101,0)),""))</f>
        <v/>
      </c>
      <c r="J19" s="21" t="str">
        <f>IF($AL19="","",IFERROR(INDEX(Product_Registry!$J$2:$J$101,MATCH($AL19,Product_Registry!$A$2:$A$101,0)),""))</f>
        <v/>
      </c>
      <c r="K19" s="21" t="str">
        <f>IF($AL19="","",IFERROR(INDEX(Product_Registry!$K$2:$K$101,MATCH($AL19,Product_Registry!$A$2:$A$101,0)),""))</f>
        <v/>
      </c>
      <c r="L19" s="21" t="str">
        <f>IF($AL19="","",IFERROR(INDEX(Product_Registry!$L$2:$L$101,MATCH($AL19,Product_Registry!$A$2:$A$101,0)),""))</f>
        <v/>
      </c>
      <c r="M19" s="21" t="str">
        <f>IF($AL19="","",IFERROR(INDEX(Product_Registry!$M$2:$M$101,MATCH($AL19,Product_Registry!$A$2:$A$101,0)),""))</f>
        <v/>
      </c>
      <c r="N19" s="6" t="str">
        <f>IF($AL19="","",$E19+SUMIFS('Logic &amp; Lists'!$E$4:$E$200,'Logic &amp; Lists'!$A$4:$A$200,$AK19,'Logic &amp; Lists'!$C$4:$C$200,"Level 1 Schedule"))</f>
        <v/>
      </c>
      <c r="O19" s="6" t="str">
        <f>IF($AL19="","",$P19+SUMIFS('Logic &amp; Lists'!$E$4:$E$200,'Logic &amp; Lists'!$A$4:$A$200,$AK19,'Logic &amp; Lists'!$C$4:$C$200,"Input Frozen"))</f>
        <v/>
      </c>
      <c r="P19" s="6" t="str">
        <f>IF($AL19="","",$Q19+SUMIFS('Logic &amp; Lists'!$E$4:$E$200,'Logic &amp; Lists'!$A$4:$A$200,$AK19,'Logic &amp; Lists'!$C$4:$C$200,"Drawing Approval"))</f>
        <v/>
      </c>
      <c r="Q19" s="6" t="str">
        <f>IF($AL19="","",$S19+SUMIFS('Logic &amp; Lists'!$E$4:$E$200,'Logic &amp; Lists'!$A$4:$A$200,$AK19,'Logic &amp; Lists'!$C$4:$C$200,"BOM Pass to PR"))</f>
        <v/>
      </c>
      <c r="R19" s="6" t="str">
        <f>IF($AL19="","",$S19+SUMIFS('Logic &amp; Lists'!$E$4:$E$200,'Logic &amp; Lists'!$A$4:$A$200,$AK19,'Logic &amp; Lists'!$C$4:$C$200,"PR Schedule"))</f>
        <v/>
      </c>
      <c r="S19" s="6" t="str">
        <f>IF($AL19="","",$T19+SUMIFS('Logic &amp; Lists'!$E$4:$E$200,'Logic &amp; Lists'!$A$4:$A$200,$AK19,'Logic &amp; Lists'!$C$4:$C$200,"Components PO Plan"))</f>
        <v/>
      </c>
      <c r="T19" s="6" t="str">
        <f>IF($AL19="","",$U19+SUMIFS('Logic &amp; Lists'!$E$4:$E$200,'Logic &amp; Lists'!$A$4:$A$200,$AK19,'Logic &amp; Lists'!$C$4:$C$200,"Production Start"))</f>
        <v/>
      </c>
      <c r="U19" s="6" t="str">
        <f>IF($AL19="","",$W19+SUMIFS('Logic &amp; Lists'!$E$4:$E$200,'Logic &amp; Lists'!$A$4:$A$200,$AK19,'Logic &amp; Lists'!$C$4:$C$200,"Production Complete"))</f>
        <v/>
      </c>
      <c r="V19" s="6" t="str">
        <f>IF($AL19="","",$Y19+SUMIFS('Logic &amp; Lists'!$E$4:$E$200,'Logic &amp; Lists'!$A$4:$A$200,$AK19,'Logic &amp; Lists'!$C$4:$C$200,"NOI Date"))</f>
        <v/>
      </c>
      <c r="W19" s="6" t="str">
        <f>IF($AL19="","",$X19+SUMIFS('Logic &amp; Lists'!$E$4:$E$200,'Logic &amp; Lists'!$A$4:$A$200,$AK19,'Logic &amp; Lists'!$C$4:$C$200,"Internal Test Start"))</f>
        <v/>
      </c>
      <c r="X19" s="6" t="str">
        <f>IF($AL19="","",$Y19+SUMIFS('Logic &amp; Lists'!$E$4:$E$200,'Logic &amp; Lists'!$A$4:$A$200,$AK19,'Logic &amp; Lists'!$C$4:$C$200,"Internal Test Complete"))</f>
        <v/>
      </c>
      <c r="Y19" s="6" t="str">
        <f>IF($AL19="","",$AA19+SUMIFS('Logic &amp; Lists'!$E$4:$E$200,'Logic &amp; Lists'!$A$4:$A$200,$AK19,'Logic &amp; Lists'!$C$4:$C$200,"FAT Start"))</f>
        <v/>
      </c>
      <c r="Z19" s="6" t="str">
        <f>IF($AL19="","",$Y19+SUMIFS('Logic &amp; Lists'!$E$4:$E$200,'Logic &amp; Lists'!$A$4:$A$200,$AK19,'Logic &amp; Lists'!$C$4:$C$200,"FAT Complete"))</f>
        <v/>
      </c>
      <c r="AA19" s="6" t="str">
        <f>IF($AL19="","",$F19+SUMIFS('Logic &amp; Lists'!$E$4:$E$200,'Logic &amp; Lists'!$A$4:$A$200,$AK19,'Logic &amp; Lists'!$C$4:$C$200,"Delivery"))</f>
        <v/>
      </c>
      <c r="AB19" s="8"/>
      <c r="AC19" s="8"/>
      <c r="AD19" s="8"/>
      <c r="AE19" s="8"/>
      <c r="AF19" s="16"/>
      <c r="AG19" s="8"/>
      <c r="AH19" s="5" t="str">
        <f t="shared" si="0"/>
        <v/>
      </c>
      <c r="AI19" s="18" t="str">
        <f t="shared" ca="1" si="1"/>
        <v/>
      </c>
      <c r="AJ19" s="7"/>
      <c r="AK19" s="5" t="str">
        <f>IF($AL19="","",IF(COUNTIF('Logic &amp; Lists'!$A$4:$A$200,$C19)&gt;0,$C19,"Default"))</f>
        <v/>
      </c>
      <c r="AL19" t="str">
        <f>IF($A19&lt;&gt;"",$A19,IF($B19&lt;&gt;"",IFERROR(INDEX(Product_Registry!$A$2:$A$101,MATCH($B19,Product_Registry!$B$2:$B$101,0)),IFERROR(INDEX(Product_Registry!$A$2:$A$101,MATCH("*"&amp;$B19&amp;"*",Product_Registry!$B$2:$B$101,0)),"")),""))</f>
        <v/>
      </c>
      <c r="AM19" t="str">
        <f>IF($AL19="","",IFERROR(INDEX(Product_Registry!$B$2:$B$101,MATCH($AL19,Product_Registry!$A$2:$A$101,0)),""))</f>
        <v/>
      </c>
    </row>
    <row r="20" spans="1:39" x14ac:dyDescent="0.2">
      <c r="A20" s="27"/>
      <c r="B20" s="28"/>
      <c r="C20" s="20" t="str">
        <f>IF($AL20="","",IFERROR(INDEX(Product_Registry!$C$2:$C$101,MATCH($AL20,Product_Registry!$A$2:$A$101,0)),""))</f>
        <v/>
      </c>
      <c r="D20" s="21" t="str">
        <f>IF($AL20="","",IFERROR(INDEX(Product_Registry!$D$2:$D$101,MATCH($AL20,Product_Registry!$A$2:$A$101,0)),""))</f>
        <v/>
      </c>
      <c r="E20" s="17" t="str">
        <f>IF($AL20="","",IFERROR(INDEX(Product_Registry!$E$2:$E$101,MATCH($AL20,Product_Registry!$A$2:$A$101,0)),""))</f>
        <v/>
      </c>
      <c r="F20" s="17" t="str">
        <f>IF($AL20="","",IFERROR(INDEX(Product_Registry!$F$2:$F$101,MATCH($AL20,Product_Registry!$A$2:$A$101,0)),""))</f>
        <v/>
      </c>
      <c r="G20" s="21" t="str">
        <f>IF($AL20="","",IFERROR(INDEX(Product_Registry!$G$2:$G$101,MATCH($AL20,Product_Registry!$A$2:$A$101,0)),""))</f>
        <v/>
      </c>
      <c r="H20" s="21" t="str">
        <f>IF($AL20="","",IFERROR(INDEX(Product_Registry!$H$2:$H$101,MATCH($AL20,Product_Registry!$A$2:$A$101,0)),""))</f>
        <v/>
      </c>
      <c r="I20" s="21" t="str">
        <f>IF($AL20="","",IFERROR(INDEX(Product_Registry!$I$2:$I$101,MATCH($AL20,Product_Registry!$A$2:$A$101,0)),""))</f>
        <v/>
      </c>
      <c r="J20" s="21" t="str">
        <f>IF($AL20="","",IFERROR(INDEX(Product_Registry!$J$2:$J$101,MATCH($AL20,Product_Registry!$A$2:$A$101,0)),""))</f>
        <v/>
      </c>
      <c r="K20" s="21" t="str">
        <f>IF($AL20="","",IFERROR(INDEX(Product_Registry!$K$2:$K$101,MATCH($AL20,Product_Registry!$A$2:$A$101,0)),""))</f>
        <v/>
      </c>
      <c r="L20" s="21" t="str">
        <f>IF($AL20="","",IFERROR(INDEX(Product_Registry!$L$2:$L$101,MATCH($AL20,Product_Registry!$A$2:$A$101,0)),""))</f>
        <v/>
      </c>
      <c r="M20" s="21" t="str">
        <f>IF($AL20="","",IFERROR(INDEX(Product_Registry!$M$2:$M$101,MATCH($AL20,Product_Registry!$A$2:$A$101,0)),""))</f>
        <v/>
      </c>
      <c r="N20" s="6" t="str">
        <f>IF($AL20="","",$E20+SUMIFS('Logic &amp; Lists'!$E$4:$E$200,'Logic &amp; Lists'!$A$4:$A$200,$AK20,'Logic &amp; Lists'!$C$4:$C$200,"Level 1 Schedule"))</f>
        <v/>
      </c>
      <c r="O20" s="6" t="str">
        <f>IF($AL20="","",$P20+SUMIFS('Logic &amp; Lists'!$E$4:$E$200,'Logic &amp; Lists'!$A$4:$A$200,$AK20,'Logic &amp; Lists'!$C$4:$C$200,"Input Frozen"))</f>
        <v/>
      </c>
      <c r="P20" s="6" t="str">
        <f>IF($AL20="","",$Q20+SUMIFS('Logic &amp; Lists'!$E$4:$E$200,'Logic &amp; Lists'!$A$4:$A$200,$AK20,'Logic &amp; Lists'!$C$4:$C$200,"Drawing Approval"))</f>
        <v/>
      </c>
      <c r="Q20" s="6" t="str">
        <f>IF($AL20="","",$S20+SUMIFS('Logic &amp; Lists'!$E$4:$E$200,'Logic &amp; Lists'!$A$4:$A$200,$AK20,'Logic &amp; Lists'!$C$4:$C$200,"BOM Pass to PR"))</f>
        <v/>
      </c>
      <c r="R20" s="6" t="str">
        <f>IF($AL20="","",$S20+SUMIFS('Logic &amp; Lists'!$E$4:$E$200,'Logic &amp; Lists'!$A$4:$A$200,$AK20,'Logic &amp; Lists'!$C$4:$C$200,"PR Schedule"))</f>
        <v/>
      </c>
      <c r="S20" s="6" t="str">
        <f>IF($AL20="","",$T20+SUMIFS('Logic &amp; Lists'!$E$4:$E$200,'Logic &amp; Lists'!$A$4:$A$200,$AK20,'Logic &amp; Lists'!$C$4:$C$200,"Components PO Plan"))</f>
        <v/>
      </c>
      <c r="T20" s="6" t="str">
        <f>IF($AL20="","",$U20+SUMIFS('Logic &amp; Lists'!$E$4:$E$200,'Logic &amp; Lists'!$A$4:$A$200,$AK20,'Logic &amp; Lists'!$C$4:$C$200,"Production Start"))</f>
        <v/>
      </c>
      <c r="U20" s="6" t="str">
        <f>IF($AL20="","",$W20+SUMIFS('Logic &amp; Lists'!$E$4:$E$200,'Logic &amp; Lists'!$A$4:$A$200,$AK20,'Logic &amp; Lists'!$C$4:$C$200,"Production Complete"))</f>
        <v/>
      </c>
      <c r="V20" s="6" t="str">
        <f>IF($AL20="","",$Y20+SUMIFS('Logic &amp; Lists'!$E$4:$E$200,'Logic &amp; Lists'!$A$4:$A$200,$AK20,'Logic &amp; Lists'!$C$4:$C$200,"NOI Date"))</f>
        <v/>
      </c>
      <c r="W20" s="6" t="str">
        <f>IF($AL20="","",$X20+SUMIFS('Logic &amp; Lists'!$E$4:$E$200,'Logic &amp; Lists'!$A$4:$A$200,$AK20,'Logic &amp; Lists'!$C$4:$C$200,"Internal Test Start"))</f>
        <v/>
      </c>
      <c r="X20" s="6" t="str">
        <f>IF($AL20="","",$Y20+SUMIFS('Logic &amp; Lists'!$E$4:$E$200,'Logic &amp; Lists'!$A$4:$A$200,$AK20,'Logic &amp; Lists'!$C$4:$C$200,"Internal Test Complete"))</f>
        <v/>
      </c>
      <c r="Y20" s="6" t="str">
        <f>IF($AL20="","",$AA20+SUMIFS('Logic &amp; Lists'!$E$4:$E$200,'Logic &amp; Lists'!$A$4:$A$200,$AK20,'Logic &amp; Lists'!$C$4:$C$200,"FAT Start"))</f>
        <v/>
      </c>
      <c r="Z20" s="6" t="str">
        <f>IF($AL20="","",$Y20+SUMIFS('Logic &amp; Lists'!$E$4:$E$200,'Logic &amp; Lists'!$A$4:$A$200,$AK20,'Logic &amp; Lists'!$C$4:$C$200,"FAT Complete"))</f>
        <v/>
      </c>
      <c r="AA20" s="6" t="str">
        <f>IF($AL20="","",$F20+SUMIFS('Logic &amp; Lists'!$E$4:$E$200,'Logic &amp; Lists'!$A$4:$A$200,$AK20,'Logic &amp; Lists'!$C$4:$C$200,"Delivery"))</f>
        <v/>
      </c>
      <c r="AB20" s="8"/>
      <c r="AC20" s="8"/>
      <c r="AD20" s="8"/>
      <c r="AE20" s="8"/>
      <c r="AF20" s="16"/>
      <c r="AG20" s="8"/>
      <c r="AH20" s="5" t="str">
        <f t="shared" si="0"/>
        <v/>
      </c>
      <c r="AI20" s="18" t="str">
        <f t="shared" ca="1" si="1"/>
        <v/>
      </c>
      <c r="AJ20" s="7"/>
      <c r="AK20" s="5" t="str">
        <f>IF($AL20="","",IF(COUNTIF('Logic &amp; Lists'!$A$4:$A$200,$C20)&gt;0,$C20,"Default"))</f>
        <v/>
      </c>
      <c r="AL20" t="str">
        <f>IF($A20&lt;&gt;"",$A20,IF($B20&lt;&gt;"",IFERROR(INDEX(Product_Registry!$A$2:$A$101,MATCH($B20,Product_Registry!$B$2:$B$101,0)),IFERROR(INDEX(Product_Registry!$A$2:$A$101,MATCH("*"&amp;$B20&amp;"*",Product_Registry!$B$2:$B$101,0)),"")),""))</f>
        <v/>
      </c>
      <c r="AM20" t="str">
        <f>IF($AL20="","",IFERROR(INDEX(Product_Registry!$B$2:$B$101,MATCH($AL20,Product_Registry!$A$2:$A$101,0)),""))</f>
        <v/>
      </c>
    </row>
    <row r="21" spans="1:39" x14ac:dyDescent="0.2">
      <c r="A21" s="27"/>
      <c r="B21" s="28"/>
      <c r="C21" s="20" t="str">
        <f>IF($AL21="","",IFERROR(INDEX(Product_Registry!$C$2:$C$101,MATCH($AL21,Product_Registry!$A$2:$A$101,0)),""))</f>
        <v/>
      </c>
      <c r="D21" s="21" t="str">
        <f>IF($AL21="","",IFERROR(INDEX(Product_Registry!$D$2:$D$101,MATCH($AL21,Product_Registry!$A$2:$A$101,0)),""))</f>
        <v/>
      </c>
      <c r="E21" s="17" t="str">
        <f>IF($AL21="","",IFERROR(INDEX(Product_Registry!$E$2:$E$101,MATCH($AL21,Product_Registry!$A$2:$A$101,0)),""))</f>
        <v/>
      </c>
      <c r="F21" s="17" t="str">
        <f>IF($AL21="","",IFERROR(INDEX(Product_Registry!$F$2:$F$101,MATCH($AL21,Product_Registry!$A$2:$A$101,0)),""))</f>
        <v/>
      </c>
      <c r="G21" s="21" t="str">
        <f>IF($AL21="","",IFERROR(INDEX(Product_Registry!$G$2:$G$101,MATCH($AL21,Product_Registry!$A$2:$A$101,0)),""))</f>
        <v/>
      </c>
      <c r="H21" s="21" t="str">
        <f>IF($AL21="","",IFERROR(INDEX(Product_Registry!$H$2:$H$101,MATCH($AL21,Product_Registry!$A$2:$A$101,0)),""))</f>
        <v/>
      </c>
      <c r="I21" s="21" t="str">
        <f>IF($AL21="","",IFERROR(INDEX(Product_Registry!$I$2:$I$101,MATCH($AL21,Product_Registry!$A$2:$A$101,0)),""))</f>
        <v/>
      </c>
      <c r="J21" s="21" t="str">
        <f>IF($AL21="","",IFERROR(INDEX(Product_Registry!$J$2:$J$101,MATCH($AL21,Product_Registry!$A$2:$A$101,0)),""))</f>
        <v/>
      </c>
      <c r="K21" s="21" t="str">
        <f>IF($AL21="","",IFERROR(INDEX(Product_Registry!$K$2:$K$101,MATCH($AL21,Product_Registry!$A$2:$A$101,0)),""))</f>
        <v/>
      </c>
      <c r="L21" s="21" t="str">
        <f>IF($AL21="","",IFERROR(INDEX(Product_Registry!$L$2:$L$101,MATCH($AL21,Product_Registry!$A$2:$A$101,0)),""))</f>
        <v/>
      </c>
      <c r="M21" s="21" t="str">
        <f>IF($AL21="","",IFERROR(INDEX(Product_Registry!$M$2:$M$101,MATCH($AL21,Product_Registry!$A$2:$A$101,0)),""))</f>
        <v/>
      </c>
      <c r="N21" s="6" t="str">
        <f>IF($AL21="","",$E21+SUMIFS('Logic &amp; Lists'!$E$4:$E$200,'Logic &amp; Lists'!$A$4:$A$200,$AK21,'Logic &amp; Lists'!$C$4:$C$200,"Level 1 Schedule"))</f>
        <v/>
      </c>
      <c r="O21" s="6" t="str">
        <f>IF($AL21="","",$P21+SUMIFS('Logic &amp; Lists'!$E$4:$E$200,'Logic &amp; Lists'!$A$4:$A$200,$AK21,'Logic &amp; Lists'!$C$4:$C$200,"Input Frozen"))</f>
        <v/>
      </c>
      <c r="P21" s="6" t="str">
        <f>IF($AL21="","",$Q21+SUMIFS('Logic &amp; Lists'!$E$4:$E$200,'Logic &amp; Lists'!$A$4:$A$200,$AK21,'Logic &amp; Lists'!$C$4:$C$200,"Drawing Approval"))</f>
        <v/>
      </c>
      <c r="Q21" s="6" t="str">
        <f>IF($AL21="","",$S21+SUMIFS('Logic &amp; Lists'!$E$4:$E$200,'Logic &amp; Lists'!$A$4:$A$200,$AK21,'Logic &amp; Lists'!$C$4:$C$200,"BOM Pass to PR"))</f>
        <v/>
      </c>
      <c r="R21" s="6" t="str">
        <f>IF($AL21="","",$S21+SUMIFS('Logic &amp; Lists'!$E$4:$E$200,'Logic &amp; Lists'!$A$4:$A$200,$AK21,'Logic &amp; Lists'!$C$4:$C$200,"PR Schedule"))</f>
        <v/>
      </c>
      <c r="S21" s="6" t="str">
        <f>IF($AL21="","",$T21+SUMIFS('Logic &amp; Lists'!$E$4:$E$200,'Logic &amp; Lists'!$A$4:$A$200,$AK21,'Logic &amp; Lists'!$C$4:$C$200,"Components PO Plan"))</f>
        <v/>
      </c>
      <c r="T21" s="6" t="str">
        <f>IF($AL21="","",$U21+SUMIFS('Logic &amp; Lists'!$E$4:$E$200,'Logic &amp; Lists'!$A$4:$A$200,$AK21,'Logic &amp; Lists'!$C$4:$C$200,"Production Start"))</f>
        <v/>
      </c>
      <c r="U21" s="6" t="str">
        <f>IF($AL21="","",$W21+SUMIFS('Logic &amp; Lists'!$E$4:$E$200,'Logic &amp; Lists'!$A$4:$A$200,$AK21,'Logic &amp; Lists'!$C$4:$C$200,"Production Complete"))</f>
        <v/>
      </c>
      <c r="V21" s="6" t="str">
        <f>IF($AL21="","",$Y21+SUMIFS('Logic &amp; Lists'!$E$4:$E$200,'Logic &amp; Lists'!$A$4:$A$200,$AK21,'Logic &amp; Lists'!$C$4:$C$200,"NOI Date"))</f>
        <v/>
      </c>
      <c r="W21" s="6" t="str">
        <f>IF($AL21="","",$X21+SUMIFS('Logic &amp; Lists'!$E$4:$E$200,'Logic &amp; Lists'!$A$4:$A$200,$AK21,'Logic &amp; Lists'!$C$4:$C$200,"Internal Test Start"))</f>
        <v/>
      </c>
      <c r="X21" s="6" t="str">
        <f>IF($AL21="","",$Y21+SUMIFS('Logic &amp; Lists'!$E$4:$E$200,'Logic &amp; Lists'!$A$4:$A$200,$AK21,'Logic &amp; Lists'!$C$4:$C$200,"Internal Test Complete"))</f>
        <v/>
      </c>
      <c r="Y21" s="6" t="str">
        <f>IF($AL21="","",$AA21+SUMIFS('Logic &amp; Lists'!$E$4:$E$200,'Logic &amp; Lists'!$A$4:$A$200,$AK21,'Logic &amp; Lists'!$C$4:$C$200,"FAT Start"))</f>
        <v/>
      </c>
      <c r="Z21" s="6" t="str">
        <f>IF($AL21="","",$Y21+SUMIFS('Logic &amp; Lists'!$E$4:$E$200,'Logic &amp; Lists'!$A$4:$A$200,$AK21,'Logic &amp; Lists'!$C$4:$C$200,"FAT Complete"))</f>
        <v/>
      </c>
      <c r="AA21" s="6" t="str">
        <f>IF($AL21="","",$F21+SUMIFS('Logic &amp; Lists'!$E$4:$E$200,'Logic &amp; Lists'!$A$4:$A$200,$AK21,'Logic &amp; Lists'!$C$4:$C$200,"Delivery"))</f>
        <v/>
      </c>
      <c r="AB21" s="8"/>
      <c r="AC21" s="8"/>
      <c r="AD21" s="8"/>
      <c r="AE21" s="8"/>
      <c r="AF21" s="16"/>
      <c r="AG21" s="8"/>
      <c r="AH21" s="5" t="str">
        <f t="shared" si="0"/>
        <v/>
      </c>
      <c r="AI21" s="18" t="str">
        <f t="shared" ca="1" si="1"/>
        <v/>
      </c>
      <c r="AJ21" s="7"/>
      <c r="AK21" s="5" t="str">
        <f>IF($AL21="","",IF(COUNTIF('Logic &amp; Lists'!$A$4:$A$200,$C21)&gt;0,$C21,"Default"))</f>
        <v/>
      </c>
      <c r="AL21" t="str">
        <f>IF($A21&lt;&gt;"",$A21,IF($B21&lt;&gt;"",IFERROR(INDEX(Product_Registry!$A$2:$A$101,MATCH($B21,Product_Registry!$B$2:$B$101,0)),IFERROR(INDEX(Product_Registry!$A$2:$A$101,MATCH("*"&amp;$B21&amp;"*",Product_Registry!$B$2:$B$101,0)),"")),""))</f>
        <v/>
      </c>
      <c r="AM21" t="str">
        <f>IF($AL21="","",IFERROR(INDEX(Product_Registry!$B$2:$B$101,MATCH($AL21,Product_Registry!$A$2:$A$101,0)),""))</f>
        <v/>
      </c>
    </row>
    <row r="22" spans="1:39" x14ac:dyDescent="0.2">
      <c r="A22" s="27"/>
      <c r="B22" s="28"/>
      <c r="C22" s="20" t="str">
        <f>IF($AL22="","",IFERROR(INDEX(Product_Registry!$C$2:$C$101,MATCH($AL22,Product_Registry!$A$2:$A$101,0)),""))</f>
        <v/>
      </c>
      <c r="D22" s="21" t="str">
        <f>IF($AL22="","",IFERROR(INDEX(Product_Registry!$D$2:$D$101,MATCH($AL22,Product_Registry!$A$2:$A$101,0)),""))</f>
        <v/>
      </c>
      <c r="E22" s="17" t="str">
        <f>IF($AL22="","",IFERROR(INDEX(Product_Registry!$E$2:$E$101,MATCH($AL22,Product_Registry!$A$2:$A$101,0)),""))</f>
        <v/>
      </c>
      <c r="F22" s="17" t="str">
        <f>IF($AL22="","",IFERROR(INDEX(Product_Registry!$F$2:$F$101,MATCH($AL22,Product_Registry!$A$2:$A$101,0)),""))</f>
        <v/>
      </c>
      <c r="G22" s="21" t="str">
        <f>IF($AL22="","",IFERROR(INDEX(Product_Registry!$G$2:$G$101,MATCH($AL22,Product_Registry!$A$2:$A$101,0)),""))</f>
        <v/>
      </c>
      <c r="H22" s="21" t="str">
        <f>IF($AL22="","",IFERROR(INDEX(Product_Registry!$H$2:$H$101,MATCH($AL22,Product_Registry!$A$2:$A$101,0)),""))</f>
        <v/>
      </c>
      <c r="I22" s="21" t="str">
        <f>IF($AL22="","",IFERROR(INDEX(Product_Registry!$I$2:$I$101,MATCH($AL22,Product_Registry!$A$2:$A$101,0)),""))</f>
        <v/>
      </c>
      <c r="J22" s="21" t="str">
        <f>IF($AL22="","",IFERROR(INDEX(Product_Registry!$J$2:$J$101,MATCH($AL22,Product_Registry!$A$2:$A$101,0)),""))</f>
        <v/>
      </c>
      <c r="K22" s="21" t="str">
        <f>IF($AL22="","",IFERROR(INDEX(Product_Registry!$K$2:$K$101,MATCH($AL22,Product_Registry!$A$2:$A$101,0)),""))</f>
        <v/>
      </c>
      <c r="L22" s="21" t="str">
        <f>IF($AL22="","",IFERROR(INDEX(Product_Registry!$L$2:$L$101,MATCH($AL22,Product_Registry!$A$2:$A$101,0)),""))</f>
        <v/>
      </c>
      <c r="M22" s="21" t="str">
        <f>IF($AL22="","",IFERROR(INDEX(Product_Registry!$M$2:$M$101,MATCH($AL22,Product_Registry!$A$2:$A$101,0)),""))</f>
        <v/>
      </c>
      <c r="N22" s="6" t="str">
        <f>IF($AL22="","",$E22+SUMIFS('Logic &amp; Lists'!$E$4:$E$200,'Logic &amp; Lists'!$A$4:$A$200,$AK22,'Logic &amp; Lists'!$C$4:$C$200,"Level 1 Schedule"))</f>
        <v/>
      </c>
      <c r="O22" s="6" t="str">
        <f>IF($AL22="","",$P22+SUMIFS('Logic &amp; Lists'!$E$4:$E$200,'Logic &amp; Lists'!$A$4:$A$200,$AK22,'Logic &amp; Lists'!$C$4:$C$200,"Input Frozen"))</f>
        <v/>
      </c>
      <c r="P22" s="6" t="str">
        <f>IF($AL22="","",$Q22+SUMIFS('Logic &amp; Lists'!$E$4:$E$200,'Logic &amp; Lists'!$A$4:$A$200,$AK22,'Logic &amp; Lists'!$C$4:$C$200,"Drawing Approval"))</f>
        <v/>
      </c>
      <c r="Q22" s="6" t="str">
        <f>IF($AL22="","",$S22+SUMIFS('Logic &amp; Lists'!$E$4:$E$200,'Logic &amp; Lists'!$A$4:$A$200,$AK22,'Logic &amp; Lists'!$C$4:$C$200,"BOM Pass to PR"))</f>
        <v/>
      </c>
      <c r="R22" s="6" t="str">
        <f>IF($AL22="","",$S22+SUMIFS('Logic &amp; Lists'!$E$4:$E$200,'Logic &amp; Lists'!$A$4:$A$200,$AK22,'Logic &amp; Lists'!$C$4:$C$200,"PR Schedule"))</f>
        <v/>
      </c>
      <c r="S22" s="6" t="str">
        <f>IF($AL22="","",$T22+SUMIFS('Logic &amp; Lists'!$E$4:$E$200,'Logic &amp; Lists'!$A$4:$A$200,$AK22,'Logic &amp; Lists'!$C$4:$C$200,"Components PO Plan"))</f>
        <v/>
      </c>
      <c r="T22" s="6" t="str">
        <f>IF($AL22="","",$U22+SUMIFS('Logic &amp; Lists'!$E$4:$E$200,'Logic &amp; Lists'!$A$4:$A$200,$AK22,'Logic &amp; Lists'!$C$4:$C$200,"Production Start"))</f>
        <v/>
      </c>
      <c r="U22" s="6" t="str">
        <f>IF($AL22="","",$W22+SUMIFS('Logic &amp; Lists'!$E$4:$E$200,'Logic &amp; Lists'!$A$4:$A$200,$AK22,'Logic &amp; Lists'!$C$4:$C$200,"Production Complete"))</f>
        <v/>
      </c>
      <c r="V22" s="6" t="str">
        <f>IF($AL22="","",$Y22+SUMIFS('Logic &amp; Lists'!$E$4:$E$200,'Logic &amp; Lists'!$A$4:$A$200,$AK22,'Logic &amp; Lists'!$C$4:$C$200,"NOI Date"))</f>
        <v/>
      </c>
      <c r="W22" s="6" t="str">
        <f>IF($AL22="","",$X22+SUMIFS('Logic &amp; Lists'!$E$4:$E$200,'Logic &amp; Lists'!$A$4:$A$200,$AK22,'Logic &amp; Lists'!$C$4:$C$200,"Internal Test Start"))</f>
        <v/>
      </c>
      <c r="X22" s="6" t="str">
        <f>IF($AL22="","",$Y22+SUMIFS('Logic &amp; Lists'!$E$4:$E$200,'Logic &amp; Lists'!$A$4:$A$200,$AK22,'Logic &amp; Lists'!$C$4:$C$200,"Internal Test Complete"))</f>
        <v/>
      </c>
      <c r="Y22" s="6" t="str">
        <f>IF($AL22="","",$AA22+SUMIFS('Logic &amp; Lists'!$E$4:$E$200,'Logic &amp; Lists'!$A$4:$A$200,$AK22,'Logic &amp; Lists'!$C$4:$C$200,"FAT Start"))</f>
        <v/>
      </c>
      <c r="Z22" s="6" t="str">
        <f>IF($AL22="","",$Y22+SUMIFS('Logic &amp; Lists'!$E$4:$E$200,'Logic &amp; Lists'!$A$4:$A$200,$AK22,'Logic &amp; Lists'!$C$4:$C$200,"FAT Complete"))</f>
        <v/>
      </c>
      <c r="AA22" s="6" t="str">
        <f>IF($AL22="","",$F22+SUMIFS('Logic &amp; Lists'!$E$4:$E$200,'Logic &amp; Lists'!$A$4:$A$200,$AK22,'Logic &amp; Lists'!$C$4:$C$200,"Delivery"))</f>
        <v/>
      </c>
      <c r="AB22" s="8"/>
      <c r="AC22" s="8"/>
      <c r="AD22" s="8"/>
      <c r="AE22" s="8"/>
      <c r="AF22" s="16"/>
      <c r="AG22" s="8"/>
      <c r="AH22" s="5" t="str">
        <f t="shared" si="0"/>
        <v/>
      </c>
      <c r="AI22" s="18" t="str">
        <f t="shared" ca="1" si="1"/>
        <v/>
      </c>
      <c r="AJ22" s="7"/>
      <c r="AK22" s="5" t="str">
        <f>IF($AL22="","",IF(COUNTIF('Logic &amp; Lists'!$A$4:$A$200,$C22)&gt;0,$C22,"Default"))</f>
        <v/>
      </c>
      <c r="AL22" t="str">
        <f>IF($A22&lt;&gt;"",$A22,IF($B22&lt;&gt;"",IFERROR(INDEX(Product_Registry!$A$2:$A$101,MATCH($B22,Product_Registry!$B$2:$B$101,0)),IFERROR(INDEX(Product_Registry!$A$2:$A$101,MATCH("*"&amp;$B22&amp;"*",Product_Registry!$B$2:$B$101,0)),"")),""))</f>
        <v/>
      </c>
      <c r="AM22" t="str">
        <f>IF($AL22="","",IFERROR(INDEX(Product_Registry!$B$2:$B$101,MATCH($AL22,Product_Registry!$A$2:$A$101,0)),""))</f>
        <v/>
      </c>
    </row>
    <row r="23" spans="1:39" x14ac:dyDescent="0.2">
      <c r="A23" s="27"/>
      <c r="B23" s="28"/>
      <c r="C23" s="20" t="str">
        <f>IF($AL23="","",IFERROR(INDEX(Product_Registry!$C$2:$C$101,MATCH($AL23,Product_Registry!$A$2:$A$101,0)),""))</f>
        <v/>
      </c>
      <c r="D23" s="21" t="str">
        <f>IF($AL23="","",IFERROR(INDEX(Product_Registry!$D$2:$D$101,MATCH($AL23,Product_Registry!$A$2:$A$101,0)),""))</f>
        <v/>
      </c>
      <c r="E23" s="17" t="str">
        <f>IF($AL23="","",IFERROR(INDEX(Product_Registry!$E$2:$E$101,MATCH($AL23,Product_Registry!$A$2:$A$101,0)),""))</f>
        <v/>
      </c>
      <c r="F23" s="17" t="str">
        <f>IF($AL23="","",IFERROR(INDEX(Product_Registry!$F$2:$F$101,MATCH($AL23,Product_Registry!$A$2:$A$101,0)),""))</f>
        <v/>
      </c>
      <c r="G23" s="21" t="str">
        <f>IF($AL23="","",IFERROR(INDEX(Product_Registry!$G$2:$G$101,MATCH($AL23,Product_Registry!$A$2:$A$101,0)),""))</f>
        <v/>
      </c>
      <c r="H23" s="21" t="str">
        <f>IF($AL23="","",IFERROR(INDEX(Product_Registry!$H$2:$H$101,MATCH($AL23,Product_Registry!$A$2:$A$101,0)),""))</f>
        <v/>
      </c>
      <c r="I23" s="21" t="str">
        <f>IF($AL23="","",IFERROR(INDEX(Product_Registry!$I$2:$I$101,MATCH($AL23,Product_Registry!$A$2:$A$101,0)),""))</f>
        <v/>
      </c>
      <c r="J23" s="21" t="str">
        <f>IF($AL23="","",IFERROR(INDEX(Product_Registry!$J$2:$J$101,MATCH($AL23,Product_Registry!$A$2:$A$101,0)),""))</f>
        <v/>
      </c>
      <c r="K23" s="21" t="str">
        <f>IF($AL23="","",IFERROR(INDEX(Product_Registry!$K$2:$K$101,MATCH($AL23,Product_Registry!$A$2:$A$101,0)),""))</f>
        <v/>
      </c>
      <c r="L23" s="21" t="str">
        <f>IF($AL23="","",IFERROR(INDEX(Product_Registry!$L$2:$L$101,MATCH($AL23,Product_Registry!$A$2:$A$101,0)),""))</f>
        <v/>
      </c>
      <c r="M23" s="21" t="str">
        <f>IF($AL23="","",IFERROR(INDEX(Product_Registry!$M$2:$M$101,MATCH($AL23,Product_Registry!$A$2:$A$101,0)),""))</f>
        <v/>
      </c>
      <c r="N23" s="6" t="str">
        <f>IF($AL23="","",$E23+SUMIFS('Logic &amp; Lists'!$E$4:$E$200,'Logic &amp; Lists'!$A$4:$A$200,$AK23,'Logic &amp; Lists'!$C$4:$C$200,"Level 1 Schedule"))</f>
        <v/>
      </c>
      <c r="O23" s="6" t="str">
        <f>IF($AL23="","",$P23+SUMIFS('Logic &amp; Lists'!$E$4:$E$200,'Logic &amp; Lists'!$A$4:$A$200,$AK23,'Logic &amp; Lists'!$C$4:$C$200,"Input Frozen"))</f>
        <v/>
      </c>
      <c r="P23" s="6" t="str">
        <f>IF($AL23="","",$Q23+SUMIFS('Logic &amp; Lists'!$E$4:$E$200,'Logic &amp; Lists'!$A$4:$A$200,$AK23,'Logic &amp; Lists'!$C$4:$C$200,"Drawing Approval"))</f>
        <v/>
      </c>
      <c r="Q23" s="6" t="str">
        <f>IF($AL23="","",$S23+SUMIFS('Logic &amp; Lists'!$E$4:$E$200,'Logic &amp; Lists'!$A$4:$A$200,$AK23,'Logic &amp; Lists'!$C$4:$C$200,"BOM Pass to PR"))</f>
        <v/>
      </c>
      <c r="R23" s="6" t="str">
        <f>IF($AL23="","",$S23+SUMIFS('Logic &amp; Lists'!$E$4:$E$200,'Logic &amp; Lists'!$A$4:$A$200,$AK23,'Logic &amp; Lists'!$C$4:$C$200,"PR Schedule"))</f>
        <v/>
      </c>
      <c r="S23" s="6" t="str">
        <f>IF($AL23="","",$T23+SUMIFS('Logic &amp; Lists'!$E$4:$E$200,'Logic &amp; Lists'!$A$4:$A$200,$AK23,'Logic &amp; Lists'!$C$4:$C$200,"Components PO Plan"))</f>
        <v/>
      </c>
      <c r="T23" s="6" t="str">
        <f>IF($AL23="","",$U23+SUMIFS('Logic &amp; Lists'!$E$4:$E$200,'Logic &amp; Lists'!$A$4:$A$200,$AK23,'Logic &amp; Lists'!$C$4:$C$200,"Production Start"))</f>
        <v/>
      </c>
      <c r="U23" s="6" t="str">
        <f>IF($AL23="","",$W23+SUMIFS('Logic &amp; Lists'!$E$4:$E$200,'Logic &amp; Lists'!$A$4:$A$200,$AK23,'Logic &amp; Lists'!$C$4:$C$200,"Production Complete"))</f>
        <v/>
      </c>
      <c r="V23" s="6" t="str">
        <f>IF($AL23="","",$Y23+SUMIFS('Logic &amp; Lists'!$E$4:$E$200,'Logic &amp; Lists'!$A$4:$A$200,$AK23,'Logic &amp; Lists'!$C$4:$C$200,"NOI Date"))</f>
        <v/>
      </c>
      <c r="W23" s="6" t="str">
        <f>IF($AL23="","",$X23+SUMIFS('Logic &amp; Lists'!$E$4:$E$200,'Logic &amp; Lists'!$A$4:$A$200,$AK23,'Logic &amp; Lists'!$C$4:$C$200,"Internal Test Start"))</f>
        <v/>
      </c>
      <c r="X23" s="6" t="str">
        <f>IF($AL23="","",$Y23+SUMIFS('Logic &amp; Lists'!$E$4:$E$200,'Logic &amp; Lists'!$A$4:$A$200,$AK23,'Logic &amp; Lists'!$C$4:$C$200,"Internal Test Complete"))</f>
        <v/>
      </c>
      <c r="Y23" s="6" t="str">
        <f>IF($AL23="","",$AA23+SUMIFS('Logic &amp; Lists'!$E$4:$E$200,'Logic &amp; Lists'!$A$4:$A$200,$AK23,'Logic &amp; Lists'!$C$4:$C$200,"FAT Start"))</f>
        <v/>
      </c>
      <c r="Z23" s="6" t="str">
        <f>IF($AL23="","",$Y23+SUMIFS('Logic &amp; Lists'!$E$4:$E$200,'Logic &amp; Lists'!$A$4:$A$200,$AK23,'Logic &amp; Lists'!$C$4:$C$200,"FAT Complete"))</f>
        <v/>
      </c>
      <c r="AA23" s="6" t="str">
        <f>IF($AL23="","",$F23+SUMIFS('Logic &amp; Lists'!$E$4:$E$200,'Logic &amp; Lists'!$A$4:$A$200,$AK23,'Logic &amp; Lists'!$C$4:$C$200,"Delivery"))</f>
        <v/>
      </c>
      <c r="AB23" s="8"/>
      <c r="AC23" s="8"/>
      <c r="AD23" s="8"/>
      <c r="AE23" s="8"/>
      <c r="AF23" s="16"/>
      <c r="AG23" s="8"/>
      <c r="AH23" s="5" t="str">
        <f t="shared" si="0"/>
        <v/>
      </c>
      <c r="AI23" s="18" t="str">
        <f t="shared" ca="1" si="1"/>
        <v/>
      </c>
      <c r="AJ23" s="7"/>
      <c r="AK23" s="5" t="str">
        <f>IF($AL23="","",IF(COUNTIF('Logic &amp; Lists'!$A$4:$A$200,$C23)&gt;0,$C23,"Default"))</f>
        <v/>
      </c>
      <c r="AL23" t="str">
        <f>IF($A23&lt;&gt;"",$A23,IF($B23&lt;&gt;"",IFERROR(INDEX(Product_Registry!$A$2:$A$101,MATCH($B23,Product_Registry!$B$2:$B$101,0)),IFERROR(INDEX(Product_Registry!$A$2:$A$101,MATCH("*"&amp;$B23&amp;"*",Product_Registry!$B$2:$B$101,0)),"")),""))</f>
        <v/>
      </c>
      <c r="AM23" t="str">
        <f>IF($AL23="","",IFERROR(INDEX(Product_Registry!$B$2:$B$101,MATCH($AL23,Product_Registry!$A$2:$A$101,0)),""))</f>
        <v/>
      </c>
    </row>
    <row r="24" spans="1:39" x14ac:dyDescent="0.2">
      <c r="A24" s="27"/>
      <c r="B24" s="28"/>
      <c r="C24" s="20" t="str">
        <f>IF($AL24="","",IFERROR(INDEX(Product_Registry!$C$2:$C$101,MATCH($AL24,Product_Registry!$A$2:$A$101,0)),""))</f>
        <v/>
      </c>
      <c r="D24" s="21" t="str">
        <f>IF($AL24="","",IFERROR(INDEX(Product_Registry!$D$2:$D$101,MATCH($AL24,Product_Registry!$A$2:$A$101,0)),""))</f>
        <v/>
      </c>
      <c r="E24" s="17" t="str">
        <f>IF($AL24="","",IFERROR(INDEX(Product_Registry!$E$2:$E$101,MATCH($AL24,Product_Registry!$A$2:$A$101,0)),""))</f>
        <v/>
      </c>
      <c r="F24" s="17" t="str">
        <f>IF($AL24="","",IFERROR(INDEX(Product_Registry!$F$2:$F$101,MATCH($AL24,Product_Registry!$A$2:$A$101,0)),""))</f>
        <v/>
      </c>
      <c r="G24" s="21" t="str">
        <f>IF($AL24="","",IFERROR(INDEX(Product_Registry!$G$2:$G$101,MATCH($AL24,Product_Registry!$A$2:$A$101,0)),""))</f>
        <v/>
      </c>
      <c r="H24" s="21" t="str">
        <f>IF($AL24="","",IFERROR(INDEX(Product_Registry!$H$2:$H$101,MATCH($AL24,Product_Registry!$A$2:$A$101,0)),""))</f>
        <v/>
      </c>
      <c r="I24" s="21" t="str">
        <f>IF($AL24="","",IFERROR(INDEX(Product_Registry!$I$2:$I$101,MATCH($AL24,Product_Registry!$A$2:$A$101,0)),""))</f>
        <v/>
      </c>
      <c r="J24" s="21" t="str">
        <f>IF($AL24="","",IFERROR(INDEX(Product_Registry!$J$2:$J$101,MATCH($AL24,Product_Registry!$A$2:$A$101,0)),""))</f>
        <v/>
      </c>
      <c r="K24" s="21" t="str">
        <f>IF($AL24="","",IFERROR(INDEX(Product_Registry!$K$2:$K$101,MATCH($AL24,Product_Registry!$A$2:$A$101,0)),""))</f>
        <v/>
      </c>
      <c r="L24" s="21" t="str">
        <f>IF($AL24="","",IFERROR(INDEX(Product_Registry!$L$2:$L$101,MATCH($AL24,Product_Registry!$A$2:$A$101,0)),""))</f>
        <v/>
      </c>
      <c r="M24" s="21" t="str">
        <f>IF($AL24="","",IFERROR(INDEX(Product_Registry!$M$2:$M$101,MATCH($AL24,Product_Registry!$A$2:$A$101,0)),""))</f>
        <v/>
      </c>
      <c r="N24" s="6" t="str">
        <f>IF($AL24="","",$E24+SUMIFS('Logic &amp; Lists'!$E$4:$E$200,'Logic &amp; Lists'!$A$4:$A$200,$AK24,'Logic &amp; Lists'!$C$4:$C$200,"Level 1 Schedule"))</f>
        <v/>
      </c>
      <c r="O24" s="6" t="str">
        <f>IF($AL24="","",$P24+SUMIFS('Logic &amp; Lists'!$E$4:$E$200,'Logic &amp; Lists'!$A$4:$A$200,$AK24,'Logic &amp; Lists'!$C$4:$C$200,"Input Frozen"))</f>
        <v/>
      </c>
      <c r="P24" s="6" t="str">
        <f>IF($AL24="","",$Q24+SUMIFS('Logic &amp; Lists'!$E$4:$E$200,'Logic &amp; Lists'!$A$4:$A$200,$AK24,'Logic &amp; Lists'!$C$4:$C$200,"Drawing Approval"))</f>
        <v/>
      </c>
      <c r="Q24" s="6" t="str">
        <f>IF($AL24="","",$S24+SUMIFS('Logic &amp; Lists'!$E$4:$E$200,'Logic &amp; Lists'!$A$4:$A$200,$AK24,'Logic &amp; Lists'!$C$4:$C$200,"BOM Pass to PR"))</f>
        <v/>
      </c>
      <c r="R24" s="6" t="str">
        <f>IF($AL24="","",$S24+SUMIFS('Logic &amp; Lists'!$E$4:$E$200,'Logic &amp; Lists'!$A$4:$A$200,$AK24,'Logic &amp; Lists'!$C$4:$C$200,"PR Schedule"))</f>
        <v/>
      </c>
      <c r="S24" s="6" t="str">
        <f>IF($AL24="","",$T24+SUMIFS('Logic &amp; Lists'!$E$4:$E$200,'Logic &amp; Lists'!$A$4:$A$200,$AK24,'Logic &amp; Lists'!$C$4:$C$200,"Components PO Plan"))</f>
        <v/>
      </c>
      <c r="T24" s="6" t="str">
        <f>IF($AL24="","",$U24+SUMIFS('Logic &amp; Lists'!$E$4:$E$200,'Logic &amp; Lists'!$A$4:$A$200,$AK24,'Logic &amp; Lists'!$C$4:$C$200,"Production Start"))</f>
        <v/>
      </c>
      <c r="U24" s="6" t="str">
        <f>IF($AL24="","",$W24+SUMIFS('Logic &amp; Lists'!$E$4:$E$200,'Logic &amp; Lists'!$A$4:$A$200,$AK24,'Logic &amp; Lists'!$C$4:$C$200,"Production Complete"))</f>
        <v/>
      </c>
      <c r="V24" s="6" t="str">
        <f>IF($AL24="","",$Y24+SUMIFS('Logic &amp; Lists'!$E$4:$E$200,'Logic &amp; Lists'!$A$4:$A$200,$AK24,'Logic &amp; Lists'!$C$4:$C$200,"NOI Date"))</f>
        <v/>
      </c>
      <c r="W24" s="6" t="str">
        <f>IF($AL24="","",$X24+SUMIFS('Logic &amp; Lists'!$E$4:$E$200,'Logic &amp; Lists'!$A$4:$A$200,$AK24,'Logic &amp; Lists'!$C$4:$C$200,"Internal Test Start"))</f>
        <v/>
      </c>
      <c r="X24" s="6" t="str">
        <f>IF($AL24="","",$Y24+SUMIFS('Logic &amp; Lists'!$E$4:$E$200,'Logic &amp; Lists'!$A$4:$A$200,$AK24,'Logic &amp; Lists'!$C$4:$C$200,"Internal Test Complete"))</f>
        <v/>
      </c>
      <c r="Y24" s="6" t="str">
        <f>IF($AL24="","",$AA24+SUMIFS('Logic &amp; Lists'!$E$4:$E$200,'Logic &amp; Lists'!$A$4:$A$200,$AK24,'Logic &amp; Lists'!$C$4:$C$200,"FAT Start"))</f>
        <v/>
      </c>
      <c r="Z24" s="6" t="str">
        <f>IF($AL24="","",$Y24+SUMIFS('Logic &amp; Lists'!$E$4:$E$200,'Logic &amp; Lists'!$A$4:$A$200,$AK24,'Logic &amp; Lists'!$C$4:$C$200,"FAT Complete"))</f>
        <v/>
      </c>
      <c r="AA24" s="6" t="str">
        <f>IF($AL24="","",$F24+SUMIFS('Logic &amp; Lists'!$E$4:$E$200,'Logic &amp; Lists'!$A$4:$A$200,$AK24,'Logic &amp; Lists'!$C$4:$C$200,"Delivery"))</f>
        <v/>
      </c>
      <c r="AB24" s="8"/>
      <c r="AC24" s="8"/>
      <c r="AD24" s="8"/>
      <c r="AE24" s="8"/>
      <c r="AF24" s="16"/>
      <c r="AG24" s="8"/>
      <c r="AH24" s="5" t="str">
        <f t="shared" si="0"/>
        <v/>
      </c>
      <c r="AI24" s="18" t="str">
        <f t="shared" ca="1" si="1"/>
        <v/>
      </c>
      <c r="AJ24" s="7"/>
      <c r="AK24" s="5" t="str">
        <f>IF($AL24="","",IF(COUNTIF('Logic &amp; Lists'!$A$4:$A$200,$C24)&gt;0,$C24,"Default"))</f>
        <v/>
      </c>
      <c r="AL24" t="str">
        <f>IF($A24&lt;&gt;"",$A24,IF($B24&lt;&gt;"",IFERROR(INDEX(Product_Registry!$A$2:$A$101,MATCH($B24,Product_Registry!$B$2:$B$101,0)),IFERROR(INDEX(Product_Registry!$A$2:$A$101,MATCH("*"&amp;$B24&amp;"*",Product_Registry!$B$2:$B$101,0)),"")),""))</f>
        <v/>
      </c>
      <c r="AM24" t="str">
        <f>IF($AL24="","",IFERROR(INDEX(Product_Registry!$B$2:$B$101,MATCH($AL24,Product_Registry!$A$2:$A$101,0)),""))</f>
        <v/>
      </c>
    </row>
    <row r="25" spans="1:39" x14ac:dyDescent="0.2">
      <c r="A25" s="27"/>
      <c r="B25" s="28"/>
      <c r="C25" s="20" t="str">
        <f>IF($AL25="","",IFERROR(INDEX(Product_Registry!$C$2:$C$101,MATCH($AL25,Product_Registry!$A$2:$A$101,0)),""))</f>
        <v/>
      </c>
      <c r="D25" s="21" t="str">
        <f>IF($AL25="","",IFERROR(INDEX(Product_Registry!$D$2:$D$101,MATCH($AL25,Product_Registry!$A$2:$A$101,0)),""))</f>
        <v/>
      </c>
      <c r="E25" s="17" t="str">
        <f>IF($AL25="","",IFERROR(INDEX(Product_Registry!$E$2:$E$101,MATCH($AL25,Product_Registry!$A$2:$A$101,0)),""))</f>
        <v/>
      </c>
      <c r="F25" s="17" t="str">
        <f>IF($AL25="","",IFERROR(INDEX(Product_Registry!$F$2:$F$101,MATCH($AL25,Product_Registry!$A$2:$A$101,0)),""))</f>
        <v/>
      </c>
      <c r="G25" s="21" t="str">
        <f>IF($AL25="","",IFERROR(INDEX(Product_Registry!$G$2:$G$101,MATCH($AL25,Product_Registry!$A$2:$A$101,0)),""))</f>
        <v/>
      </c>
      <c r="H25" s="21" t="str">
        <f>IF($AL25="","",IFERROR(INDEX(Product_Registry!$H$2:$H$101,MATCH($AL25,Product_Registry!$A$2:$A$101,0)),""))</f>
        <v/>
      </c>
      <c r="I25" s="21" t="str">
        <f>IF($AL25="","",IFERROR(INDEX(Product_Registry!$I$2:$I$101,MATCH($AL25,Product_Registry!$A$2:$A$101,0)),""))</f>
        <v/>
      </c>
      <c r="J25" s="21" t="str">
        <f>IF($AL25="","",IFERROR(INDEX(Product_Registry!$J$2:$J$101,MATCH($AL25,Product_Registry!$A$2:$A$101,0)),""))</f>
        <v/>
      </c>
      <c r="K25" s="21" t="str">
        <f>IF($AL25="","",IFERROR(INDEX(Product_Registry!$K$2:$K$101,MATCH($AL25,Product_Registry!$A$2:$A$101,0)),""))</f>
        <v/>
      </c>
      <c r="L25" s="21" t="str">
        <f>IF($AL25="","",IFERROR(INDEX(Product_Registry!$L$2:$L$101,MATCH($AL25,Product_Registry!$A$2:$A$101,0)),""))</f>
        <v/>
      </c>
      <c r="M25" s="21" t="str">
        <f>IF($AL25="","",IFERROR(INDEX(Product_Registry!$M$2:$M$101,MATCH($AL25,Product_Registry!$A$2:$A$101,0)),""))</f>
        <v/>
      </c>
      <c r="N25" s="6" t="str">
        <f>IF($AL25="","",$E25+SUMIFS('Logic &amp; Lists'!$E$4:$E$200,'Logic &amp; Lists'!$A$4:$A$200,$AK25,'Logic &amp; Lists'!$C$4:$C$200,"Level 1 Schedule"))</f>
        <v/>
      </c>
      <c r="O25" s="6" t="str">
        <f>IF($AL25="","",$P25+SUMIFS('Logic &amp; Lists'!$E$4:$E$200,'Logic &amp; Lists'!$A$4:$A$200,$AK25,'Logic &amp; Lists'!$C$4:$C$200,"Input Frozen"))</f>
        <v/>
      </c>
      <c r="P25" s="6" t="str">
        <f>IF($AL25="","",$Q25+SUMIFS('Logic &amp; Lists'!$E$4:$E$200,'Logic &amp; Lists'!$A$4:$A$200,$AK25,'Logic &amp; Lists'!$C$4:$C$200,"Drawing Approval"))</f>
        <v/>
      </c>
      <c r="Q25" s="6" t="str">
        <f>IF($AL25="","",$S25+SUMIFS('Logic &amp; Lists'!$E$4:$E$200,'Logic &amp; Lists'!$A$4:$A$200,$AK25,'Logic &amp; Lists'!$C$4:$C$200,"BOM Pass to PR"))</f>
        <v/>
      </c>
      <c r="R25" s="6" t="str">
        <f>IF($AL25="","",$S25+SUMIFS('Logic &amp; Lists'!$E$4:$E$200,'Logic &amp; Lists'!$A$4:$A$200,$AK25,'Logic &amp; Lists'!$C$4:$C$200,"PR Schedule"))</f>
        <v/>
      </c>
      <c r="S25" s="6" t="str">
        <f>IF($AL25="","",$T25+SUMIFS('Logic &amp; Lists'!$E$4:$E$200,'Logic &amp; Lists'!$A$4:$A$200,$AK25,'Logic &amp; Lists'!$C$4:$C$200,"Components PO Plan"))</f>
        <v/>
      </c>
      <c r="T25" s="6" t="str">
        <f>IF($AL25="","",$U25+SUMIFS('Logic &amp; Lists'!$E$4:$E$200,'Logic &amp; Lists'!$A$4:$A$200,$AK25,'Logic &amp; Lists'!$C$4:$C$200,"Production Start"))</f>
        <v/>
      </c>
      <c r="U25" s="6" t="str">
        <f>IF($AL25="","",$W25+SUMIFS('Logic &amp; Lists'!$E$4:$E$200,'Logic &amp; Lists'!$A$4:$A$200,$AK25,'Logic &amp; Lists'!$C$4:$C$200,"Production Complete"))</f>
        <v/>
      </c>
      <c r="V25" s="6" t="str">
        <f>IF($AL25="","",$Y25+SUMIFS('Logic &amp; Lists'!$E$4:$E$200,'Logic &amp; Lists'!$A$4:$A$200,$AK25,'Logic &amp; Lists'!$C$4:$C$200,"NOI Date"))</f>
        <v/>
      </c>
      <c r="W25" s="6" t="str">
        <f>IF($AL25="","",$X25+SUMIFS('Logic &amp; Lists'!$E$4:$E$200,'Logic &amp; Lists'!$A$4:$A$200,$AK25,'Logic &amp; Lists'!$C$4:$C$200,"Internal Test Start"))</f>
        <v/>
      </c>
      <c r="X25" s="6" t="str">
        <f>IF($AL25="","",$Y25+SUMIFS('Logic &amp; Lists'!$E$4:$E$200,'Logic &amp; Lists'!$A$4:$A$200,$AK25,'Logic &amp; Lists'!$C$4:$C$200,"Internal Test Complete"))</f>
        <v/>
      </c>
      <c r="Y25" s="6" t="str">
        <f>IF($AL25="","",$AA25+SUMIFS('Logic &amp; Lists'!$E$4:$E$200,'Logic &amp; Lists'!$A$4:$A$200,$AK25,'Logic &amp; Lists'!$C$4:$C$200,"FAT Start"))</f>
        <v/>
      </c>
      <c r="Z25" s="6" t="str">
        <f>IF($AL25="","",$Y25+SUMIFS('Logic &amp; Lists'!$E$4:$E$200,'Logic &amp; Lists'!$A$4:$A$200,$AK25,'Logic &amp; Lists'!$C$4:$C$200,"FAT Complete"))</f>
        <v/>
      </c>
      <c r="AA25" s="6" t="str">
        <f>IF($AL25="","",$F25+SUMIFS('Logic &amp; Lists'!$E$4:$E$200,'Logic &amp; Lists'!$A$4:$A$200,$AK25,'Logic &amp; Lists'!$C$4:$C$200,"Delivery"))</f>
        <v/>
      </c>
      <c r="AB25" s="8"/>
      <c r="AC25" s="8"/>
      <c r="AD25" s="8"/>
      <c r="AE25" s="8"/>
      <c r="AF25" s="16"/>
      <c r="AG25" s="8"/>
      <c r="AH25" s="5" t="str">
        <f t="shared" si="0"/>
        <v/>
      </c>
      <c r="AI25" s="18" t="str">
        <f t="shared" ca="1" si="1"/>
        <v/>
      </c>
      <c r="AJ25" s="7"/>
      <c r="AK25" s="5" t="str">
        <f>IF($AL25="","",IF(COUNTIF('Logic &amp; Lists'!$A$4:$A$200,$C25)&gt;0,$C25,"Default"))</f>
        <v/>
      </c>
      <c r="AL25" t="str">
        <f>IF($A25&lt;&gt;"",$A25,IF($B25&lt;&gt;"",IFERROR(INDEX(Product_Registry!$A$2:$A$101,MATCH($B25,Product_Registry!$B$2:$B$101,0)),IFERROR(INDEX(Product_Registry!$A$2:$A$101,MATCH("*"&amp;$B25&amp;"*",Product_Registry!$B$2:$B$101,0)),"")),""))</f>
        <v/>
      </c>
      <c r="AM25" t="str">
        <f>IF($AL25="","",IFERROR(INDEX(Product_Registry!$B$2:$B$101,MATCH($AL25,Product_Registry!$A$2:$A$101,0)),""))</f>
        <v/>
      </c>
    </row>
    <row r="26" spans="1:39" x14ac:dyDescent="0.2">
      <c r="A26" s="27"/>
      <c r="B26" s="28"/>
      <c r="C26" s="20" t="str">
        <f>IF($AL26="","",IFERROR(INDEX(Product_Registry!$C$2:$C$101,MATCH($AL26,Product_Registry!$A$2:$A$101,0)),""))</f>
        <v/>
      </c>
      <c r="D26" s="21" t="str">
        <f>IF($AL26="","",IFERROR(INDEX(Product_Registry!$D$2:$D$101,MATCH($AL26,Product_Registry!$A$2:$A$101,0)),""))</f>
        <v/>
      </c>
      <c r="E26" s="17" t="str">
        <f>IF($AL26="","",IFERROR(INDEX(Product_Registry!$E$2:$E$101,MATCH($AL26,Product_Registry!$A$2:$A$101,0)),""))</f>
        <v/>
      </c>
      <c r="F26" s="17" t="str">
        <f>IF($AL26="","",IFERROR(INDEX(Product_Registry!$F$2:$F$101,MATCH($AL26,Product_Registry!$A$2:$A$101,0)),""))</f>
        <v/>
      </c>
      <c r="G26" s="21" t="str">
        <f>IF($AL26="","",IFERROR(INDEX(Product_Registry!$G$2:$G$101,MATCH($AL26,Product_Registry!$A$2:$A$101,0)),""))</f>
        <v/>
      </c>
      <c r="H26" s="21" t="str">
        <f>IF($AL26="","",IFERROR(INDEX(Product_Registry!$H$2:$H$101,MATCH($AL26,Product_Registry!$A$2:$A$101,0)),""))</f>
        <v/>
      </c>
      <c r="I26" s="21" t="str">
        <f>IF($AL26="","",IFERROR(INDEX(Product_Registry!$I$2:$I$101,MATCH($AL26,Product_Registry!$A$2:$A$101,0)),""))</f>
        <v/>
      </c>
      <c r="J26" s="21" t="str">
        <f>IF($AL26="","",IFERROR(INDEX(Product_Registry!$J$2:$J$101,MATCH($AL26,Product_Registry!$A$2:$A$101,0)),""))</f>
        <v/>
      </c>
      <c r="K26" s="21" t="str">
        <f>IF($AL26="","",IFERROR(INDEX(Product_Registry!$K$2:$K$101,MATCH($AL26,Product_Registry!$A$2:$A$101,0)),""))</f>
        <v/>
      </c>
      <c r="L26" s="21" t="str">
        <f>IF($AL26="","",IFERROR(INDEX(Product_Registry!$L$2:$L$101,MATCH($AL26,Product_Registry!$A$2:$A$101,0)),""))</f>
        <v/>
      </c>
      <c r="M26" s="21" t="str">
        <f>IF($AL26="","",IFERROR(INDEX(Product_Registry!$M$2:$M$101,MATCH($AL26,Product_Registry!$A$2:$A$101,0)),""))</f>
        <v/>
      </c>
      <c r="N26" s="6" t="str">
        <f>IF($AL26="","",$E26+SUMIFS('Logic &amp; Lists'!$E$4:$E$200,'Logic &amp; Lists'!$A$4:$A$200,$AK26,'Logic &amp; Lists'!$C$4:$C$200,"Level 1 Schedule"))</f>
        <v/>
      </c>
      <c r="O26" s="6" t="str">
        <f>IF($AL26="","",$P26+SUMIFS('Logic &amp; Lists'!$E$4:$E$200,'Logic &amp; Lists'!$A$4:$A$200,$AK26,'Logic &amp; Lists'!$C$4:$C$200,"Input Frozen"))</f>
        <v/>
      </c>
      <c r="P26" s="6" t="str">
        <f>IF($AL26="","",$Q26+SUMIFS('Logic &amp; Lists'!$E$4:$E$200,'Logic &amp; Lists'!$A$4:$A$200,$AK26,'Logic &amp; Lists'!$C$4:$C$200,"Drawing Approval"))</f>
        <v/>
      </c>
      <c r="Q26" s="6" t="str">
        <f>IF($AL26="","",$S26+SUMIFS('Logic &amp; Lists'!$E$4:$E$200,'Logic &amp; Lists'!$A$4:$A$200,$AK26,'Logic &amp; Lists'!$C$4:$C$200,"BOM Pass to PR"))</f>
        <v/>
      </c>
      <c r="R26" s="6" t="str">
        <f>IF($AL26="","",$S26+SUMIFS('Logic &amp; Lists'!$E$4:$E$200,'Logic &amp; Lists'!$A$4:$A$200,$AK26,'Logic &amp; Lists'!$C$4:$C$200,"PR Schedule"))</f>
        <v/>
      </c>
      <c r="S26" s="6" t="str">
        <f>IF($AL26="","",$T26+SUMIFS('Logic &amp; Lists'!$E$4:$E$200,'Logic &amp; Lists'!$A$4:$A$200,$AK26,'Logic &amp; Lists'!$C$4:$C$200,"Components PO Plan"))</f>
        <v/>
      </c>
      <c r="T26" s="6" t="str">
        <f>IF($AL26="","",$U26+SUMIFS('Logic &amp; Lists'!$E$4:$E$200,'Logic &amp; Lists'!$A$4:$A$200,$AK26,'Logic &amp; Lists'!$C$4:$C$200,"Production Start"))</f>
        <v/>
      </c>
      <c r="U26" s="6" t="str">
        <f>IF($AL26="","",$W26+SUMIFS('Logic &amp; Lists'!$E$4:$E$200,'Logic &amp; Lists'!$A$4:$A$200,$AK26,'Logic &amp; Lists'!$C$4:$C$200,"Production Complete"))</f>
        <v/>
      </c>
      <c r="V26" s="6" t="str">
        <f>IF($AL26="","",$Y26+SUMIFS('Logic &amp; Lists'!$E$4:$E$200,'Logic &amp; Lists'!$A$4:$A$200,$AK26,'Logic &amp; Lists'!$C$4:$C$200,"NOI Date"))</f>
        <v/>
      </c>
      <c r="W26" s="6" t="str">
        <f>IF($AL26="","",$X26+SUMIFS('Logic &amp; Lists'!$E$4:$E$200,'Logic &amp; Lists'!$A$4:$A$200,$AK26,'Logic &amp; Lists'!$C$4:$C$200,"Internal Test Start"))</f>
        <v/>
      </c>
      <c r="X26" s="6" t="str">
        <f>IF($AL26="","",$Y26+SUMIFS('Logic &amp; Lists'!$E$4:$E$200,'Logic &amp; Lists'!$A$4:$A$200,$AK26,'Logic &amp; Lists'!$C$4:$C$200,"Internal Test Complete"))</f>
        <v/>
      </c>
      <c r="Y26" s="6" t="str">
        <f>IF($AL26="","",$AA26+SUMIFS('Logic &amp; Lists'!$E$4:$E$200,'Logic &amp; Lists'!$A$4:$A$200,$AK26,'Logic &amp; Lists'!$C$4:$C$200,"FAT Start"))</f>
        <v/>
      </c>
      <c r="Z26" s="6" t="str">
        <f>IF($AL26="","",$Y26+SUMIFS('Logic &amp; Lists'!$E$4:$E$200,'Logic &amp; Lists'!$A$4:$A$200,$AK26,'Logic &amp; Lists'!$C$4:$C$200,"FAT Complete"))</f>
        <v/>
      </c>
      <c r="AA26" s="6" t="str">
        <f>IF($AL26="","",$F26+SUMIFS('Logic &amp; Lists'!$E$4:$E$200,'Logic &amp; Lists'!$A$4:$A$200,$AK26,'Logic &amp; Lists'!$C$4:$C$200,"Delivery"))</f>
        <v/>
      </c>
      <c r="AB26" s="8"/>
      <c r="AC26" s="8"/>
      <c r="AD26" s="8"/>
      <c r="AE26" s="8"/>
      <c r="AF26" s="16"/>
      <c r="AG26" s="8"/>
      <c r="AH26" s="5" t="str">
        <f t="shared" si="0"/>
        <v/>
      </c>
      <c r="AI26" s="18" t="str">
        <f t="shared" ca="1" si="1"/>
        <v/>
      </c>
      <c r="AJ26" s="7"/>
      <c r="AK26" s="5" t="str">
        <f>IF($AL26="","",IF(COUNTIF('Logic &amp; Lists'!$A$4:$A$200,$C26)&gt;0,$C26,"Default"))</f>
        <v/>
      </c>
      <c r="AL26" t="str">
        <f>IF($A26&lt;&gt;"",$A26,IF($B26&lt;&gt;"",IFERROR(INDEX(Product_Registry!$A$2:$A$101,MATCH($B26,Product_Registry!$B$2:$B$101,0)),IFERROR(INDEX(Product_Registry!$A$2:$A$101,MATCH("*"&amp;$B26&amp;"*",Product_Registry!$B$2:$B$101,0)),"")),""))</f>
        <v/>
      </c>
      <c r="AM26" t="str">
        <f>IF($AL26="","",IFERROR(INDEX(Product_Registry!$B$2:$B$101,MATCH($AL26,Product_Registry!$A$2:$A$101,0)),""))</f>
        <v/>
      </c>
    </row>
    <row r="27" spans="1:39" x14ac:dyDescent="0.2">
      <c r="A27" s="27"/>
      <c r="B27" s="28"/>
      <c r="C27" s="20" t="str">
        <f>IF($AL27="","",IFERROR(INDEX(Product_Registry!$C$2:$C$101,MATCH($AL27,Product_Registry!$A$2:$A$101,0)),""))</f>
        <v/>
      </c>
      <c r="D27" s="21" t="str">
        <f>IF($AL27="","",IFERROR(INDEX(Product_Registry!$D$2:$D$101,MATCH($AL27,Product_Registry!$A$2:$A$101,0)),""))</f>
        <v/>
      </c>
      <c r="E27" s="17" t="str">
        <f>IF($AL27="","",IFERROR(INDEX(Product_Registry!$E$2:$E$101,MATCH($AL27,Product_Registry!$A$2:$A$101,0)),""))</f>
        <v/>
      </c>
      <c r="F27" s="17" t="str">
        <f>IF($AL27="","",IFERROR(INDEX(Product_Registry!$F$2:$F$101,MATCH($AL27,Product_Registry!$A$2:$A$101,0)),""))</f>
        <v/>
      </c>
      <c r="G27" s="21" t="str">
        <f>IF($AL27="","",IFERROR(INDEX(Product_Registry!$G$2:$G$101,MATCH($AL27,Product_Registry!$A$2:$A$101,0)),""))</f>
        <v/>
      </c>
      <c r="H27" s="21" t="str">
        <f>IF($AL27="","",IFERROR(INDEX(Product_Registry!$H$2:$H$101,MATCH($AL27,Product_Registry!$A$2:$A$101,0)),""))</f>
        <v/>
      </c>
      <c r="I27" s="21" t="str">
        <f>IF($AL27="","",IFERROR(INDEX(Product_Registry!$I$2:$I$101,MATCH($AL27,Product_Registry!$A$2:$A$101,0)),""))</f>
        <v/>
      </c>
      <c r="J27" s="21" t="str">
        <f>IF($AL27="","",IFERROR(INDEX(Product_Registry!$J$2:$J$101,MATCH($AL27,Product_Registry!$A$2:$A$101,0)),""))</f>
        <v/>
      </c>
      <c r="K27" s="21" t="str">
        <f>IF($AL27="","",IFERROR(INDEX(Product_Registry!$K$2:$K$101,MATCH($AL27,Product_Registry!$A$2:$A$101,0)),""))</f>
        <v/>
      </c>
      <c r="L27" s="21" t="str">
        <f>IF($AL27="","",IFERROR(INDEX(Product_Registry!$L$2:$L$101,MATCH($AL27,Product_Registry!$A$2:$A$101,0)),""))</f>
        <v/>
      </c>
      <c r="M27" s="21" t="str">
        <f>IF($AL27="","",IFERROR(INDEX(Product_Registry!$M$2:$M$101,MATCH($AL27,Product_Registry!$A$2:$A$101,0)),""))</f>
        <v/>
      </c>
      <c r="N27" s="6" t="str">
        <f>IF($AL27="","",$E27+SUMIFS('Logic &amp; Lists'!$E$4:$E$200,'Logic &amp; Lists'!$A$4:$A$200,$AK27,'Logic &amp; Lists'!$C$4:$C$200,"Level 1 Schedule"))</f>
        <v/>
      </c>
      <c r="O27" s="6" t="str">
        <f>IF($AL27="","",$P27+SUMIFS('Logic &amp; Lists'!$E$4:$E$200,'Logic &amp; Lists'!$A$4:$A$200,$AK27,'Logic &amp; Lists'!$C$4:$C$200,"Input Frozen"))</f>
        <v/>
      </c>
      <c r="P27" s="6" t="str">
        <f>IF($AL27="","",$Q27+SUMIFS('Logic &amp; Lists'!$E$4:$E$200,'Logic &amp; Lists'!$A$4:$A$200,$AK27,'Logic &amp; Lists'!$C$4:$C$200,"Drawing Approval"))</f>
        <v/>
      </c>
      <c r="Q27" s="6" t="str">
        <f>IF($AL27="","",$S27+SUMIFS('Logic &amp; Lists'!$E$4:$E$200,'Logic &amp; Lists'!$A$4:$A$200,$AK27,'Logic &amp; Lists'!$C$4:$C$200,"BOM Pass to PR"))</f>
        <v/>
      </c>
      <c r="R27" s="6" t="str">
        <f>IF($AL27="","",$S27+SUMIFS('Logic &amp; Lists'!$E$4:$E$200,'Logic &amp; Lists'!$A$4:$A$200,$AK27,'Logic &amp; Lists'!$C$4:$C$200,"PR Schedule"))</f>
        <v/>
      </c>
      <c r="S27" s="6" t="str">
        <f>IF($AL27="","",$T27+SUMIFS('Logic &amp; Lists'!$E$4:$E$200,'Logic &amp; Lists'!$A$4:$A$200,$AK27,'Logic &amp; Lists'!$C$4:$C$200,"Components PO Plan"))</f>
        <v/>
      </c>
      <c r="T27" s="6" t="str">
        <f>IF($AL27="","",$U27+SUMIFS('Logic &amp; Lists'!$E$4:$E$200,'Logic &amp; Lists'!$A$4:$A$200,$AK27,'Logic &amp; Lists'!$C$4:$C$200,"Production Start"))</f>
        <v/>
      </c>
      <c r="U27" s="6" t="str">
        <f>IF($AL27="","",$W27+SUMIFS('Logic &amp; Lists'!$E$4:$E$200,'Logic &amp; Lists'!$A$4:$A$200,$AK27,'Logic &amp; Lists'!$C$4:$C$200,"Production Complete"))</f>
        <v/>
      </c>
      <c r="V27" s="6" t="str">
        <f>IF($AL27="","",$Y27+SUMIFS('Logic &amp; Lists'!$E$4:$E$200,'Logic &amp; Lists'!$A$4:$A$200,$AK27,'Logic &amp; Lists'!$C$4:$C$200,"NOI Date"))</f>
        <v/>
      </c>
      <c r="W27" s="6" t="str">
        <f>IF($AL27="","",$X27+SUMIFS('Logic &amp; Lists'!$E$4:$E$200,'Logic &amp; Lists'!$A$4:$A$200,$AK27,'Logic &amp; Lists'!$C$4:$C$200,"Internal Test Start"))</f>
        <v/>
      </c>
      <c r="X27" s="6" t="str">
        <f>IF($AL27="","",$Y27+SUMIFS('Logic &amp; Lists'!$E$4:$E$200,'Logic &amp; Lists'!$A$4:$A$200,$AK27,'Logic &amp; Lists'!$C$4:$C$200,"Internal Test Complete"))</f>
        <v/>
      </c>
      <c r="Y27" s="6" t="str">
        <f>IF($AL27="","",$AA27+SUMIFS('Logic &amp; Lists'!$E$4:$E$200,'Logic &amp; Lists'!$A$4:$A$200,$AK27,'Logic &amp; Lists'!$C$4:$C$200,"FAT Start"))</f>
        <v/>
      </c>
      <c r="Z27" s="6" t="str">
        <f>IF($AL27="","",$Y27+SUMIFS('Logic &amp; Lists'!$E$4:$E$200,'Logic &amp; Lists'!$A$4:$A$200,$AK27,'Logic &amp; Lists'!$C$4:$C$200,"FAT Complete"))</f>
        <v/>
      </c>
      <c r="AA27" s="6" t="str">
        <f>IF($AL27="","",$F27+SUMIFS('Logic &amp; Lists'!$E$4:$E$200,'Logic &amp; Lists'!$A$4:$A$200,$AK27,'Logic &amp; Lists'!$C$4:$C$200,"Delivery"))</f>
        <v/>
      </c>
      <c r="AB27" s="8"/>
      <c r="AC27" s="8"/>
      <c r="AD27" s="8"/>
      <c r="AE27" s="8"/>
      <c r="AF27" s="16"/>
      <c r="AG27" s="8"/>
      <c r="AH27" s="5" t="str">
        <f t="shared" si="0"/>
        <v/>
      </c>
      <c r="AI27" s="18" t="str">
        <f t="shared" ca="1" si="1"/>
        <v/>
      </c>
      <c r="AJ27" s="7"/>
      <c r="AK27" s="5" t="str">
        <f>IF($AL27="","",IF(COUNTIF('Logic &amp; Lists'!$A$4:$A$200,$C27)&gt;0,$C27,"Default"))</f>
        <v/>
      </c>
      <c r="AL27" t="str">
        <f>IF($A27&lt;&gt;"",$A27,IF($B27&lt;&gt;"",IFERROR(INDEX(Product_Registry!$A$2:$A$101,MATCH($B27,Product_Registry!$B$2:$B$101,0)),IFERROR(INDEX(Product_Registry!$A$2:$A$101,MATCH("*"&amp;$B27&amp;"*",Product_Registry!$B$2:$B$101,0)),"")),""))</f>
        <v/>
      </c>
      <c r="AM27" t="str">
        <f>IF($AL27="","",IFERROR(INDEX(Product_Registry!$B$2:$B$101,MATCH($AL27,Product_Registry!$A$2:$A$101,0)),""))</f>
        <v/>
      </c>
    </row>
    <row r="28" spans="1:39" x14ac:dyDescent="0.2">
      <c r="A28" s="27"/>
      <c r="B28" s="28"/>
      <c r="C28" s="20" t="str">
        <f>IF($AL28="","",IFERROR(INDEX(Product_Registry!$C$2:$C$101,MATCH($AL28,Product_Registry!$A$2:$A$101,0)),""))</f>
        <v/>
      </c>
      <c r="D28" s="21" t="str">
        <f>IF($AL28="","",IFERROR(INDEX(Product_Registry!$D$2:$D$101,MATCH($AL28,Product_Registry!$A$2:$A$101,0)),""))</f>
        <v/>
      </c>
      <c r="E28" s="17" t="str">
        <f>IF($AL28="","",IFERROR(INDEX(Product_Registry!$E$2:$E$101,MATCH($AL28,Product_Registry!$A$2:$A$101,0)),""))</f>
        <v/>
      </c>
      <c r="F28" s="17" t="str">
        <f>IF($AL28="","",IFERROR(INDEX(Product_Registry!$F$2:$F$101,MATCH($AL28,Product_Registry!$A$2:$A$101,0)),""))</f>
        <v/>
      </c>
      <c r="G28" s="21" t="str">
        <f>IF($AL28="","",IFERROR(INDEX(Product_Registry!$G$2:$G$101,MATCH($AL28,Product_Registry!$A$2:$A$101,0)),""))</f>
        <v/>
      </c>
      <c r="H28" s="21" t="str">
        <f>IF($AL28="","",IFERROR(INDEX(Product_Registry!$H$2:$H$101,MATCH($AL28,Product_Registry!$A$2:$A$101,0)),""))</f>
        <v/>
      </c>
      <c r="I28" s="21" t="str">
        <f>IF($AL28="","",IFERROR(INDEX(Product_Registry!$I$2:$I$101,MATCH($AL28,Product_Registry!$A$2:$A$101,0)),""))</f>
        <v/>
      </c>
      <c r="J28" s="21" t="str">
        <f>IF($AL28="","",IFERROR(INDEX(Product_Registry!$J$2:$J$101,MATCH($AL28,Product_Registry!$A$2:$A$101,0)),""))</f>
        <v/>
      </c>
      <c r="K28" s="21" t="str">
        <f>IF($AL28="","",IFERROR(INDEX(Product_Registry!$K$2:$K$101,MATCH($AL28,Product_Registry!$A$2:$A$101,0)),""))</f>
        <v/>
      </c>
      <c r="L28" s="21" t="str">
        <f>IF($AL28="","",IFERROR(INDEX(Product_Registry!$L$2:$L$101,MATCH($AL28,Product_Registry!$A$2:$A$101,0)),""))</f>
        <v/>
      </c>
      <c r="M28" s="21" t="str">
        <f>IF($AL28="","",IFERROR(INDEX(Product_Registry!$M$2:$M$101,MATCH($AL28,Product_Registry!$A$2:$A$101,0)),""))</f>
        <v/>
      </c>
      <c r="N28" s="6" t="str">
        <f>IF($AL28="","",$E28+SUMIFS('Logic &amp; Lists'!$E$4:$E$200,'Logic &amp; Lists'!$A$4:$A$200,$AK28,'Logic &amp; Lists'!$C$4:$C$200,"Level 1 Schedule"))</f>
        <v/>
      </c>
      <c r="O28" s="6" t="str">
        <f>IF($AL28="","",$P28+SUMIFS('Logic &amp; Lists'!$E$4:$E$200,'Logic &amp; Lists'!$A$4:$A$200,$AK28,'Logic &amp; Lists'!$C$4:$C$200,"Input Frozen"))</f>
        <v/>
      </c>
      <c r="P28" s="6" t="str">
        <f>IF($AL28="","",$Q28+SUMIFS('Logic &amp; Lists'!$E$4:$E$200,'Logic &amp; Lists'!$A$4:$A$200,$AK28,'Logic &amp; Lists'!$C$4:$C$200,"Drawing Approval"))</f>
        <v/>
      </c>
      <c r="Q28" s="6" t="str">
        <f>IF($AL28="","",$S28+SUMIFS('Logic &amp; Lists'!$E$4:$E$200,'Logic &amp; Lists'!$A$4:$A$200,$AK28,'Logic &amp; Lists'!$C$4:$C$200,"BOM Pass to PR"))</f>
        <v/>
      </c>
      <c r="R28" s="6" t="str">
        <f>IF($AL28="","",$S28+SUMIFS('Logic &amp; Lists'!$E$4:$E$200,'Logic &amp; Lists'!$A$4:$A$200,$AK28,'Logic &amp; Lists'!$C$4:$C$200,"PR Schedule"))</f>
        <v/>
      </c>
      <c r="S28" s="6" t="str">
        <f>IF($AL28="","",$T28+SUMIFS('Logic &amp; Lists'!$E$4:$E$200,'Logic &amp; Lists'!$A$4:$A$200,$AK28,'Logic &amp; Lists'!$C$4:$C$200,"Components PO Plan"))</f>
        <v/>
      </c>
      <c r="T28" s="6" t="str">
        <f>IF($AL28="","",$U28+SUMIFS('Logic &amp; Lists'!$E$4:$E$200,'Logic &amp; Lists'!$A$4:$A$200,$AK28,'Logic &amp; Lists'!$C$4:$C$200,"Production Start"))</f>
        <v/>
      </c>
      <c r="U28" s="6" t="str">
        <f>IF($AL28="","",$W28+SUMIFS('Logic &amp; Lists'!$E$4:$E$200,'Logic &amp; Lists'!$A$4:$A$200,$AK28,'Logic &amp; Lists'!$C$4:$C$200,"Production Complete"))</f>
        <v/>
      </c>
      <c r="V28" s="6" t="str">
        <f>IF($AL28="","",$Y28+SUMIFS('Logic &amp; Lists'!$E$4:$E$200,'Logic &amp; Lists'!$A$4:$A$200,$AK28,'Logic &amp; Lists'!$C$4:$C$200,"NOI Date"))</f>
        <v/>
      </c>
      <c r="W28" s="6" t="str">
        <f>IF($AL28="","",$X28+SUMIFS('Logic &amp; Lists'!$E$4:$E$200,'Logic &amp; Lists'!$A$4:$A$200,$AK28,'Logic &amp; Lists'!$C$4:$C$200,"Internal Test Start"))</f>
        <v/>
      </c>
      <c r="X28" s="6" t="str">
        <f>IF($AL28="","",$Y28+SUMIFS('Logic &amp; Lists'!$E$4:$E$200,'Logic &amp; Lists'!$A$4:$A$200,$AK28,'Logic &amp; Lists'!$C$4:$C$200,"Internal Test Complete"))</f>
        <v/>
      </c>
      <c r="Y28" s="6" t="str">
        <f>IF($AL28="","",$AA28+SUMIFS('Logic &amp; Lists'!$E$4:$E$200,'Logic &amp; Lists'!$A$4:$A$200,$AK28,'Logic &amp; Lists'!$C$4:$C$200,"FAT Start"))</f>
        <v/>
      </c>
      <c r="Z28" s="6" t="str">
        <f>IF($AL28="","",$Y28+SUMIFS('Logic &amp; Lists'!$E$4:$E$200,'Logic &amp; Lists'!$A$4:$A$200,$AK28,'Logic &amp; Lists'!$C$4:$C$200,"FAT Complete"))</f>
        <v/>
      </c>
      <c r="AA28" s="6" t="str">
        <f>IF($AL28="","",$F28+SUMIFS('Logic &amp; Lists'!$E$4:$E$200,'Logic &amp; Lists'!$A$4:$A$200,$AK28,'Logic &amp; Lists'!$C$4:$C$200,"Delivery"))</f>
        <v/>
      </c>
      <c r="AB28" s="8"/>
      <c r="AC28" s="8"/>
      <c r="AD28" s="8"/>
      <c r="AE28" s="8"/>
      <c r="AF28" s="16"/>
      <c r="AG28" s="8"/>
      <c r="AH28" s="5" t="str">
        <f t="shared" si="0"/>
        <v/>
      </c>
      <c r="AI28" s="18" t="str">
        <f t="shared" ca="1" si="1"/>
        <v/>
      </c>
      <c r="AJ28" s="7"/>
      <c r="AK28" s="5" t="str">
        <f>IF($AL28="","",IF(COUNTIF('Logic &amp; Lists'!$A$4:$A$200,$C28)&gt;0,$C28,"Default"))</f>
        <v/>
      </c>
      <c r="AL28" t="str">
        <f>IF($A28&lt;&gt;"",$A28,IF($B28&lt;&gt;"",IFERROR(INDEX(Product_Registry!$A$2:$A$101,MATCH($B28,Product_Registry!$B$2:$B$101,0)),IFERROR(INDEX(Product_Registry!$A$2:$A$101,MATCH("*"&amp;$B28&amp;"*",Product_Registry!$B$2:$B$101,0)),"")),""))</f>
        <v/>
      </c>
      <c r="AM28" t="str">
        <f>IF($AL28="","",IFERROR(INDEX(Product_Registry!$B$2:$B$101,MATCH($AL28,Product_Registry!$A$2:$A$101,0)),""))</f>
        <v/>
      </c>
    </row>
    <row r="29" spans="1:39" x14ac:dyDescent="0.2">
      <c r="A29" s="27"/>
      <c r="B29" s="28"/>
      <c r="C29" s="20" t="str">
        <f>IF($AL29="","",IFERROR(INDEX(Product_Registry!$C$2:$C$101,MATCH($AL29,Product_Registry!$A$2:$A$101,0)),""))</f>
        <v/>
      </c>
      <c r="D29" s="21" t="str">
        <f>IF($AL29="","",IFERROR(INDEX(Product_Registry!$D$2:$D$101,MATCH($AL29,Product_Registry!$A$2:$A$101,0)),""))</f>
        <v/>
      </c>
      <c r="E29" s="17" t="str">
        <f>IF($AL29="","",IFERROR(INDEX(Product_Registry!$E$2:$E$101,MATCH($AL29,Product_Registry!$A$2:$A$101,0)),""))</f>
        <v/>
      </c>
      <c r="F29" s="17" t="str">
        <f>IF($AL29="","",IFERROR(INDEX(Product_Registry!$F$2:$F$101,MATCH($AL29,Product_Registry!$A$2:$A$101,0)),""))</f>
        <v/>
      </c>
      <c r="G29" s="21" t="str">
        <f>IF($AL29="","",IFERROR(INDEX(Product_Registry!$G$2:$G$101,MATCH($AL29,Product_Registry!$A$2:$A$101,0)),""))</f>
        <v/>
      </c>
      <c r="H29" s="21" t="str">
        <f>IF($AL29="","",IFERROR(INDEX(Product_Registry!$H$2:$H$101,MATCH($AL29,Product_Registry!$A$2:$A$101,0)),""))</f>
        <v/>
      </c>
      <c r="I29" s="21" t="str">
        <f>IF($AL29="","",IFERROR(INDEX(Product_Registry!$I$2:$I$101,MATCH($AL29,Product_Registry!$A$2:$A$101,0)),""))</f>
        <v/>
      </c>
      <c r="J29" s="21" t="str">
        <f>IF($AL29="","",IFERROR(INDEX(Product_Registry!$J$2:$J$101,MATCH($AL29,Product_Registry!$A$2:$A$101,0)),""))</f>
        <v/>
      </c>
      <c r="K29" s="21" t="str">
        <f>IF($AL29="","",IFERROR(INDEX(Product_Registry!$K$2:$K$101,MATCH($AL29,Product_Registry!$A$2:$A$101,0)),""))</f>
        <v/>
      </c>
      <c r="L29" s="21" t="str">
        <f>IF($AL29="","",IFERROR(INDEX(Product_Registry!$L$2:$L$101,MATCH($AL29,Product_Registry!$A$2:$A$101,0)),""))</f>
        <v/>
      </c>
      <c r="M29" s="21" t="str">
        <f>IF($AL29="","",IFERROR(INDEX(Product_Registry!$M$2:$M$101,MATCH($AL29,Product_Registry!$A$2:$A$101,0)),""))</f>
        <v/>
      </c>
      <c r="N29" s="6" t="str">
        <f>IF($AL29="","",$E29+SUMIFS('Logic &amp; Lists'!$E$4:$E$200,'Logic &amp; Lists'!$A$4:$A$200,$AK29,'Logic &amp; Lists'!$C$4:$C$200,"Level 1 Schedule"))</f>
        <v/>
      </c>
      <c r="O29" s="6" t="str">
        <f>IF($AL29="","",$P29+SUMIFS('Logic &amp; Lists'!$E$4:$E$200,'Logic &amp; Lists'!$A$4:$A$200,$AK29,'Logic &amp; Lists'!$C$4:$C$200,"Input Frozen"))</f>
        <v/>
      </c>
      <c r="P29" s="6" t="str">
        <f>IF($AL29="","",$Q29+SUMIFS('Logic &amp; Lists'!$E$4:$E$200,'Logic &amp; Lists'!$A$4:$A$200,$AK29,'Logic &amp; Lists'!$C$4:$C$200,"Drawing Approval"))</f>
        <v/>
      </c>
      <c r="Q29" s="6" t="str">
        <f>IF($AL29="","",$S29+SUMIFS('Logic &amp; Lists'!$E$4:$E$200,'Logic &amp; Lists'!$A$4:$A$200,$AK29,'Logic &amp; Lists'!$C$4:$C$200,"BOM Pass to PR"))</f>
        <v/>
      </c>
      <c r="R29" s="6" t="str">
        <f>IF($AL29="","",$S29+SUMIFS('Logic &amp; Lists'!$E$4:$E$200,'Logic &amp; Lists'!$A$4:$A$200,$AK29,'Logic &amp; Lists'!$C$4:$C$200,"PR Schedule"))</f>
        <v/>
      </c>
      <c r="S29" s="6" t="str">
        <f>IF($AL29="","",$T29+SUMIFS('Logic &amp; Lists'!$E$4:$E$200,'Logic &amp; Lists'!$A$4:$A$200,$AK29,'Logic &amp; Lists'!$C$4:$C$200,"Components PO Plan"))</f>
        <v/>
      </c>
      <c r="T29" s="6" t="str">
        <f>IF($AL29="","",$U29+SUMIFS('Logic &amp; Lists'!$E$4:$E$200,'Logic &amp; Lists'!$A$4:$A$200,$AK29,'Logic &amp; Lists'!$C$4:$C$200,"Production Start"))</f>
        <v/>
      </c>
      <c r="U29" s="6" t="str">
        <f>IF($AL29="","",$W29+SUMIFS('Logic &amp; Lists'!$E$4:$E$200,'Logic &amp; Lists'!$A$4:$A$200,$AK29,'Logic &amp; Lists'!$C$4:$C$200,"Production Complete"))</f>
        <v/>
      </c>
      <c r="V29" s="6" t="str">
        <f>IF($AL29="","",$Y29+SUMIFS('Logic &amp; Lists'!$E$4:$E$200,'Logic &amp; Lists'!$A$4:$A$200,$AK29,'Logic &amp; Lists'!$C$4:$C$200,"NOI Date"))</f>
        <v/>
      </c>
      <c r="W29" s="6" t="str">
        <f>IF($AL29="","",$X29+SUMIFS('Logic &amp; Lists'!$E$4:$E$200,'Logic &amp; Lists'!$A$4:$A$200,$AK29,'Logic &amp; Lists'!$C$4:$C$200,"Internal Test Start"))</f>
        <v/>
      </c>
      <c r="X29" s="6" t="str">
        <f>IF($AL29="","",$Y29+SUMIFS('Logic &amp; Lists'!$E$4:$E$200,'Logic &amp; Lists'!$A$4:$A$200,$AK29,'Logic &amp; Lists'!$C$4:$C$200,"Internal Test Complete"))</f>
        <v/>
      </c>
      <c r="Y29" s="6" t="str">
        <f>IF($AL29="","",$AA29+SUMIFS('Logic &amp; Lists'!$E$4:$E$200,'Logic &amp; Lists'!$A$4:$A$200,$AK29,'Logic &amp; Lists'!$C$4:$C$200,"FAT Start"))</f>
        <v/>
      </c>
      <c r="Z29" s="6" t="str">
        <f>IF($AL29="","",$Y29+SUMIFS('Logic &amp; Lists'!$E$4:$E$200,'Logic &amp; Lists'!$A$4:$A$200,$AK29,'Logic &amp; Lists'!$C$4:$C$200,"FAT Complete"))</f>
        <v/>
      </c>
      <c r="AA29" s="6" t="str">
        <f>IF($AL29="","",$F29+SUMIFS('Logic &amp; Lists'!$E$4:$E$200,'Logic &amp; Lists'!$A$4:$A$200,$AK29,'Logic &amp; Lists'!$C$4:$C$200,"Delivery"))</f>
        <v/>
      </c>
      <c r="AB29" s="8"/>
      <c r="AC29" s="8"/>
      <c r="AD29" s="8"/>
      <c r="AE29" s="8"/>
      <c r="AF29" s="16"/>
      <c r="AG29" s="8"/>
      <c r="AH29" s="5" t="str">
        <f t="shared" si="0"/>
        <v/>
      </c>
      <c r="AI29" s="18" t="str">
        <f t="shared" ca="1" si="1"/>
        <v/>
      </c>
      <c r="AJ29" s="7"/>
      <c r="AK29" s="5" t="str">
        <f>IF($AL29="","",IF(COUNTIF('Logic &amp; Lists'!$A$4:$A$200,$C29)&gt;0,$C29,"Default"))</f>
        <v/>
      </c>
      <c r="AL29" t="str">
        <f>IF($A29&lt;&gt;"",$A29,IF($B29&lt;&gt;"",IFERROR(INDEX(Product_Registry!$A$2:$A$101,MATCH($B29,Product_Registry!$B$2:$B$101,0)),IFERROR(INDEX(Product_Registry!$A$2:$A$101,MATCH("*"&amp;$B29&amp;"*",Product_Registry!$B$2:$B$101,0)),"")),""))</f>
        <v/>
      </c>
      <c r="AM29" t="str">
        <f>IF($AL29="","",IFERROR(INDEX(Product_Registry!$B$2:$B$101,MATCH($AL29,Product_Registry!$A$2:$A$101,0)),""))</f>
        <v/>
      </c>
    </row>
    <row r="30" spans="1:39" x14ac:dyDescent="0.2">
      <c r="A30" s="27"/>
      <c r="B30" s="28"/>
      <c r="C30" s="20" t="str">
        <f>IF($AL30="","",IFERROR(INDEX(Product_Registry!$C$2:$C$101,MATCH($AL30,Product_Registry!$A$2:$A$101,0)),""))</f>
        <v/>
      </c>
      <c r="D30" s="21" t="str">
        <f>IF($AL30="","",IFERROR(INDEX(Product_Registry!$D$2:$D$101,MATCH($AL30,Product_Registry!$A$2:$A$101,0)),""))</f>
        <v/>
      </c>
      <c r="E30" s="17" t="str">
        <f>IF($AL30="","",IFERROR(INDEX(Product_Registry!$E$2:$E$101,MATCH($AL30,Product_Registry!$A$2:$A$101,0)),""))</f>
        <v/>
      </c>
      <c r="F30" s="17" t="str">
        <f>IF($AL30="","",IFERROR(INDEX(Product_Registry!$F$2:$F$101,MATCH($AL30,Product_Registry!$A$2:$A$101,0)),""))</f>
        <v/>
      </c>
      <c r="G30" s="21" t="str">
        <f>IF($AL30="","",IFERROR(INDEX(Product_Registry!$G$2:$G$101,MATCH($AL30,Product_Registry!$A$2:$A$101,0)),""))</f>
        <v/>
      </c>
      <c r="H30" s="21" t="str">
        <f>IF($AL30="","",IFERROR(INDEX(Product_Registry!$H$2:$H$101,MATCH($AL30,Product_Registry!$A$2:$A$101,0)),""))</f>
        <v/>
      </c>
      <c r="I30" s="21" t="str">
        <f>IF($AL30="","",IFERROR(INDEX(Product_Registry!$I$2:$I$101,MATCH($AL30,Product_Registry!$A$2:$A$101,0)),""))</f>
        <v/>
      </c>
      <c r="J30" s="21" t="str">
        <f>IF($AL30="","",IFERROR(INDEX(Product_Registry!$J$2:$J$101,MATCH($AL30,Product_Registry!$A$2:$A$101,0)),""))</f>
        <v/>
      </c>
      <c r="K30" s="21" t="str">
        <f>IF($AL30="","",IFERROR(INDEX(Product_Registry!$K$2:$K$101,MATCH($AL30,Product_Registry!$A$2:$A$101,0)),""))</f>
        <v/>
      </c>
      <c r="L30" s="21" t="str">
        <f>IF($AL30="","",IFERROR(INDEX(Product_Registry!$L$2:$L$101,MATCH($AL30,Product_Registry!$A$2:$A$101,0)),""))</f>
        <v/>
      </c>
      <c r="M30" s="21" t="str">
        <f>IF($AL30="","",IFERROR(INDEX(Product_Registry!$M$2:$M$101,MATCH($AL30,Product_Registry!$A$2:$A$101,0)),""))</f>
        <v/>
      </c>
      <c r="N30" s="6" t="str">
        <f>IF($AL30="","",$E30+SUMIFS('Logic &amp; Lists'!$E$4:$E$200,'Logic &amp; Lists'!$A$4:$A$200,$AK30,'Logic &amp; Lists'!$C$4:$C$200,"Level 1 Schedule"))</f>
        <v/>
      </c>
      <c r="O30" s="6" t="str">
        <f>IF($AL30="","",$P30+SUMIFS('Logic &amp; Lists'!$E$4:$E$200,'Logic &amp; Lists'!$A$4:$A$200,$AK30,'Logic &amp; Lists'!$C$4:$C$200,"Input Frozen"))</f>
        <v/>
      </c>
      <c r="P30" s="6" t="str">
        <f>IF($AL30="","",$Q30+SUMIFS('Logic &amp; Lists'!$E$4:$E$200,'Logic &amp; Lists'!$A$4:$A$200,$AK30,'Logic &amp; Lists'!$C$4:$C$200,"Drawing Approval"))</f>
        <v/>
      </c>
      <c r="Q30" s="6" t="str">
        <f>IF($AL30="","",$S30+SUMIFS('Logic &amp; Lists'!$E$4:$E$200,'Logic &amp; Lists'!$A$4:$A$200,$AK30,'Logic &amp; Lists'!$C$4:$C$200,"BOM Pass to PR"))</f>
        <v/>
      </c>
      <c r="R30" s="6" t="str">
        <f>IF($AL30="","",$S30+SUMIFS('Logic &amp; Lists'!$E$4:$E$200,'Logic &amp; Lists'!$A$4:$A$200,$AK30,'Logic &amp; Lists'!$C$4:$C$200,"PR Schedule"))</f>
        <v/>
      </c>
      <c r="S30" s="6" t="str">
        <f>IF($AL30="","",$T30+SUMIFS('Logic &amp; Lists'!$E$4:$E$200,'Logic &amp; Lists'!$A$4:$A$200,$AK30,'Logic &amp; Lists'!$C$4:$C$200,"Components PO Plan"))</f>
        <v/>
      </c>
      <c r="T30" s="6" t="str">
        <f>IF($AL30="","",$U30+SUMIFS('Logic &amp; Lists'!$E$4:$E$200,'Logic &amp; Lists'!$A$4:$A$200,$AK30,'Logic &amp; Lists'!$C$4:$C$200,"Production Start"))</f>
        <v/>
      </c>
      <c r="U30" s="6" t="str">
        <f>IF($AL30="","",$W30+SUMIFS('Logic &amp; Lists'!$E$4:$E$200,'Logic &amp; Lists'!$A$4:$A$200,$AK30,'Logic &amp; Lists'!$C$4:$C$200,"Production Complete"))</f>
        <v/>
      </c>
      <c r="V30" s="6" t="str">
        <f>IF($AL30="","",$Y30+SUMIFS('Logic &amp; Lists'!$E$4:$E$200,'Logic &amp; Lists'!$A$4:$A$200,$AK30,'Logic &amp; Lists'!$C$4:$C$200,"NOI Date"))</f>
        <v/>
      </c>
      <c r="W30" s="6" t="str">
        <f>IF($AL30="","",$X30+SUMIFS('Logic &amp; Lists'!$E$4:$E$200,'Logic &amp; Lists'!$A$4:$A$200,$AK30,'Logic &amp; Lists'!$C$4:$C$200,"Internal Test Start"))</f>
        <v/>
      </c>
      <c r="X30" s="6" t="str">
        <f>IF($AL30="","",$Y30+SUMIFS('Logic &amp; Lists'!$E$4:$E$200,'Logic &amp; Lists'!$A$4:$A$200,$AK30,'Logic &amp; Lists'!$C$4:$C$200,"Internal Test Complete"))</f>
        <v/>
      </c>
      <c r="Y30" s="6" t="str">
        <f>IF($AL30="","",$AA30+SUMIFS('Logic &amp; Lists'!$E$4:$E$200,'Logic &amp; Lists'!$A$4:$A$200,$AK30,'Logic &amp; Lists'!$C$4:$C$200,"FAT Start"))</f>
        <v/>
      </c>
      <c r="Z30" s="6" t="str">
        <f>IF($AL30="","",$Y30+SUMIFS('Logic &amp; Lists'!$E$4:$E$200,'Logic &amp; Lists'!$A$4:$A$200,$AK30,'Logic &amp; Lists'!$C$4:$C$200,"FAT Complete"))</f>
        <v/>
      </c>
      <c r="AA30" s="6" t="str">
        <f>IF($AL30="","",$F30+SUMIFS('Logic &amp; Lists'!$E$4:$E$200,'Logic &amp; Lists'!$A$4:$A$200,$AK30,'Logic &amp; Lists'!$C$4:$C$200,"Delivery"))</f>
        <v/>
      </c>
      <c r="AB30" s="8"/>
      <c r="AC30" s="8"/>
      <c r="AD30" s="8"/>
      <c r="AE30" s="8"/>
      <c r="AF30" s="16"/>
      <c r="AG30" s="8"/>
      <c r="AH30" s="5" t="str">
        <f t="shared" si="0"/>
        <v/>
      </c>
      <c r="AI30" s="18" t="str">
        <f t="shared" ca="1" si="1"/>
        <v/>
      </c>
      <c r="AJ30" s="7"/>
      <c r="AK30" s="5" t="str">
        <f>IF($AL30="","",IF(COUNTIF('Logic &amp; Lists'!$A$4:$A$200,$C30)&gt;0,$C30,"Default"))</f>
        <v/>
      </c>
      <c r="AL30" t="str">
        <f>IF($A30&lt;&gt;"",$A30,IF($B30&lt;&gt;"",IFERROR(INDEX(Product_Registry!$A$2:$A$101,MATCH($B30,Product_Registry!$B$2:$B$101,0)),IFERROR(INDEX(Product_Registry!$A$2:$A$101,MATCH("*"&amp;$B30&amp;"*",Product_Registry!$B$2:$B$101,0)),"")),""))</f>
        <v/>
      </c>
      <c r="AM30" t="str">
        <f>IF($AL30="","",IFERROR(INDEX(Product_Registry!$B$2:$B$101,MATCH($AL30,Product_Registry!$A$2:$A$101,0)),""))</f>
        <v/>
      </c>
    </row>
    <row r="31" spans="1:39" x14ac:dyDescent="0.2">
      <c r="A31" s="27"/>
      <c r="B31" s="28"/>
      <c r="C31" s="20" t="str">
        <f>IF($AL31="","",IFERROR(INDEX(Product_Registry!$C$2:$C$101,MATCH($AL31,Product_Registry!$A$2:$A$101,0)),""))</f>
        <v/>
      </c>
      <c r="D31" s="21" t="str">
        <f>IF($AL31="","",IFERROR(INDEX(Product_Registry!$D$2:$D$101,MATCH($AL31,Product_Registry!$A$2:$A$101,0)),""))</f>
        <v/>
      </c>
      <c r="E31" s="17" t="str">
        <f>IF($AL31="","",IFERROR(INDEX(Product_Registry!$E$2:$E$101,MATCH($AL31,Product_Registry!$A$2:$A$101,0)),""))</f>
        <v/>
      </c>
      <c r="F31" s="17" t="str">
        <f>IF($AL31="","",IFERROR(INDEX(Product_Registry!$F$2:$F$101,MATCH($AL31,Product_Registry!$A$2:$A$101,0)),""))</f>
        <v/>
      </c>
      <c r="G31" s="21" t="str">
        <f>IF($AL31="","",IFERROR(INDEX(Product_Registry!$G$2:$G$101,MATCH($AL31,Product_Registry!$A$2:$A$101,0)),""))</f>
        <v/>
      </c>
      <c r="H31" s="21" t="str">
        <f>IF($AL31="","",IFERROR(INDEX(Product_Registry!$H$2:$H$101,MATCH($AL31,Product_Registry!$A$2:$A$101,0)),""))</f>
        <v/>
      </c>
      <c r="I31" s="21" t="str">
        <f>IF($AL31="","",IFERROR(INDEX(Product_Registry!$I$2:$I$101,MATCH($AL31,Product_Registry!$A$2:$A$101,0)),""))</f>
        <v/>
      </c>
      <c r="J31" s="21" t="str">
        <f>IF($AL31="","",IFERROR(INDEX(Product_Registry!$J$2:$J$101,MATCH($AL31,Product_Registry!$A$2:$A$101,0)),""))</f>
        <v/>
      </c>
      <c r="K31" s="21" t="str">
        <f>IF($AL31="","",IFERROR(INDEX(Product_Registry!$K$2:$K$101,MATCH($AL31,Product_Registry!$A$2:$A$101,0)),""))</f>
        <v/>
      </c>
      <c r="L31" s="21" t="str">
        <f>IF($AL31="","",IFERROR(INDEX(Product_Registry!$L$2:$L$101,MATCH($AL31,Product_Registry!$A$2:$A$101,0)),""))</f>
        <v/>
      </c>
      <c r="M31" s="21" t="str">
        <f>IF($AL31="","",IFERROR(INDEX(Product_Registry!$M$2:$M$101,MATCH($AL31,Product_Registry!$A$2:$A$101,0)),""))</f>
        <v/>
      </c>
      <c r="N31" s="6" t="str">
        <f>IF($AL31="","",$E31+SUMIFS('Logic &amp; Lists'!$E$4:$E$200,'Logic &amp; Lists'!$A$4:$A$200,$AK31,'Logic &amp; Lists'!$C$4:$C$200,"Level 1 Schedule"))</f>
        <v/>
      </c>
      <c r="O31" s="6" t="str">
        <f>IF($AL31="","",$P31+SUMIFS('Logic &amp; Lists'!$E$4:$E$200,'Logic &amp; Lists'!$A$4:$A$200,$AK31,'Logic &amp; Lists'!$C$4:$C$200,"Input Frozen"))</f>
        <v/>
      </c>
      <c r="P31" s="6" t="str">
        <f>IF($AL31="","",$Q31+SUMIFS('Logic &amp; Lists'!$E$4:$E$200,'Logic &amp; Lists'!$A$4:$A$200,$AK31,'Logic &amp; Lists'!$C$4:$C$200,"Drawing Approval"))</f>
        <v/>
      </c>
      <c r="Q31" s="6" t="str">
        <f>IF($AL31="","",$S31+SUMIFS('Logic &amp; Lists'!$E$4:$E$200,'Logic &amp; Lists'!$A$4:$A$200,$AK31,'Logic &amp; Lists'!$C$4:$C$200,"BOM Pass to PR"))</f>
        <v/>
      </c>
      <c r="R31" s="6" t="str">
        <f>IF($AL31="","",$S31+SUMIFS('Logic &amp; Lists'!$E$4:$E$200,'Logic &amp; Lists'!$A$4:$A$200,$AK31,'Logic &amp; Lists'!$C$4:$C$200,"PR Schedule"))</f>
        <v/>
      </c>
      <c r="S31" s="6" t="str">
        <f>IF($AL31="","",$T31+SUMIFS('Logic &amp; Lists'!$E$4:$E$200,'Logic &amp; Lists'!$A$4:$A$200,$AK31,'Logic &amp; Lists'!$C$4:$C$200,"Components PO Plan"))</f>
        <v/>
      </c>
      <c r="T31" s="6" t="str">
        <f>IF($AL31="","",$U31+SUMIFS('Logic &amp; Lists'!$E$4:$E$200,'Logic &amp; Lists'!$A$4:$A$200,$AK31,'Logic &amp; Lists'!$C$4:$C$200,"Production Start"))</f>
        <v/>
      </c>
      <c r="U31" s="6" t="str">
        <f>IF($AL31="","",$W31+SUMIFS('Logic &amp; Lists'!$E$4:$E$200,'Logic &amp; Lists'!$A$4:$A$200,$AK31,'Logic &amp; Lists'!$C$4:$C$200,"Production Complete"))</f>
        <v/>
      </c>
      <c r="V31" s="6" t="str">
        <f>IF($AL31="","",$Y31+SUMIFS('Logic &amp; Lists'!$E$4:$E$200,'Logic &amp; Lists'!$A$4:$A$200,$AK31,'Logic &amp; Lists'!$C$4:$C$200,"NOI Date"))</f>
        <v/>
      </c>
      <c r="W31" s="6" t="str">
        <f>IF($AL31="","",$X31+SUMIFS('Logic &amp; Lists'!$E$4:$E$200,'Logic &amp; Lists'!$A$4:$A$200,$AK31,'Logic &amp; Lists'!$C$4:$C$200,"Internal Test Start"))</f>
        <v/>
      </c>
      <c r="X31" s="6" t="str">
        <f>IF($AL31="","",$Y31+SUMIFS('Logic &amp; Lists'!$E$4:$E$200,'Logic &amp; Lists'!$A$4:$A$200,$AK31,'Logic &amp; Lists'!$C$4:$C$200,"Internal Test Complete"))</f>
        <v/>
      </c>
      <c r="Y31" s="6" t="str">
        <f>IF($AL31="","",$AA31+SUMIFS('Logic &amp; Lists'!$E$4:$E$200,'Logic &amp; Lists'!$A$4:$A$200,$AK31,'Logic &amp; Lists'!$C$4:$C$200,"FAT Start"))</f>
        <v/>
      </c>
      <c r="Z31" s="6" t="str">
        <f>IF($AL31="","",$Y31+SUMIFS('Logic &amp; Lists'!$E$4:$E$200,'Logic &amp; Lists'!$A$4:$A$200,$AK31,'Logic &amp; Lists'!$C$4:$C$200,"FAT Complete"))</f>
        <v/>
      </c>
      <c r="AA31" s="6" t="str">
        <f>IF($AL31="","",$F31+SUMIFS('Logic &amp; Lists'!$E$4:$E$200,'Logic &amp; Lists'!$A$4:$A$200,$AK31,'Logic &amp; Lists'!$C$4:$C$200,"Delivery"))</f>
        <v/>
      </c>
      <c r="AB31" s="8"/>
      <c r="AC31" s="8"/>
      <c r="AD31" s="8"/>
      <c r="AE31" s="8"/>
      <c r="AF31" s="16"/>
      <c r="AG31" s="8"/>
      <c r="AH31" s="5" t="str">
        <f t="shared" si="0"/>
        <v/>
      </c>
      <c r="AI31" s="18" t="str">
        <f t="shared" ca="1" si="1"/>
        <v/>
      </c>
      <c r="AJ31" s="7"/>
      <c r="AK31" s="5" t="str">
        <f>IF($AL31="","",IF(COUNTIF('Logic &amp; Lists'!$A$4:$A$200,$C31)&gt;0,$C31,"Default"))</f>
        <v/>
      </c>
      <c r="AL31" t="str">
        <f>IF($A31&lt;&gt;"",$A31,IF($B31&lt;&gt;"",IFERROR(INDEX(Product_Registry!$A$2:$A$101,MATCH($B31,Product_Registry!$B$2:$B$101,0)),IFERROR(INDEX(Product_Registry!$A$2:$A$101,MATCH("*"&amp;$B31&amp;"*",Product_Registry!$B$2:$B$101,0)),"")),""))</f>
        <v/>
      </c>
      <c r="AM31" t="str">
        <f>IF($AL31="","",IFERROR(INDEX(Product_Registry!$B$2:$B$101,MATCH($AL31,Product_Registry!$A$2:$A$101,0)),""))</f>
        <v/>
      </c>
    </row>
    <row r="32" spans="1:39" x14ac:dyDescent="0.2">
      <c r="A32" s="27"/>
      <c r="B32" s="28"/>
      <c r="C32" s="20" t="str">
        <f>IF($AL32="","",IFERROR(INDEX(Product_Registry!$C$2:$C$101,MATCH($AL32,Product_Registry!$A$2:$A$101,0)),""))</f>
        <v/>
      </c>
      <c r="D32" s="21" t="str">
        <f>IF($AL32="","",IFERROR(INDEX(Product_Registry!$D$2:$D$101,MATCH($AL32,Product_Registry!$A$2:$A$101,0)),""))</f>
        <v/>
      </c>
      <c r="E32" s="17" t="str">
        <f>IF($AL32="","",IFERROR(INDEX(Product_Registry!$E$2:$E$101,MATCH($AL32,Product_Registry!$A$2:$A$101,0)),""))</f>
        <v/>
      </c>
      <c r="F32" s="17" t="str">
        <f>IF($AL32="","",IFERROR(INDEX(Product_Registry!$F$2:$F$101,MATCH($AL32,Product_Registry!$A$2:$A$101,0)),""))</f>
        <v/>
      </c>
      <c r="G32" s="21" t="str">
        <f>IF($AL32="","",IFERROR(INDEX(Product_Registry!$G$2:$G$101,MATCH($AL32,Product_Registry!$A$2:$A$101,0)),""))</f>
        <v/>
      </c>
      <c r="H32" s="21" t="str">
        <f>IF($AL32="","",IFERROR(INDEX(Product_Registry!$H$2:$H$101,MATCH($AL32,Product_Registry!$A$2:$A$101,0)),""))</f>
        <v/>
      </c>
      <c r="I32" s="21" t="str">
        <f>IF($AL32="","",IFERROR(INDEX(Product_Registry!$I$2:$I$101,MATCH($AL32,Product_Registry!$A$2:$A$101,0)),""))</f>
        <v/>
      </c>
      <c r="J32" s="21" t="str">
        <f>IF($AL32="","",IFERROR(INDEX(Product_Registry!$J$2:$J$101,MATCH($AL32,Product_Registry!$A$2:$A$101,0)),""))</f>
        <v/>
      </c>
      <c r="K32" s="21" t="str">
        <f>IF($AL32="","",IFERROR(INDEX(Product_Registry!$K$2:$K$101,MATCH($AL32,Product_Registry!$A$2:$A$101,0)),""))</f>
        <v/>
      </c>
      <c r="L32" s="21" t="str">
        <f>IF($AL32="","",IFERROR(INDEX(Product_Registry!$L$2:$L$101,MATCH($AL32,Product_Registry!$A$2:$A$101,0)),""))</f>
        <v/>
      </c>
      <c r="M32" s="21" t="str">
        <f>IF($AL32="","",IFERROR(INDEX(Product_Registry!$M$2:$M$101,MATCH($AL32,Product_Registry!$A$2:$A$101,0)),""))</f>
        <v/>
      </c>
      <c r="N32" s="6" t="str">
        <f>IF($AL32="","",$E32+SUMIFS('Logic &amp; Lists'!$E$4:$E$200,'Logic &amp; Lists'!$A$4:$A$200,$AK32,'Logic &amp; Lists'!$C$4:$C$200,"Level 1 Schedule"))</f>
        <v/>
      </c>
      <c r="O32" s="6" t="str">
        <f>IF($AL32="","",$P32+SUMIFS('Logic &amp; Lists'!$E$4:$E$200,'Logic &amp; Lists'!$A$4:$A$200,$AK32,'Logic &amp; Lists'!$C$4:$C$200,"Input Frozen"))</f>
        <v/>
      </c>
      <c r="P32" s="6" t="str">
        <f>IF($AL32="","",$Q32+SUMIFS('Logic &amp; Lists'!$E$4:$E$200,'Logic &amp; Lists'!$A$4:$A$200,$AK32,'Logic &amp; Lists'!$C$4:$C$200,"Drawing Approval"))</f>
        <v/>
      </c>
      <c r="Q32" s="6" t="str">
        <f>IF($AL32="","",$S32+SUMIFS('Logic &amp; Lists'!$E$4:$E$200,'Logic &amp; Lists'!$A$4:$A$200,$AK32,'Logic &amp; Lists'!$C$4:$C$200,"BOM Pass to PR"))</f>
        <v/>
      </c>
      <c r="R32" s="6" t="str">
        <f>IF($AL32="","",$S32+SUMIFS('Logic &amp; Lists'!$E$4:$E$200,'Logic &amp; Lists'!$A$4:$A$200,$AK32,'Logic &amp; Lists'!$C$4:$C$200,"PR Schedule"))</f>
        <v/>
      </c>
      <c r="S32" s="6" t="str">
        <f>IF($AL32="","",$T32+SUMIFS('Logic &amp; Lists'!$E$4:$E$200,'Logic &amp; Lists'!$A$4:$A$200,$AK32,'Logic &amp; Lists'!$C$4:$C$200,"Components PO Plan"))</f>
        <v/>
      </c>
      <c r="T32" s="6" t="str">
        <f>IF($AL32="","",$U32+SUMIFS('Logic &amp; Lists'!$E$4:$E$200,'Logic &amp; Lists'!$A$4:$A$200,$AK32,'Logic &amp; Lists'!$C$4:$C$200,"Production Start"))</f>
        <v/>
      </c>
      <c r="U32" s="6" t="str">
        <f>IF($AL32="","",$W32+SUMIFS('Logic &amp; Lists'!$E$4:$E$200,'Logic &amp; Lists'!$A$4:$A$200,$AK32,'Logic &amp; Lists'!$C$4:$C$200,"Production Complete"))</f>
        <v/>
      </c>
      <c r="V32" s="6" t="str">
        <f>IF($AL32="","",$Y32+SUMIFS('Logic &amp; Lists'!$E$4:$E$200,'Logic &amp; Lists'!$A$4:$A$200,$AK32,'Logic &amp; Lists'!$C$4:$C$200,"NOI Date"))</f>
        <v/>
      </c>
      <c r="W32" s="6" t="str">
        <f>IF($AL32="","",$X32+SUMIFS('Logic &amp; Lists'!$E$4:$E$200,'Logic &amp; Lists'!$A$4:$A$200,$AK32,'Logic &amp; Lists'!$C$4:$C$200,"Internal Test Start"))</f>
        <v/>
      </c>
      <c r="X32" s="6" t="str">
        <f>IF($AL32="","",$Y32+SUMIFS('Logic &amp; Lists'!$E$4:$E$200,'Logic &amp; Lists'!$A$4:$A$200,$AK32,'Logic &amp; Lists'!$C$4:$C$200,"Internal Test Complete"))</f>
        <v/>
      </c>
      <c r="Y32" s="6" t="str">
        <f>IF($AL32="","",$AA32+SUMIFS('Logic &amp; Lists'!$E$4:$E$200,'Logic &amp; Lists'!$A$4:$A$200,$AK32,'Logic &amp; Lists'!$C$4:$C$200,"FAT Start"))</f>
        <v/>
      </c>
      <c r="Z32" s="6" t="str">
        <f>IF($AL32="","",$Y32+SUMIFS('Logic &amp; Lists'!$E$4:$E$200,'Logic &amp; Lists'!$A$4:$A$200,$AK32,'Logic &amp; Lists'!$C$4:$C$200,"FAT Complete"))</f>
        <v/>
      </c>
      <c r="AA32" s="6" t="str">
        <f>IF($AL32="","",$F32+SUMIFS('Logic &amp; Lists'!$E$4:$E$200,'Logic &amp; Lists'!$A$4:$A$200,$AK32,'Logic &amp; Lists'!$C$4:$C$200,"Delivery"))</f>
        <v/>
      </c>
      <c r="AB32" s="8"/>
      <c r="AC32" s="8"/>
      <c r="AD32" s="8"/>
      <c r="AE32" s="8"/>
      <c r="AF32" s="16"/>
      <c r="AG32" s="8"/>
      <c r="AH32" s="5" t="str">
        <f t="shared" si="0"/>
        <v/>
      </c>
      <c r="AI32" s="18" t="str">
        <f t="shared" ca="1" si="1"/>
        <v/>
      </c>
      <c r="AJ32" s="7"/>
      <c r="AK32" s="5" t="str">
        <f>IF($AL32="","",IF(COUNTIF('Logic &amp; Lists'!$A$4:$A$200,$C32)&gt;0,$C32,"Default"))</f>
        <v/>
      </c>
      <c r="AL32" t="str">
        <f>IF($A32&lt;&gt;"",$A32,IF($B32&lt;&gt;"",IFERROR(INDEX(Product_Registry!$A$2:$A$101,MATCH($B32,Product_Registry!$B$2:$B$101,0)),IFERROR(INDEX(Product_Registry!$A$2:$A$101,MATCH("*"&amp;$B32&amp;"*",Product_Registry!$B$2:$B$101,0)),"")),""))</f>
        <v/>
      </c>
      <c r="AM32" t="str">
        <f>IF($AL32="","",IFERROR(INDEX(Product_Registry!$B$2:$B$101,MATCH($AL32,Product_Registry!$A$2:$A$101,0)),""))</f>
        <v/>
      </c>
    </row>
    <row r="33" spans="1:39" x14ac:dyDescent="0.2">
      <c r="A33" s="27"/>
      <c r="B33" s="28"/>
      <c r="C33" s="20" t="str">
        <f>IF($AL33="","",IFERROR(INDEX(Product_Registry!$C$2:$C$101,MATCH($AL33,Product_Registry!$A$2:$A$101,0)),""))</f>
        <v/>
      </c>
      <c r="D33" s="21" t="str">
        <f>IF($AL33="","",IFERROR(INDEX(Product_Registry!$D$2:$D$101,MATCH($AL33,Product_Registry!$A$2:$A$101,0)),""))</f>
        <v/>
      </c>
      <c r="E33" s="17" t="str">
        <f>IF($AL33="","",IFERROR(INDEX(Product_Registry!$E$2:$E$101,MATCH($AL33,Product_Registry!$A$2:$A$101,0)),""))</f>
        <v/>
      </c>
      <c r="F33" s="17" t="str">
        <f>IF($AL33="","",IFERROR(INDEX(Product_Registry!$F$2:$F$101,MATCH($AL33,Product_Registry!$A$2:$A$101,0)),""))</f>
        <v/>
      </c>
      <c r="G33" s="21" t="str">
        <f>IF($AL33="","",IFERROR(INDEX(Product_Registry!$G$2:$G$101,MATCH($AL33,Product_Registry!$A$2:$A$101,0)),""))</f>
        <v/>
      </c>
      <c r="H33" s="21" t="str">
        <f>IF($AL33="","",IFERROR(INDEX(Product_Registry!$H$2:$H$101,MATCH($AL33,Product_Registry!$A$2:$A$101,0)),""))</f>
        <v/>
      </c>
      <c r="I33" s="21" t="str">
        <f>IF($AL33="","",IFERROR(INDEX(Product_Registry!$I$2:$I$101,MATCH($AL33,Product_Registry!$A$2:$A$101,0)),""))</f>
        <v/>
      </c>
      <c r="J33" s="21" t="str">
        <f>IF($AL33="","",IFERROR(INDEX(Product_Registry!$J$2:$J$101,MATCH($AL33,Product_Registry!$A$2:$A$101,0)),""))</f>
        <v/>
      </c>
      <c r="K33" s="21" t="str">
        <f>IF($AL33="","",IFERROR(INDEX(Product_Registry!$K$2:$K$101,MATCH($AL33,Product_Registry!$A$2:$A$101,0)),""))</f>
        <v/>
      </c>
      <c r="L33" s="21" t="str">
        <f>IF($AL33="","",IFERROR(INDEX(Product_Registry!$L$2:$L$101,MATCH($AL33,Product_Registry!$A$2:$A$101,0)),""))</f>
        <v/>
      </c>
      <c r="M33" s="21" t="str">
        <f>IF($AL33="","",IFERROR(INDEX(Product_Registry!$M$2:$M$101,MATCH($AL33,Product_Registry!$A$2:$A$101,0)),""))</f>
        <v/>
      </c>
      <c r="N33" s="6" t="str">
        <f>IF($AL33="","",$E33+SUMIFS('Logic &amp; Lists'!$E$4:$E$200,'Logic &amp; Lists'!$A$4:$A$200,$AK33,'Logic &amp; Lists'!$C$4:$C$200,"Level 1 Schedule"))</f>
        <v/>
      </c>
      <c r="O33" s="6" t="str">
        <f>IF($AL33="","",$P33+SUMIFS('Logic &amp; Lists'!$E$4:$E$200,'Logic &amp; Lists'!$A$4:$A$200,$AK33,'Logic &amp; Lists'!$C$4:$C$200,"Input Frozen"))</f>
        <v/>
      </c>
      <c r="P33" s="6" t="str">
        <f>IF($AL33="","",$Q33+SUMIFS('Logic &amp; Lists'!$E$4:$E$200,'Logic &amp; Lists'!$A$4:$A$200,$AK33,'Logic &amp; Lists'!$C$4:$C$200,"Drawing Approval"))</f>
        <v/>
      </c>
      <c r="Q33" s="6" t="str">
        <f>IF($AL33="","",$S33+SUMIFS('Logic &amp; Lists'!$E$4:$E$200,'Logic &amp; Lists'!$A$4:$A$200,$AK33,'Logic &amp; Lists'!$C$4:$C$200,"BOM Pass to PR"))</f>
        <v/>
      </c>
      <c r="R33" s="6" t="str">
        <f>IF($AL33="","",$S33+SUMIFS('Logic &amp; Lists'!$E$4:$E$200,'Logic &amp; Lists'!$A$4:$A$200,$AK33,'Logic &amp; Lists'!$C$4:$C$200,"PR Schedule"))</f>
        <v/>
      </c>
      <c r="S33" s="6" t="str">
        <f>IF($AL33="","",$T33+SUMIFS('Logic &amp; Lists'!$E$4:$E$200,'Logic &amp; Lists'!$A$4:$A$200,$AK33,'Logic &amp; Lists'!$C$4:$C$200,"Components PO Plan"))</f>
        <v/>
      </c>
      <c r="T33" s="6" t="str">
        <f>IF($AL33="","",$U33+SUMIFS('Logic &amp; Lists'!$E$4:$E$200,'Logic &amp; Lists'!$A$4:$A$200,$AK33,'Logic &amp; Lists'!$C$4:$C$200,"Production Start"))</f>
        <v/>
      </c>
      <c r="U33" s="6" t="str">
        <f>IF($AL33="","",$W33+SUMIFS('Logic &amp; Lists'!$E$4:$E$200,'Logic &amp; Lists'!$A$4:$A$200,$AK33,'Logic &amp; Lists'!$C$4:$C$200,"Production Complete"))</f>
        <v/>
      </c>
      <c r="V33" s="6" t="str">
        <f>IF($AL33="","",$Y33+SUMIFS('Logic &amp; Lists'!$E$4:$E$200,'Logic &amp; Lists'!$A$4:$A$200,$AK33,'Logic &amp; Lists'!$C$4:$C$200,"NOI Date"))</f>
        <v/>
      </c>
      <c r="W33" s="6" t="str">
        <f>IF($AL33="","",$X33+SUMIFS('Logic &amp; Lists'!$E$4:$E$200,'Logic &amp; Lists'!$A$4:$A$200,$AK33,'Logic &amp; Lists'!$C$4:$C$200,"Internal Test Start"))</f>
        <v/>
      </c>
      <c r="X33" s="6" t="str">
        <f>IF($AL33="","",$Y33+SUMIFS('Logic &amp; Lists'!$E$4:$E$200,'Logic &amp; Lists'!$A$4:$A$200,$AK33,'Logic &amp; Lists'!$C$4:$C$200,"Internal Test Complete"))</f>
        <v/>
      </c>
      <c r="Y33" s="6" t="str">
        <f>IF($AL33="","",$AA33+SUMIFS('Logic &amp; Lists'!$E$4:$E$200,'Logic &amp; Lists'!$A$4:$A$200,$AK33,'Logic &amp; Lists'!$C$4:$C$200,"FAT Start"))</f>
        <v/>
      </c>
      <c r="Z33" s="6" t="str">
        <f>IF($AL33="","",$Y33+SUMIFS('Logic &amp; Lists'!$E$4:$E$200,'Logic &amp; Lists'!$A$4:$A$200,$AK33,'Logic &amp; Lists'!$C$4:$C$200,"FAT Complete"))</f>
        <v/>
      </c>
      <c r="AA33" s="6" t="str">
        <f>IF($AL33="","",$F33+SUMIFS('Logic &amp; Lists'!$E$4:$E$200,'Logic &amp; Lists'!$A$4:$A$200,$AK33,'Logic &amp; Lists'!$C$4:$C$200,"Delivery"))</f>
        <v/>
      </c>
      <c r="AB33" s="8"/>
      <c r="AC33" s="8"/>
      <c r="AD33" s="8"/>
      <c r="AE33" s="8"/>
      <c r="AF33" s="16"/>
      <c r="AG33" s="8"/>
      <c r="AH33" s="5" t="str">
        <f t="shared" si="0"/>
        <v/>
      </c>
      <c r="AI33" s="18" t="str">
        <f t="shared" ca="1" si="1"/>
        <v/>
      </c>
      <c r="AJ33" s="7"/>
      <c r="AK33" s="5" t="str">
        <f>IF($AL33="","",IF(COUNTIF('Logic &amp; Lists'!$A$4:$A$200,$C33)&gt;0,$C33,"Default"))</f>
        <v/>
      </c>
      <c r="AL33" t="str">
        <f>IF($A33&lt;&gt;"",$A33,IF($B33&lt;&gt;"",IFERROR(INDEX(Product_Registry!$A$2:$A$101,MATCH($B33,Product_Registry!$B$2:$B$101,0)),IFERROR(INDEX(Product_Registry!$A$2:$A$101,MATCH("*"&amp;$B33&amp;"*",Product_Registry!$B$2:$B$101,0)),"")),""))</f>
        <v/>
      </c>
      <c r="AM33" t="str">
        <f>IF($AL33="","",IFERROR(INDEX(Product_Registry!$B$2:$B$101,MATCH($AL33,Product_Registry!$A$2:$A$101,0)),""))</f>
        <v/>
      </c>
    </row>
    <row r="34" spans="1:39" x14ac:dyDescent="0.2">
      <c r="A34" s="27"/>
      <c r="B34" s="28"/>
      <c r="C34" s="20" t="str">
        <f>IF($AL34="","",IFERROR(INDEX(Product_Registry!$C$2:$C$101,MATCH($AL34,Product_Registry!$A$2:$A$101,0)),""))</f>
        <v/>
      </c>
      <c r="D34" s="21" t="str">
        <f>IF($AL34="","",IFERROR(INDEX(Product_Registry!$D$2:$D$101,MATCH($AL34,Product_Registry!$A$2:$A$101,0)),""))</f>
        <v/>
      </c>
      <c r="E34" s="17" t="str">
        <f>IF($AL34="","",IFERROR(INDEX(Product_Registry!$E$2:$E$101,MATCH($AL34,Product_Registry!$A$2:$A$101,0)),""))</f>
        <v/>
      </c>
      <c r="F34" s="17" t="str">
        <f>IF($AL34="","",IFERROR(INDEX(Product_Registry!$F$2:$F$101,MATCH($AL34,Product_Registry!$A$2:$A$101,0)),""))</f>
        <v/>
      </c>
      <c r="G34" s="21" t="str">
        <f>IF($AL34="","",IFERROR(INDEX(Product_Registry!$G$2:$G$101,MATCH($AL34,Product_Registry!$A$2:$A$101,0)),""))</f>
        <v/>
      </c>
      <c r="H34" s="21" t="str">
        <f>IF($AL34="","",IFERROR(INDEX(Product_Registry!$H$2:$H$101,MATCH($AL34,Product_Registry!$A$2:$A$101,0)),""))</f>
        <v/>
      </c>
      <c r="I34" s="21" t="str">
        <f>IF($AL34="","",IFERROR(INDEX(Product_Registry!$I$2:$I$101,MATCH($AL34,Product_Registry!$A$2:$A$101,0)),""))</f>
        <v/>
      </c>
      <c r="J34" s="21" t="str">
        <f>IF($AL34="","",IFERROR(INDEX(Product_Registry!$J$2:$J$101,MATCH($AL34,Product_Registry!$A$2:$A$101,0)),""))</f>
        <v/>
      </c>
      <c r="K34" s="21" t="str">
        <f>IF($AL34="","",IFERROR(INDEX(Product_Registry!$K$2:$K$101,MATCH($AL34,Product_Registry!$A$2:$A$101,0)),""))</f>
        <v/>
      </c>
      <c r="L34" s="21" t="str">
        <f>IF($AL34="","",IFERROR(INDEX(Product_Registry!$L$2:$L$101,MATCH($AL34,Product_Registry!$A$2:$A$101,0)),""))</f>
        <v/>
      </c>
      <c r="M34" s="21" t="str">
        <f>IF($AL34="","",IFERROR(INDEX(Product_Registry!$M$2:$M$101,MATCH($AL34,Product_Registry!$A$2:$A$101,0)),""))</f>
        <v/>
      </c>
      <c r="N34" s="6" t="str">
        <f>IF($AL34="","",$E34+SUMIFS('Logic &amp; Lists'!$E$4:$E$200,'Logic &amp; Lists'!$A$4:$A$200,$AK34,'Logic &amp; Lists'!$C$4:$C$200,"Level 1 Schedule"))</f>
        <v/>
      </c>
      <c r="O34" s="6" t="str">
        <f>IF($AL34="","",$P34+SUMIFS('Logic &amp; Lists'!$E$4:$E$200,'Logic &amp; Lists'!$A$4:$A$200,$AK34,'Logic &amp; Lists'!$C$4:$C$200,"Input Frozen"))</f>
        <v/>
      </c>
      <c r="P34" s="6" t="str">
        <f>IF($AL34="","",$Q34+SUMIFS('Logic &amp; Lists'!$E$4:$E$200,'Logic &amp; Lists'!$A$4:$A$200,$AK34,'Logic &amp; Lists'!$C$4:$C$200,"Drawing Approval"))</f>
        <v/>
      </c>
      <c r="Q34" s="6" t="str">
        <f>IF($AL34="","",$S34+SUMIFS('Logic &amp; Lists'!$E$4:$E$200,'Logic &amp; Lists'!$A$4:$A$200,$AK34,'Logic &amp; Lists'!$C$4:$C$200,"BOM Pass to PR"))</f>
        <v/>
      </c>
      <c r="R34" s="6" t="str">
        <f>IF($AL34="","",$S34+SUMIFS('Logic &amp; Lists'!$E$4:$E$200,'Logic &amp; Lists'!$A$4:$A$200,$AK34,'Logic &amp; Lists'!$C$4:$C$200,"PR Schedule"))</f>
        <v/>
      </c>
      <c r="S34" s="6" t="str">
        <f>IF($AL34="","",$T34+SUMIFS('Logic &amp; Lists'!$E$4:$E$200,'Logic &amp; Lists'!$A$4:$A$200,$AK34,'Logic &amp; Lists'!$C$4:$C$200,"Components PO Plan"))</f>
        <v/>
      </c>
      <c r="T34" s="6" t="str">
        <f>IF($AL34="","",$U34+SUMIFS('Logic &amp; Lists'!$E$4:$E$200,'Logic &amp; Lists'!$A$4:$A$200,$AK34,'Logic &amp; Lists'!$C$4:$C$200,"Production Start"))</f>
        <v/>
      </c>
      <c r="U34" s="6" t="str">
        <f>IF($AL34="","",$W34+SUMIFS('Logic &amp; Lists'!$E$4:$E$200,'Logic &amp; Lists'!$A$4:$A$200,$AK34,'Logic &amp; Lists'!$C$4:$C$200,"Production Complete"))</f>
        <v/>
      </c>
      <c r="V34" s="6" t="str">
        <f>IF($AL34="","",$Y34+SUMIFS('Logic &amp; Lists'!$E$4:$E$200,'Logic &amp; Lists'!$A$4:$A$200,$AK34,'Logic &amp; Lists'!$C$4:$C$200,"NOI Date"))</f>
        <v/>
      </c>
      <c r="W34" s="6" t="str">
        <f>IF($AL34="","",$X34+SUMIFS('Logic &amp; Lists'!$E$4:$E$200,'Logic &amp; Lists'!$A$4:$A$200,$AK34,'Logic &amp; Lists'!$C$4:$C$200,"Internal Test Start"))</f>
        <v/>
      </c>
      <c r="X34" s="6" t="str">
        <f>IF($AL34="","",$Y34+SUMIFS('Logic &amp; Lists'!$E$4:$E$200,'Logic &amp; Lists'!$A$4:$A$200,$AK34,'Logic &amp; Lists'!$C$4:$C$200,"Internal Test Complete"))</f>
        <v/>
      </c>
      <c r="Y34" s="6" t="str">
        <f>IF($AL34="","",$AA34+SUMIFS('Logic &amp; Lists'!$E$4:$E$200,'Logic &amp; Lists'!$A$4:$A$200,$AK34,'Logic &amp; Lists'!$C$4:$C$200,"FAT Start"))</f>
        <v/>
      </c>
      <c r="Z34" s="6" t="str">
        <f>IF($AL34="","",$Y34+SUMIFS('Logic &amp; Lists'!$E$4:$E$200,'Logic &amp; Lists'!$A$4:$A$200,$AK34,'Logic &amp; Lists'!$C$4:$C$200,"FAT Complete"))</f>
        <v/>
      </c>
      <c r="AA34" s="6" t="str">
        <f>IF($AL34="","",$F34+SUMIFS('Logic &amp; Lists'!$E$4:$E$200,'Logic &amp; Lists'!$A$4:$A$200,$AK34,'Logic &amp; Lists'!$C$4:$C$200,"Delivery"))</f>
        <v/>
      </c>
      <c r="AB34" s="8"/>
      <c r="AC34" s="8"/>
      <c r="AD34" s="8"/>
      <c r="AE34" s="8"/>
      <c r="AF34" s="16"/>
      <c r="AG34" s="8"/>
      <c r="AH34" s="5" t="str">
        <f t="shared" ref="AH34:AH65" si="2">IF($AL34="","",IF($AI34&lt;0,"At Risk",IF($AI34&lt;=30,"Watch","On Track")))</f>
        <v/>
      </c>
      <c r="AI34" s="18" t="str">
        <f t="shared" ref="AI34:AI65" ca="1" si="3">IF($F34="","",$F34-TODAY())</f>
        <v/>
      </c>
      <c r="AJ34" s="7"/>
      <c r="AK34" s="5" t="str">
        <f>IF($AL34="","",IF(COUNTIF('Logic &amp; Lists'!$A$4:$A$200,$C34)&gt;0,$C34,"Default"))</f>
        <v/>
      </c>
      <c r="AL34" t="str">
        <f>IF($A34&lt;&gt;"",$A34,IF($B34&lt;&gt;"",IFERROR(INDEX(Product_Registry!$A$2:$A$101,MATCH($B34,Product_Registry!$B$2:$B$101,0)),IFERROR(INDEX(Product_Registry!$A$2:$A$101,MATCH("*"&amp;$B34&amp;"*",Product_Registry!$B$2:$B$101,0)),"")),""))</f>
        <v/>
      </c>
      <c r="AM34" t="str">
        <f>IF($AL34="","",IFERROR(INDEX(Product_Registry!$B$2:$B$101,MATCH($AL34,Product_Registry!$A$2:$A$101,0)),""))</f>
        <v/>
      </c>
    </row>
    <row r="35" spans="1:39" x14ac:dyDescent="0.2">
      <c r="A35" s="27"/>
      <c r="B35" s="28"/>
      <c r="C35" s="20" t="str">
        <f>IF($AL35="","",IFERROR(INDEX(Product_Registry!$C$2:$C$101,MATCH($AL35,Product_Registry!$A$2:$A$101,0)),""))</f>
        <v/>
      </c>
      <c r="D35" s="21" t="str">
        <f>IF($AL35="","",IFERROR(INDEX(Product_Registry!$D$2:$D$101,MATCH($AL35,Product_Registry!$A$2:$A$101,0)),""))</f>
        <v/>
      </c>
      <c r="E35" s="17" t="str">
        <f>IF($AL35="","",IFERROR(INDEX(Product_Registry!$E$2:$E$101,MATCH($AL35,Product_Registry!$A$2:$A$101,0)),""))</f>
        <v/>
      </c>
      <c r="F35" s="17" t="str">
        <f>IF($AL35="","",IFERROR(INDEX(Product_Registry!$F$2:$F$101,MATCH($AL35,Product_Registry!$A$2:$A$101,0)),""))</f>
        <v/>
      </c>
      <c r="G35" s="21" t="str">
        <f>IF($AL35="","",IFERROR(INDEX(Product_Registry!$G$2:$G$101,MATCH($AL35,Product_Registry!$A$2:$A$101,0)),""))</f>
        <v/>
      </c>
      <c r="H35" s="21" t="str">
        <f>IF($AL35="","",IFERROR(INDEX(Product_Registry!$H$2:$H$101,MATCH($AL35,Product_Registry!$A$2:$A$101,0)),""))</f>
        <v/>
      </c>
      <c r="I35" s="21" t="str">
        <f>IF($AL35="","",IFERROR(INDEX(Product_Registry!$I$2:$I$101,MATCH($AL35,Product_Registry!$A$2:$A$101,0)),""))</f>
        <v/>
      </c>
      <c r="J35" s="21" t="str">
        <f>IF($AL35="","",IFERROR(INDEX(Product_Registry!$J$2:$J$101,MATCH($AL35,Product_Registry!$A$2:$A$101,0)),""))</f>
        <v/>
      </c>
      <c r="K35" s="21" t="str">
        <f>IF($AL35="","",IFERROR(INDEX(Product_Registry!$K$2:$K$101,MATCH($AL35,Product_Registry!$A$2:$A$101,0)),""))</f>
        <v/>
      </c>
      <c r="L35" s="21" t="str">
        <f>IF($AL35="","",IFERROR(INDEX(Product_Registry!$L$2:$L$101,MATCH($AL35,Product_Registry!$A$2:$A$101,0)),""))</f>
        <v/>
      </c>
      <c r="M35" s="21" t="str">
        <f>IF($AL35="","",IFERROR(INDEX(Product_Registry!$M$2:$M$101,MATCH($AL35,Product_Registry!$A$2:$A$101,0)),""))</f>
        <v/>
      </c>
      <c r="N35" s="6" t="str">
        <f>IF($AL35="","",$E35+SUMIFS('Logic &amp; Lists'!$E$4:$E$200,'Logic &amp; Lists'!$A$4:$A$200,$AK35,'Logic &amp; Lists'!$C$4:$C$200,"Level 1 Schedule"))</f>
        <v/>
      </c>
      <c r="O35" s="6" t="str">
        <f>IF($AL35="","",$P35+SUMIFS('Logic &amp; Lists'!$E$4:$E$200,'Logic &amp; Lists'!$A$4:$A$200,$AK35,'Logic &amp; Lists'!$C$4:$C$200,"Input Frozen"))</f>
        <v/>
      </c>
      <c r="P35" s="6" t="str">
        <f>IF($AL35="","",$Q35+SUMIFS('Logic &amp; Lists'!$E$4:$E$200,'Logic &amp; Lists'!$A$4:$A$200,$AK35,'Logic &amp; Lists'!$C$4:$C$200,"Drawing Approval"))</f>
        <v/>
      </c>
      <c r="Q35" s="6" t="str">
        <f>IF($AL35="","",$S35+SUMIFS('Logic &amp; Lists'!$E$4:$E$200,'Logic &amp; Lists'!$A$4:$A$200,$AK35,'Logic &amp; Lists'!$C$4:$C$200,"BOM Pass to PR"))</f>
        <v/>
      </c>
      <c r="R35" s="6" t="str">
        <f>IF($AL35="","",$S35+SUMIFS('Logic &amp; Lists'!$E$4:$E$200,'Logic &amp; Lists'!$A$4:$A$200,$AK35,'Logic &amp; Lists'!$C$4:$C$200,"PR Schedule"))</f>
        <v/>
      </c>
      <c r="S35" s="6" t="str">
        <f>IF($AL35="","",$T35+SUMIFS('Logic &amp; Lists'!$E$4:$E$200,'Logic &amp; Lists'!$A$4:$A$200,$AK35,'Logic &amp; Lists'!$C$4:$C$200,"Components PO Plan"))</f>
        <v/>
      </c>
      <c r="T35" s="6" t="str">
        <f>IF($AL35="","",$U35+SUMIFS('Logic &amp; Lists'!$E$4:$E$200,'Logic &amp; Lists'!$A$4:$A$200,$AK35,'Logic &amp; Lists'!$C$4:$C$200,"Production Start"))</f>
        <v/>
      </c>
      <c r="U35" s="6" t="str">
        <f>IF($AL35="","",$W35+SUMIFS('Logic &amp; Lists'!$E$4:$E$200,'Logic &amp; Lists'!$A$4:$A$200,$AK35,'Logic &amp; Lists'!$C$4:$C$200,"Production Complete"))</f>
        <v/>
      </c>
      <c r="V35" s="6" t="str">
        <f>IF($AL35="","",$Y35+SUMIFS('Logic &amp; Lists'!$E$4:$E$200,'Logic &amp; Lists'!$A$4:$A$200,$AK35,'Logic &amp; Lists'!$C$4:$C$200,"NOI Date"))</f>
        <v/>
      </c>
      <c r="W35" s="6" t="str">
        <f>IF($AL35="","",$X35+SUMIFS('Logic &amp; Lists'!$E$4:$E$200,'Logic &amp; Lists'!$A$4:$A$200,$AK35,'Logic &amp; Lists'!$C$4:$C$200,"Internal Test Start"))</f>
        <v/>
      </c>
      <c r="X35" s="6" t="str">
        <f>IF($AL35="","",$Y35+SUMIFS('Logic &amp; Lists'!$E$4:$E$200,'Logic &amp; Lists'!$A$4:$A$200,$AK35,'Logic &amp; Lists'!$C$4:$C$200,"Internal Test Complete"))</f>
        <v/>
      </c>
      <c r="Y35" s="6" t="str">
        <f>IF($AL35="","",$AA35+SUMIFS('Logic &amp; Lists'!$E$4:$E$200,'Logic &amp; Lists'!$A$4:$A$200,$AK35,'Logic &amp; Lists'!$C$4:$C$200,"FAT Start"))</f>
        <v/>
      </c>
      <c r="Z35" s="6" t="str">
        <f>IF($AL35="","",$Y35+SUMIFS('Logic &amp; Lists'!$E$4:$E$200,'Logic &amp; Lists'!$A$4:$A$200,$AK35,'Logic &amp; Lists'!$C$4:$C$200,"FAT Complete"))</f>
        <v/>
      </c>
      <c r="AA35" s="6" t="str">
        <f>IF($AL35="","",$F35+SUMIFS('Logic &amp; Lists'!$E$4:$E$200,'Logic &amp; Lists'!$A$4:$A$200,$AK35,'Logic &amp; Lists'!$C$4:$C$200,"Delivery"))</f>
        <v/>
      </c>
      <c r="AB35" s="8"/>
      <c r="AC35" s="8"/>
      <c r="AD35" s="8"/>
      <c r="AE35" s="8"/>
      <c r="AF35" s="16"/>
      <c r="AG35" s="8"/>
      <c r="AH35" s="5" t="str">
        <f t="shared" si="2"/>
        <v/>
      </c>
      <c r="AI35" s="18" t="str">
        <f t="shared" ca="1" si="3"/>
        <v/>
      </c>
      <c r="AJ35" s="7"/>
      <c r="AK35" s="5" t="str">
        <f>IF($AL35="","",IF(COUNTIF('Logic &amp; Lists'!$A$4:$A$200,$C35)&gt;0,$C35,"Default"))</f>
        <v/>
      </c>
      <c r="AL35" t="str">
        <f>IF($A35&lt;&gt;"",$A35,IF($B35&lt;&gt;"",IFERROR(INDEX(Product_Registry!$A$2:$A$101,MATCH($B35,Product_Registry!$B$2:$B$101,0)),IFERROR(INDEX(Product_Registry!$A$2:$A$101,MATCH("*"&amp;$B35&amp;"*",Product_Registry!$B$2:$B$101,0)),"")),""))</f>
        <v/>
      </c>
      <c r="AM35" t="str">
        <f>IF($AL35="","",IFERROR(INDEX(Product_Registry!$B$2:$B$101,MATCH($AL35,Product_Registry!$A$2:$A$101,0)),""))</f>
        <v/>
      </c>
    </row>
    <row r="36" spans="1:39" x14ac:dyDescent="0.2">
      <c r="A36" s="27"/>
      <c r="B36" s="28"/>
      <c r="C36" s="20" t="str">
        <f>IF($AL36="","",IFERROR(INDEX(Product_Registry!$C$2:$C$101,MATCH($AL36,Product_Registry!$A$2:$A$101,0)),""))</f>
        <v/>
      </c>
      <c r="D36" s="21" t="str">
        <f>IF($AL36="","",IFERROR(INDEX(Product_Registry!$D$2:$D$101,MATCH($AL36,Product_Registry!$A$2:$A$101,0)),""))</f>
        <v/>
      </c>
      <c r="E36" s="17" t="str">
        <f>IF($AL36="","",IFERROR(INDEX(Product_Registry!$E$2:$E$101,MATCH($AL36,Product_Registry!$A$2:$A$101,0)),""))</f>
        <v/>
      </c>
      <c r="F36" s="17" t="str">
        <f>IF($AL36="","",IFERROR(INDEX(Product_Registry!$F$2:$F$101,MATCH($AL36,Product_Registry!$A$2:$A$101,0)),""))</f>
        <v/>
      </c>
      <c r="G36" s="21" t="str">
        <f>IF($AL36="","",IFERROR(INDEX(Product_Registry!$G$2:$G$101,MATCH($AL36,Product_Registry!$A$2:$A$101,0)),""))</f>
        <v/>
      </c>
      <c r="H36" s="21" t="str">
        <f>IF($AL36="","",IFERROR(INDEX(Product_Registry!$H$2:$H$101,MATCH($AL36,Product_Registry!$A$2:$A$101,0)),""))</f>
        <v/>
      </c>
      <c r="I36" s="21" t="str">
        <f>IF($AL36="","",IFERROR(INDEX(Product_Registry!$I$2:$I$101,MATCH($AL36,Product_Registry!$A$2:$A$101,0)),""))</f>
        <v/>
      </c>
      <c r="J36" s="21" t="str">
        <f>IF($AL36="","",IFERROR(INDEX(Product_Registry!$J$2:$J$101,MATCH($AL36,Product_Registry!$A$2:$A$101,0)),""))</f>
        <v/>
      </c>
      <c r="K36" s="21" t="str">
        <f>IF($AL36="","",IFERROR(INDEX(Product_Registry!$K$2:$K$101,MATCH($AL36,Product_Registry!$A$2:$A$101,0)),""))</f>
        <v/>
      </c>
      <c r="L36" s="21" t="str">
        <f>IF($AL36="","",IFERROR(INDEX(Product_Registry!$L$2:$L$101,MATCH($AL36,Product_Registry!$A$2:$A$101,0)),""))</f>
        <v/>
      </c>
      <c r="M36" s="21" t="str">
        <f>IF($AL36="","",IFERROR(INDEX(Product_Registry!$M$2:$M$101,MATCH($AL36,Product_Registry!$A$2:$A$101,0)),""))</f>
        <v/>
      </c>
      <c r="N36" s="6" t="str">
        <f>IF($AL36="","",$E36+SUMIFS('Logic &amp; Lists'!$E$4:$E$200,'Logic &amp; Lists'!$A$4:$A$200,$AK36,'Logic &amp; Lists'!$C$4:$C$200,"Level 1 Schedule"))</f>
        <v/>
      </c>
      <c r="O36" s="6" t="str">
        <f>IF($AL36="","",$P36+SUMIFS('Logic &amp; Lists'!$E$4:$E$200,'Logic &amp; Lists'!$A$4:$A$200,$AK36,'Logic &amp; Lists'!$C$4:$C$200,"Input Frozen"))</f>
        <v/>
      </c>
      <c r="P36" s="6" t="str">
        <f>IF($AL36="","",$Q36+SUMIFS('Logic &amp; Lists'!$E$4:$E$200,'Logic &amp; Lists'!$A$4:$A$200,$AK36,'Logic &amp; Lists'!$C$4:$C$200,"Drawing Approval"))</f>
        <v/>
      </c>
      <c r="Q36" s="6" t="str">
        <f>IF($AL36="","",$S36+SUMIFS('Logic &amp; Lists'!$E$4:$E$200,'Logic &amp; Lists'!$A$4:$A$200,$AK36,'Logic &amp; Lists'!$C$4:$C$200,"BOM Pass to PR"))</f>
        <v/>
      </c>
      <c r="R36" s="6" t="str">
        <f>IF($AL36="","",$S36+SUMIFS('Logic &amp; Lists'!$E$4:$E$200,'Logic &amp; Lists'!$A$4:$A$200,$AK36,'Logic &amp; Lists'!$C$4:$C$200,"PR Schedule"))</f>
        <v/>
      </c>
      <c r="S36" s="6" t="str">
        <f>IF($AL36="","",$T36+SUMIFS('Logic &amp; Lists'!$E$4:$E$200,'Logic &amp; Lists'!$A$4:$A$200,$AK36,'Logic &amp; Lists'!$C$4:$C$200,"Components PO Plan"))</f>
        <v/>
      </c>
      <c r="T36" s="6" t="str">
        <f>IF($AL36="","",$U36+SUMIFS('Logic &amp; Lists'!$E$4:$E$200,'Logic &amp; Lists'!$A$4:$A$200,$AK36,'Logic &amp; Lists'!$C$4:$C$200,"Production Start"))</f>
        <v/>
      </c>
      <c r="U36" s="6" t="str">
        <f>IF($AL36="","",$W36+SUMIFS('Logic &amp; Lists'!$E$4:$E$200,'Logic &amp; Lists'!$A$4:$A$200,$AK36,'Logic &amp; Lists'!$C$4:$C$200,"Production Complete"))</f>
        <v/>
      </c>
      <c r="V36" s="6" t="str">
        <f>IF($AL36="","",$Y36+SUMIFS('Logic &amp; Lists'!$E$4:$E$200,'Logic &amp; Lists'!$A$4:$A$200,$AK36,'Logic &amp; Lists'!$C$4:$C$200,"NOI Date"))</f>
        <v/>
      </c>
      <c r="W36" s="6" t="str">
        <f>IF($AL36="","",$X36+SUMIFS('Logic &amp; Lists'!$E$4:$E$200,'Logic &amp; Lists'!$A$4:$A$200,$AK36,'Logic &amp; Lists'!$C$4:$C$200,"Internal Test Start"))</f>
        <v/>
      </c>
      <c r="X36" s="6" t="str">
        <f>IF($AL36="","",$Y36+SUMIFS('Logic &amp; Lists'!$E$4:$E$200,'Logic &amp; Lists'!$A$4:$A$200,$AK36,'Logic &amp; Lists'!$C$4:$C$200,"Internal Test Complete"))</f>
        <v/>
      </c>
      <c r="Y36" s="6" t="str">
        <f>IF($AL36="","",$AA36+SUMIFS('Logic &amp; Lists'!$E$4:$E$200,'Logic &amp; Lists'!$A$4:$A$200,$AK36,'Logic &amp; Lists'!$C$4:$C$200,"FAT Start"))</f>
        <v/>
      </c>
      <c r="Z36" s="6" t="str">
        <f>IF($AL36="","",$Y36+SUMIFS('Logic &amp; Lists'!$E$4:$E$200,'Logic &amp; Lists'!$A$4:$A$200,$AK36,'Logic &amp; Lists'!$C$4:$C$200,"FAT Complete"))</f>
        <v/>
      </c>
      <c r="AA36" s="6" t="str">
        <f>IF($AL36="","",$F36+SUMIFS('Logic &amp; Lists'!$E$4:$E$200,'Logic &amp; Lists'!$A$4:$A$200,$AK36,'Logic &amp; Lists'!$C$4:$C$200,"Delivery"))</f>
        <v/>
      </c>
      <c r="AB36" s="8"/>
      <c r="AC36" s="8"/>
      <c r="AD36" s="8"/>
      <c r="AE36" s="8"/>
      <c r="AF36" s="16"/>
      <c r="AG36" s="8"/>
      <c r="AH36" s="5" t="str">
        <f t="shared" si="2"/>
        <v/>
      </c>
      <c r="AI36" s="18" t="str">
        <f t="shared" ca="1" si="3"/>
        <v/>
      </c>
      <c r="AJ36" s="7"/>
      <c r="AK36" s="5" t="str">
        <f>IF($AL36="","",IF(COUNTIF('Logic &amp; Lists'!$A$4:$A$200,$C36)&gt;0,$C36,"Default"))</f>
        <v/>
      </c>
      <c r="AL36" t="str">
        <f>IF($A36&lt;&gt;"",$A36,IF($B36&lt;&gt;"",IFERROR(INDEX(Product_Registry!$A$2:$A$101,MATCH($B36,Product_Registry!$B$2:$B$101,0)),IFERROR(INDEX(Product_Registry!$A$2:$A$101,MATCH("*"&amp;$B36&amp;"*",Product_Registry!$B$2:$B$101,0)),"")),""))</f>
        <v/>
      </c>
      <c r="AM36" t="str">
        <f>IF($AL36="","",IFERROR(INDEX(Product_Registry!$B$2:$B$101,MATCH($AL36,Product_Registry!$A$2:$A$101,0)),""))</f>
        <v/>
      </c>
    </row>
    <row r="37" spans="1:39" x14ac:dyDescent="0.2">
      <c r="A37" s="27"/>
      <c r="B37" s="28"/>
      <c r="C37" s="20" t="str">
        <f>IF($AL37="","",IFERROR(INDEX(Product_Registry!$C$2:$C$101,MATCH($AL37,Product_Registry!$A$2:$A$101,0)),""))</f>
        <v/>
      </c>
      <c r="D37" s="21" t="str">
        <f>IF($AL37="","",IFERROR(INDEX(Product_Registry!$D$2:$D$101,MATCH($AL37,Product_Registry!$A$2:$A$101,0)),""))</f>
        <v/>
      </c>
      <c r="E37" s="17" t="str">
        <f>IF($AL37="","",IFERROR(INDEX(Product_Registry!$E$2:$E$101,MATCH($AL37,Product_Registry!$A$2:$A$101,0)),""))</f>
        <v/>
      </c>
      <c r="F37" s="17" t="str">
        <f>IF($AL37="","",IFERROR(INDEX(Product_Registry!$F$2:$F$101,MATCH($AL37,Product_Registry!$A$2:$A$101,0)),""))</f>
        <v/>
      </c>
      <c r="G37" s="21" t="str">
        <f>IF($AL37="","",IFERROR(INDEX(Product_Registry!$G$2:$G$101,MATCH($AL37,Product_Registry!$A$2:$A$101,0)),""))</f>
        <v/>
      </c>
      <c r="H37" s="21" t="str">
        <f>IF($AL37="","",IFERROR(INDEX(Product_Registry!$H$2:$H$101,MATCH($AL37,Product_Registry!$A$2:$A$101,0)),""))</f>
        <v/>
      </c>
      <c r="I37" s="21" t="str">
        <f>IF($AL37="","",IFERROR(INDEX(Product_Registry!$I$2:$I$101,MATCH($AL37,Product_Registry!$A$2:$A$101,0)),""))</f>
        <v/>
      </c>
      <c r="J37" s="21" t="str">
        <f>IF($AL37="","",IFERROR(INDEX(Product_Registry!$J$2:$J$101,MATCH($AL37,Product_Registry!$A$2:$A$101,0)),""))</f>
        <v/>
      </c>
      <c r="K37" s="21" t="str">
        <f>IF($AL37="","",IFERROR(INDEX(Product_Registry!$K$2:$K$101,MATCH($AL37,Product_Registry!$A$2:$A$101,0)),""))</f>
        <v/>
      </c>
      <c r="L37" s="21" t="str">
        <f>IF($AL37="","",IFERROR(INDEX(Product_Registry!$L$2:$L$101,MATCH($AL37,Product_Registry!$A$2:$A$101,0)),""))</f>
        <v/>
      </c>
      <c r="M37" s="21" t="str">
        <f>IF($AL37="","",IFERROR(INDEX(Product_Registry!$M$2:$M$101,MATCH($AL37,Product_Registry!$A$2:$A$101,0)),""))</f>
        <v/>
      </c>
      <c r="N37" s="6" t="str">
        <f>IF($AL37="","",$E37+SUMIFS('Logic &amp; Lists'!$E$4:$E$200,'Logic &amp; Lists'!$A$4:$A$200,$AK37,'Logic &amp; Lists'!$C$4:$C$200,"Level 1 Schedule"))</f>
        <v/>
      </c>
      <c r="O37" s="6" t="str">
        <f>IF($AL37="","",$P37+SUMIFS('Logic &amp; Lists'!$E$4:$E$200,'Logic &amp; Lists'!$A$4:$A$200,$AK37,'Logic &amp; Lists'!$C$4:$C$200,"Input Frozen"))</f>
        <v/>
      </c>
      <c r="P37" s="6" t="str">
        <f>IF($AL37="","",$Q37+SUMIFS('Logic &amp; Lists'!$E$4:$E$200,'Logic &amp; Lists'!$A$4:$A$200,$AK37,'Logic &amp; Lists'!$C$4:$C$200,"Drawing Approval"))</f>
        <v/>
      </c>
      <c r="Q37" s="6" t="str">
        <f>IF($AL37="","",$S37+SUMIFS('Logic &amp; Lists'!$E$4:$E$200,'Logic &amp; Lists'!$A$4:$A$200,$AK37,'Logic &amp; Lists'!$C$4:$C$200,"BOM Pass to PR"))</f>
        <v/>
      </c>
      <c r="R37" s="6" t="str">
        <f>IF($AL37="","",$S37+SUMIFS('Logic &amp; Lists'!$E$4:$E$200,'Logic &amp; Lists'!$A$4:$A$200,$AK37,'Logic &amp; Lists'!$C$4:$C$200,"PR Schedule"))</f>
        <v/>
      </c>
      <c r="S37" s="6" t="str">
        <f>IF($AL37="","",$T37+SUMIFS('Logic &amp; Lists'!$E$4:$E$200,'Logic &amp; Lists'!$A$4:$A$200,$AK37,'Logic &amp; Lists'!$C$4:$C$200,"Components PO Plan"))</f>
        <v/>
      </c>
      <c r="T37" s="6" t="str">
        <f>IF($AL37="","",$U37+SUMIFS('Logic &amp; Lists'!$E$4:$E$200,'Logic &amp; Lists'!$A$4:$A$200,$AK37,'Logic &amp; Lists'!$C$4:$C$200,"Production Start"))</f>
        <v/>
      </c>
      <c r="U37" s="6" t="str">
        <f>IF($AL37="","",$W37+SUMIFS('Logic &amp; Lists'!$E$4:$E$200,'Logic &amp; Lists'!$A$4:$A$200,$AK37,'Logic &amp; Lists'!$C$4:$C$200,"Production Complete"))</f>
        <v/>
      </c>
      <c r="V37" s="6" t="str">
        <f>IF($AL37="","",$Y37+SUMIFS('Logic &amp; Lists'!$E$4:$E$200,'Logic &amp; Lists'!$A$4:$A$200,$AK37,'Logic &amp; Lists'!$C$4:$C$200,"NOI Date"))</f>
        <v/>
      </c>
      <c r="W37" s="6" t="str">
        <f>IF($AL37="","",$X37+SUMIFS('Logic &amp; Lists'!$E$4:$E$200,'Logic &amp; Lists'!$A$4:$A$200,$AK37,'Logic &amp; Lists'!$C$4:$C$200,"Internal Test Start"))</f>
        <v/>
      </c>
      <c r="X37" s="6" t="str">
        <f>IF($AL37="","",$Y37+SUMIFS('Logic &amp; Lists'!$E$4:$E$200,'Logic &amp; Lists'!$A$4:$A$200,$AK37,'Logic &amp; Lists'!$C$4:$C$200,"Internal Test Complete"))</f>
        <v/>
      </c>
      <c r="Y37" s="6" t="str">
        <f>IF($AL37="","",$AA37+SUMIFS('Logic &amp; Lists'!$E$4:$E$200,'Logic &amp; Lists'!$A$4:$A$200,$AK37,'Logic &amp; Lists'!$C$4:$C$200,"FAT Start"))</f>
        <v/>
      </c>
      <c r="Z37" s="6" t="str">
        <f>IF($AL37="","",$Y37+SUMIFS('Logic &amp; Lists'!$E$4:$E$200,'Logic &amp; Lists'!$A$4:$A$200,$AK37,'Logic &amp; Lists'!$C$4:$C$200,"FAT Complete"))</f>
        <v/>
      </c>
      <c r="AA37" s="6" t="str">
        <f>IF($AL37="","",$F37+SUMIFS('Logic &amp; Lists'!$E$4:$E$200,'Logic &amp; Lists'!$A$4:$A$200,$AK37,'Logic &amp; Lists'!$C$4:$C$200,"Delivery"))</f>
        <v/>
      </c>
      <c r="AB37" s="8"/>
      <c r="AC37" s="8"/>
      <c r="AD37" s="8"/>
      <c r="AE37" s="8"/>
      <c r="AF37" s="16"/>
      <c r="AG37" s="8"/>
      <c r="AH37" s="5" t="str">
        <f t="shared" si="2"/>
        <v/>
      </c>
      <c r="AI37" s="18" t="str">
        <f t="shared" ca="1" si="3"/>
        <v/>
      </c>
      <c r="AJ37" s="7"/>
      <c r="AK37" s="5" t="str">
        <f>IF($AL37="","",IF(COUNTIF('Logic &amp; Lists'!$A$4:$A$200,$C37)&gt;0,$C37,"Default"))</f>
        <v/>
      </c>
      <c r="AL37" t="str">
        <f>IF($A37&lt;&gt;"",$A37,IF($B37&lt;&gt;"",IFERROR(INDEX(Product_Registry!$A$2:$A$101,MATCH($B37,Product_Registry!$B$2:$B$101,0)),IFERROR(INDEX(Product_Registry!$A$2:$A$101,MATCH("*"&amp;$B37&amp;"*",Product_Registry!$B$2:$B$101,0)),"")),""))</f>
        <v/>
      </c>
      <c r="AM37" t="str">
        <f>IF($AL37="","",IFERROR(INDEX(Product_Registry!$B$2:$B$101,MATCH($AL37,Product_Registry!$A$2:$A$101,0)),""))</f>
        <v/>
      </c>
    </row>
    <row r="38" spans="1:39" x14ac:dyDescent="0.2">
      <c r="A38" s="27"/>
      <c r="B38" s="28"/>
      <c r="C38" s="20" t="str">
        <f>IF($AL38="","",IFERROR(INDEX(Product_Registry!$C$2:$C$101,MATCH($AL38,Product_Registry!$A$2:$A$101,0)),""))</f>
        <v/>
      </c>
      <c r="D38" s="21" t="str">
        <f>IF($AL38="","",IFERROR(INDEX(Product_Registry!$D$2:$D$101,MATCH($AL38,Product_Registry!$A$2:$A$101,0)),""))</f>
        <v/>
      </c>
      <c r="E38" s="17" t="str">
        <f>IF($AL38="","",IFERROR(INDEX(Product_Registry!$E$2:$E$101,MATCH($AL38,Product_Registry!$A$2:$A$101,0)),""))</f>
        <v/>
      </c>
      <c r="F38" s="17" t="str">
        <f>IF($AL38="","",IFERROR(INDEX(Product_Registry!$F$2:$F$101,MATCH($AL38,Product_Registry!$A$2:$A$101,0)),""))</f>
        <v/>
      </c>
      <c r="G38" s="21" t="str">
        <f>IF($AL38="","",IFERROR(INDEX(Product_Registry!$G$2:$G$101,MATCH($AL38,Product_Registry!$A$2:$A$101,0)),""))</f>
        <v/>
      </c>
      <c r="H38" s="21" t="str">
        <f>IF($AL38="","",IFERROR(INDEX(Product_Registry!$H$2:$H$101,MATCH($AL38,Product_Registry!$A$2:$A$101,0)),""))</f>
        <v/>
      </c>
      <c r="I38" s="21" t="str">
        <f>IF($AL38="","",IFERROR(INDEX(Product_Registry!$I$2:$I$101,MATCH($AL38,Product_Registry!$A$2:$A$101,0)),""))</f>
        <v/>
      </c>
      <c r="J38" s="21" t="str">
        <f>IF($AL38="","",IFERROR(INDEX(Product_Registry!$J$2:$J$101,MATCH($AL38,Product_Registry!$A$2:$A$101,0)),""))</f>
        <v/>
      </c>
      <c r="K38" s="21" t="str">
        <f>IF($AL38="","",IFERROR(INDEX(Product_Registry!$K$2:$K$101,MATCH($AL38,Product_Registry!$A$2:$A$101,0)),""))</f>
        <v/>
      </c>
      <c r="L38" s="21" t="str">
        <f>IF($AL38="","",IFERROR(INDEX(Product_Registry!$L$2:$L$101,MATCH($AL38,Product_Registry!$A$2:$A$101,0)),""))</f>
        <v/>
      </c>
      <c r="M38" s="21" t="str">
        <f>IF($AL38="","",IFERROR(INDEX(Product_Registry!$M$2:$M$101,MATCH($AL38,Product_Registry!$A$2:$A$101,0)),""))</f>
        <v/>
      </c>
      <c r="N38" s="6" t="str">
        <f>IF($AL38="","",$E38+SUMIFS('Logic &amp; Lists'!$E$4:$E$200,'Logic &amp; Lists'!$A$4:$A$200,$AK38,'Logic &amp; Lists'!$C$4:$C$200,"Level 1 Schedule"))</f>
        <v/>
      </c>
      <c r="O38" s="6" t="str">
        <f>IF($AL38="","",$P38+SUMIFS('Logic &amp; Lists'!$E$4:$E$200,'Logic &amp; Lists'!$A$4:$A$200,$AK38,'Logic &amp; Lists'!$C$4:$C$200,"Input Frozen"))</f>
        <v/>
      </c>
      <c r="P38" s="6" t="str">
        <f>IF($AL38="","",$Q38+SUMIFS('Logic &amp; Lists'!$E$4:$E$200,'Logic &amp; Lists'!$A$4:$A$200,$AK38,'Logic &amp; Lists'!$C$4:$C$200,"Drawing Approval"))</f>
        <v/>
      </c>
      <c r="Q38" s="6" t="str">
        <f>IF($AL38="","",$S38+SUMIFS('Logic &amp; Lists'!$E$4:$E$200,'Logic &amp; Lists'!$A$4:$A$200,$AK38,'Logic &amp; Lists'!$C$4:$C$200,"BOM Pass to PR"))</f>
        <v/>
      </c>
      <c r="R38" s="6" t="str">
        <f>IF($AL38="","",$S38+SUMIFS('Logic &amp; Lists'!$E$4:$E$200,'Logic &amp; Lists'!$A$4:$A$200,$AK38,'Logic &amp; Lists'!$C$4:$C$200,"PR Schedule"))</f>
        <v/>
      </c>
      <c r="S38" s="6" t="str">
        <f>IF($AL38="","",$T38+SUMIFS('Logic &amp; Lists'!$E$4:$E$200,'Logic &amp; Lists'!$A$4:$A$200,$AK38,'Logic &amp; Lists'!$C$4:$C$200,"Components PO Plan"))</f>
        <v/>
      </c>
      <c r="T38" s="6" t="str">
        <f>IF($AL38="","",$U38+SUMIFS('Logic &amp; Lists'!$E$4:$E$200,'Logic &amp; Lists'!$A$4:$A$200,$AK38,'Logic &amp; Lists'!$C$4:$C$200,"Production Start"))</f>
        <v/>
      </c>
      <c r="U38" s="6" t="str">
        <f>IF($AL38="","",$W38+SUMIFS('Logic &amp; Lists'!$E$4:$E$200,'Logic &amp; Lists'!$A$4:$A$200,$AK38,'Logic &amp; Lists'!$C$4:$C$200,"Production Complete"))</f>
        <v/>
      </c>
      <c r="V38" s="6" t="str">
        <f>IF($AL38="","",$Y38+SUMIFS('Logic &amp; Lists'!$E$4:$E$200,'Logic &amp; Lists'!$A$4:$A$200,$AK38,'Logic &amp; Lists'!$C$4:$C$200,"NOI Date"))</f>
        <v/>
      </c>
      <c r="W38" s="6" t="str">
        <f>IF($AL38="","",$X38+SUMIFS('Logic &amp; Lists'!$E$4:$E$200,'Logic &amp; Lists'!$A$4:$A$200,$AK38,'Logic &amp; Lists'!$C$4:$C$200,"Internal Test Start"))</f>
        <v/>
      </c>
      <c r="X38" s="6" t="str">
        <f>IF($AL38="","",$Y38+SUMIFS('Logic &amp; Lists'!$E$4:$E$200,'Logic &amp; Lists'!$A$4:$A$200,$AK38,'Logic &amp; Lists'!$C$4:$C$200,"Internal Test Complete"))</f>
        <v/>
      </c>
      <c r="Y38" s="6" t="str">
        <f>IF($AL38="","",$AA38+SUMIFS('Logic &amp; Lists'!$E$4:$E$200,'Logic &amp; Lists'!$A$4:$A$200,$AK38,'Logic &amp; Lists'!$C$4:$C$200,"FAT Start"))</f>
        <v/>
      </c>
      <c r="Z38" s="6" t="str">
        <f>IF($AL38="","",$Y38+SUMIFS('Logic &amp; Lists'!$E$4:$E$200,'Logic &amp; Lists'!$A$4:$A$200,$AK38,'Logic &amp; Lists'!$C$4:$C$200,"FAT Complete"))</f>
        <v/>
      </c>
      <c r="AA38" s="6" t="str">
        <f>IF($AL38="","",$F38+SUMIFS('Logic &amp; Lists'!$E$4:$E$200,'Logic &amp; Lists'!$A$4:$A$200,$AK38,'Logic &amp; Lists'!$C$4:$C$200,"Delivery"))</f>
        <v/>
      </c>
      <c r="AB38" s="8"/>
      <c r="AC38" s="8"/>
      <c r="AD38" s="8"/>
      <c r="AE38" s="8"/>
      <c r="AF38" s="16"/>
      <c r="AG38" s="8"/>
      <c r="AH38" s="5" t="str">
        <f t="shared" si="2"/>
        <v/>
      </c>
      <c r="AI38" s="18" t="str">
        <f t="shared" ca="1" si="3"/>
        <v/>
      </c>
      <c r="AJ38" s="7"/>
      <c r="AK38" s="5" t="str">
        <f>IF($AL38="","",IF(COUNTIF('Logic &amp; Lists'!$A$4:$A$200,$C38)&gt;0,$C38,"Default"))</f>
        <v/>
      </c>
      <c r="AL38" t="str">
        <f>IF($A38&lt;&gt;"",$A38,IF($B38&lt;&gt;"",IFERROR(INDEX(Product_Registry!$A$2:$A$101,MATCH($B38,Product_Registry!$B$2:$B$101,0)),IFERROR(INDEX(Product_Registry!$A$2:$A$101,MATCH("*"&amp;$B38&amp;"*",Product_Registry!$B$2:$B$101,0)),"")),""))</f>
        <v/>
      </c>
      <c r="AM38" t="str">
        <f>IF($AL38="","",IFERROR(INDEX(Product_Registry!$B$2:$B$101,MATCH($AL38,Product_Registry!$A$2:$A$101,0)),""))</f>
        <v/>
      </c>
    </row>
    <row r="39" spans="1:39" x14ac:dyDescent="0.2">
      <c r="A39" s="27"/>
      <c r="B39" s="28"/>
      <c r="C39" s="20" t="str">
        <f>IF($AL39="","",IFERROR(INDEX(Product_Registry!$C$2:$C$101,MATCH($AL39,Product_Registry!$A$2:$A$101,0)),""))</f>
        <v/>
      </c>
      <c r="D39" s="21" t="str">
        <f>IF($AL39="","",IFERROR(INDEX(Product_Registry!$D$2:$D$101,MATCH($AL39,Product_Registry!$A$2:$A$101,0)),""))</f>
        <v/>
      </c>
      <c r="E39" s="17" t="str">
        <f>IF($AL39="","",IFERROR(INDEX(Product_Registry!$E$2:$E$101,MATCH($AL39,Product_Registry!$A$2:$A$101,0)),""))</f>
        <v/>
      </c>
      <c r="F39" s="17" t="str">
        <f>IF($AL39="","",IFERROR(INDEX(Product_Registry!$F$2:$F$101,MATCH($AL39,Product_Registry!$A$2:$A$101,0)),""))</f>
        <v/>
      </c>
      <c r="G39" s="21" t="str">
        <f>IF($AL39="","",IFERROR(INDEX(Product_Registry!$G$2:$G$101,MATCH($AL39,Product_Registry!$A$2:$A$101,0)),""))</f>
        <v/>
      </c>
      <c r="H39" s="21" t="str">
        <f>IF($AL39="","",IFERROR(INDEX(Product_Registry!$H$2:$H$101,MATCH($AL39,Product_Registry!$A$2:$A$101,0)),""))</f>
        <v/>
      </c>
      <c r="I39" s="21" t="str">
        <f>IF($AL39="","",IFERROR(INDEX(Product_Registry!$I$2:$I$101,MATCH($AL39,Product_Registry!$A$2:$A$101,0)),""))</f>
        <v/>
      </c>
      <c r="J39" s="21" t="str">
        <f>IF($AL39="","",IFERROR(INDEX(Product_Registry!$J$2:$J$101,MATCH($AL39,Product_Registry!$A$2:$A$101,0)),""))</f>
        <v/>
      </c>
      <c r="K39" s="21" t="str">
        <f>IF($AL39="","",IFERROR(INDEX(Product_Registry!$K$2:$K$101,MATCH($AL39,Product_Registry!$A$2:$A$101,0)),""))</f>
        <v/>
      </c>
      <c r="L39" s="21" t="str">
        <f>IF($AL39="","",IFERROR(INDEX(Product_Registry!$L$2:$L$101,MATCH($AL39,Product_Registry!$A$2:$A$101,0)),""))</f>
        <v/>
      </c>
      <c r="M39" s="21" t="str">
        <f>IF($AL39="","",IFERROR(INDEX(Product_Registry!$M$2:$M$101,MATCH($AL39,Product_Registry!$A$2:$A$101,0)),""))</f>
        <v/>
      </c>
      <c r="N39" s="6" t="str">
        <f>IF($AL39="","",$E39+SUMIFS('Logic &amp; Lists'!$E$4:$E$200,'Logic &amp; Lists'!$A$4:$A$200,$AK39,'Logic &amp; Lists'!$C$4:$C$200,"Level 1 Schedule"))</f>
        <v/>
      </c>
      <c r="O39" s="6" t="str">
        <f>IF($AL39="","",$P39+SUMIFS('Logic &amp; Lists'!$E$4:$E$200,'Logic &amp; Lists'!$A$4:$A$200,$AK39,'Logic &amp; Lists'!$C$4:$C$200,"Input Frozen"))</f>
        <v/>
      </c>
      <c r="P39" s="6" t="str">
        <f>IF($AL39="","",$Q39+SUMIFS('Logic &amp; Lists'!$E$4:$E$200,'Logic &amp; Lists'!$A$4:$A$200,$AK39,'Logic &amp; Lists'!$C$4:$C$200,"Drawing Approval"))</f>
        <v/>
      </c>
      <c r="Q39" s="6" t="str">
        <f>IF($AL39="","",$S39+SUMIFS('Logic &amp; Lists'!$E$4:$E$200,'Logic &amp; Lists'!$A$4:$A$200,$AK39,'Logic &amp; Lists'!$C$4:$C$200,"BOM Pass to PR"))</f>
        <v/>
      </c>
      <c r="R39" s="6" t="str">
        <f>IF($AL39="","",$S39+SUMIFS('Logic &amp; Lists'!$E$4:$E$200,'Logic &amp; Lists'!$A$4:$A$200,$AK39,'Logic &amp; Lists'!$C$4:$C$200,"PR Schedule"))</f>
        <v/>
      </c>
      <c r="S39" s="6" t="str">
        <f>IF($AL39="","",$T39+SUMIFS('Logic &amp; Lists'!$E$4:$E$200,'Logic &amp; Lists'!$A$4:$A$200,$AK39,'Logic &amp; Lists'!$C$4:$C$200,"Components PO Plan"))</f>
        <v/>
      </c>
      <c r="T39" s="6" t="str">
        <f>IF($AL39="","",$U39+SUMIFS('Logic &amp; Lists'!$E$4:$E$200,'Logic &amp; Lists'!$A$4:$A$200,$AK39,'Logic &amp; Lists'!$C$4:$C$200,"Production Start"))</f>
        <v/>
      </c>
      <c r="U39" s="6" t="str">
        <f>IF($AL39="","",$W39+SUMIFS('Logic &amp; Lists'!$E$4:$E$200,'Logic &amp; Lists'!$A$4:$A$200,$AK39,'Logic &amp; Lists'!$C$4:$C$200,"Production Complete"))</f>
        <v/>
      </c>
      <c r="V39" s="6" t="str">
        <f>IF($AL39="","",$Y39+SUMIFS('Logic &amp; Lists'!$E$4:$E$200,'Logic &amp; Lists'!$A$4:$A$200,$AK39,'Logic &amp; Lists'!$C$4:$C$200,"NOI Date"))</f>
        <v/>
      </c>
      <c r="W39" s="6" t="str">
        <f>IF($AL39="","",$X39+SUMIFS('Logic &amp; Lists'!$E$4:$E$200,'Logic &amp; Lists'!$A$4:$A$200,$AK39,'Logic &amp; Lists'!$C$4:$C$200,"Internal Test Start"))</f>
        <v/>
      </c>
      <c r="X39" s="6" t="str">
        <f>IF($AL39="","",$Y39+SUMIFS('Logic &amp; Lists'!$E$4:$E$200,'Logic &amp; Lists'!$A$4:$A$200,$AK39,'Logic &amp; Lists'!$C$4:$C$200,"Internal Test Complete"))</f>
        <v/>
      </c>
      <c r="Y39" s="6" t="str">
        <f>IF($AL39="","",$AA39+SUMIFS('Logic &amp; Lists'!$E$4:$E$200,'Logic &amp; Lists'!$A$4:$A$200,$AK39,'Logic &amp; Lists'!$C$4:$C$200,"FAT Start"))</f>
        <v/>
      </c>
      <c r="Z39" s="6" t="str">
        <f>IF($AL39="","",$Y39+SUMIFS('Logic &amp; Lists'!$E$4:$E$200,'Logic &amp; Lists'!$A$4:$A$200,$AK39,'Logic &amp; Lists'!$C$4:$C$200,"FAT Complete"))</f>
        <v/>
      </c>
      <c r="AA39" s="6" t="str">
        <f>IF($AL39="","",$F39+SUMIFS('Logic &amp; Lists'!$E$4:$E$200,'Logic &amp; Lists'!$A$4:$A$200,$AK39,'Logic &amp; Lists'!$C$4:$C$200,"Delivery"))</f>
        <v/>
      </c>
      <c r="AB39" s="8"/>
      <c r="AC39" s="8"/>
      <c r="AD39" s="8"/>
      <c r="AE39" s="8"/>
      <c r="AF39" s="16"/>
      <c r="AG39" s="8"/>
      <c r="AH39" s="5" t="str">
        <f t="shared" si="2"/>
        <v/>
      </c>
      <c r="AI39" s="18" t="str">
        <f t="shared" ca="1" si="3"/>
        <v/>
      </c>
      <c r="AJ39" s="7"/>
      <c r="AK39" s="5" t="str">
        <f>IF($AL39="","",IF(COUNTIF('Logic &amp; Lists'!$A$4:$A$200,$C39)&gt;0,$C39,"Default"))</f>
        <v/>
      </c>
      <c r="AL39" t="str">
        <f>IF($A39&lt;&gt;"",$A39,IF($B39&lt;&gt;"",IFERROR(INDEX(Product_Registry!$A$2:$A$101,MATCH($B39,Product_Registry!$B$2:$B$101,0)),IFERROR(INDEX(Product_Registry!$A$2:$A$101,MATCH("*"&amp;$B39&amp;"*",Product_Registry!$B$2:$B$101,0)),"")),""))</f>
        <v/>
      </c>
      <c r="AM39" t="str">
        <f>IF($AL39="","",IFERROR(INDEX(Product_Registry!$B$2:$B$101,MATCH($AL39,Product_Registry!$A$2:$A$101,0)),""))</f>
        <v/>
      </c>
    </row>
    <row r="40" spans="1:39" x14ac:dyDescent="0.2">
      <c r="A40" s="27"/>
      <c r="B40" s="28"/>
      <c r="C40" s="20" t="str">
        <f>IF($AL40="","",IFERROR(INDEX(Product_Registry!$C$2:$C$101,MATCH($AL40,Product_Registry!$A$2:$A$101,0)),""))</f>
        <v/>
      </c>
      <c r="D40" s="21" t="str">
        <f>IF($AL40="","",IFERROR(INDEX(Product_Registry!$D$2:$D$101,MATCH($AL40,Product_Registry!$A$2:$A$101,0)),""))</f>
        <v/>
      </c>
      <c r="E40" s="17" t="str">
        <f>IF($AL40="","",IFERROR(INDEX(Product_Registry!$E$2:$E$101,MATCH($AL40,Product_Registry!$A$2:$A$101,0)),""))</f>
        <v/>
      </c>
      <c r="F40" s="17" t="str">
        <f>IF($AL40="","",IFERROR(INDEX(Product_Registry!$F$2:$F$101,MATCH($AL40,Product_Registry!$A$2:$A$101,0)),""))</f>
        <v/>
      </c>
      <c r="G40" s="21" t="str">
        <f>IF($AL40="","",IFERROR(INDEX(Product_Registry!$G$2:$G$101,MATCH($AL40,Product_Registry!$A$2:$A$101,0)),""))</f>
        <v/>
      </c>
      <c r="H40" s="21" t="str">
        <f>IF($AL40="","",IFERROR(INDEX(Product_Registry!$H$2:$H$101,MATCH($AL40,Product_Registry!$A$2:$A$101,0)),""))</f>
        <v/>
      </c>
      <c r="I40" s="21" t="str">
        <f>IF($AL40="","",IFERROR(INDEX(Product_Registry!$I$2:$I$101,MATCH($AL40,Product_Registry!$A$2:$A$101,0)),""))</f>
        <v/>
      </c>
      <c r="J40" s="21" t="str">
        <f>IF($AL40="","",IFERROR(INDEX(Product_Registry!$J$2:$J$101,MATCH($AL40,Product_Registry!$A$2:$A$101,0)),""))</f>
        <v/>
      </c>
      <c r="K40" s="21" t="str">
        <f>IF($AL40="","",IFERROR(INDEX(Product_Registry!$K$2:$K$101,MATCH($AL40,Product_Registry!$A$2:$A$101,0)),""))</f>
        <v/>
      </c>
      <c r="L40" s="21" t="str">
        <f>IF($AL40="","",IFERROR(INDEX(Product_Registry!$L$2:$L$101,MATCH($AL40,Product_Registry!$A$2:$A$101,0)),""))</f>
        <v/>
      </c>
      <c r="M40" s="21" t="str">
        <f>IF($AL40="","",IFERROR(INDEX(Product_Registry!$M$2:$M$101,MATCH($AL40,Product_Registry!$A$2:$A$101,0)),""))</f>
        <v/>
      </c>
      <c r="N40" s="6" t="str">
        <f>IF($AL40="","",$E40+SUMIFS('Logic &amp; Lists'!$E$4:$E$200,'Logic &amp; Lists'!$A$4:$A$200,$AK40,'Logic &amp; Lists'!$C$4:$C$200,"Level 1 Schedule"))</f>
        <v/>
      </c>
      <c r="O40" s="6" t="str">
        <f>IF($AL40="","",$P40+SUMIFS('Logic &amp; Lists'!$E$4:$E$200,'Logic &amp; Lists'!$A$4:$A$200,$AK40,'Logic &amp; Lists'!$C$4:$C$200,"Input Frozen"))</f>
        <v/>
      </c>
      <c r="P40" s="6" t="str">
        <f>IF($AL40="","",$Q40+SUMIFS('Logic &amp; Lists'!$E$4:$E$200,'Logic &amp; Lists'!$A$4:$A$200,$AK40,'Logic &amp; Lists'!$C$4:$C$200,"Drawing Approval"))</f>
        <v/>
      </c>
      <c r="Q40" s="6" t="str">
        <f>IF($AL40="","",$S40+SUMIFS('Logic &amp; Lists'!$E$4:$E$200,'Logic &amp; Lists'!$A$4:$A$200,$AK40,'Logic &amp; Lists'!$C$4:$C$200,"BOM Pass to PR"))</f>
        <v/>
      </c>
      <c r="R40" s="6" t="str">
        <f>IF($AL40="","",$S40+SUMIFS('Logic &amp; Lists'!$E$4:$E$200,'Logic &amp; Lists'!$A$4:$A$200,$AK40,'Logic &amp; Lists'!$C$4:$C$200,"PR Schedule"))</f>
        <v/>
      </c>
      <c r="S40" s="6" t="str">
        <f>IF($AL40="","",$T40+SUMIFS('Logic &amp; Lists'!$E$4:$E$200,'Logic &amp; Lists'!$A$4:$A$200,$AK40,'Logic &amp; Lists'!$C$4:$C$200,"Components PO Plan"))</f>
        <v/>
      </c>
      <c r="T40" s="6" t="str">
        <f>IF($AL40="","",$U40+SUMIFS('Logic &amp; Lists'!$E$4:$E$200,'Logic &amp; Lists'!$A$4:$A$200,$AK40,'Logic &amp; Lists'!$C$4:$C$200,"Production Start"))</f>
        <v/>
      </c>
      <c r="U40" s="6" t="str">
        <f>IF($AL40="","",$W40+SUMIFS('Logic &amp; Lists'!$E$4:$E$200,'Logic &amp; Lists'!$A$4:$A$200,$AK40,'Logic &amp; Lists'!$C$4:$C$200,"Production Complete"))</f>
        <v/>
      </c>
      <c r="V40" s="6" t="str">
        <f>IF($AL40="","",$Y40+SUMIFS('Logic &amp; Lists'!$E$4:$E$200,'Logic &amp; Lists'!$A$4:$A$200,$AK40,'Logic &amp; Lists'!$C$4:$C$200,"NOI Date"))</f>
        <v/>
      </c>
      <c r="W40" s="6" t="str">
        <f>IF($AL40="","",$X40+SUMIFS('Logic &amp; Lists'!$E$4:$E$200,'Logic &amp; Lists'!$A$4:$A$200,$AK40,'Logic &amp; Lists'!$C$4:$C$200,"Internal Test Start"))</f>
        <v/>
      </c>
      <c r="X40" s="6" t="str">
        <f>IF($AL40="","",$Y40+SUMIFS('Logic &amp; Lists'!$E$4:$E$200,'Logic &amp; Lists'!$A$4:$A$200,$AK40,'Logic &amp; Lists'!$C$4:$C$200,"Internal Test Complete"))</f>
        <v/>
      </c>
      <c r="Y40" s="6" t="str">
        <f>IF($AL40="","",$AA40+SUMIFS('Logic &amp; Lists'!$E$4:$E$200,'Logic &amp; Lists'!$A$4:$A$200,$AK40,'Logic &amp; Lists'!$C$4:$C$200,"FAT Start"))</f>
        <v/>
      </c>
      <c r="Z40" s="6" t="str">
        <f>IF($AL40="","",$Y40+SUMIFS('Logic &amp; Lists'!$E$4:$E$200,'Logic &amp; Lists'!$A$4:$A$200,$AK40,'Logic &amp; Lists'!$C$4:$C$200,"FAT Complete"))</f>
        <v/>
      </c>
      <c r="AA40" s="6" t="str">
        <f>IF($AL40="","",$F40+SUMIFS('Logic &amp; Lists'!$E$4:$E$200,'Logic &amp; Lists'!$A$4:$A$200,$AK40,'Logic &amp; Lists'!$C$4:$C$200,"Delivery"))</f>
        <v/>
      </c>
      <c r="AB40" s="8"/>
      <c r="AC40" s="8"/>
      <c r="AD40" s="8"/>
      <c r="AE40" s="8"/>
      <c r="AF40" s="16"/>
      <c r="AG40" s="8"/>
      <c r="AH40" s="5" t="str">
        <f t="shared" si="2"/>
        <v/>
      </c>
      <c r="AI40" s="18" t="str">
        <f t="shared" ca="1" si="3"/>
        <v/>
      </c>
      <c r="AJ40" s="7"/>
      <c r="AK40" s="5" t="str">
        <f>IF($AL40="","",IF(COUNTIF('Logic &amp; Lists'!$A$4:$A$200,$C40)&gt;0,$C40,"Default"))</f>
        <v/>
      </c>
      <c r="AL40" t="str">
        <f>IF($A40&lt;&gt;"",$A40,IF($B40&lt;&gt;"",IFERROR(INDEX(Product_Registry!$A$2:$A$101,MATCH($B40,Product_Registry!$B$2:$B$101,0)),IFERROR(INDEX(Product_Registry!$A$2:$A$101,MATCH("*"&amp;$B40&amp;"*",Product_Registry!$B$2:$B$101,0)),"")),""))</f>
        <v/>
      </c>
      <c r="AM40" t="str">
        <f>IF($AL40="","",IFERROR(INDEX(Product_Registry!$B$2:$B$101,MATCH($AL40,Product_Registry!$A$2:$A$101,0)),""))</f>
        <v/>
      </c>
    </row>
    <row r="41" spans="1:39" x14ac:dyDescent="0.2">
      <c r="A41" s="27"/>
      <c r="B41" s="28"/>
      <c r="C41" s="20" t="str">
        <f>IF($AL41="","",IFERROR(INDEX(Product_Registry!$C$2:$C$101,MATCH($AL41,Product_Registry!$A$2:$A$101,0)),""))</f>
        <v/>
      </c>
      <c r="D41" s="21" t="str">
        <f>IF($AL41="","",IFERROR(INDEX(Product_Registry!$D$2:$D$101,MATCH($AL41,Product_Registry!$A$2:$A$101,0)),""))</f>
        <v/>
      </c>
      <c r="E41" s="17" t="str">
        <f>IF($AL41="","",IFERROR(INDEX(Product_Registry!$E$2:$E$101,MATCH($AL41,Product_Registry!$A$2:$A$101,0)),""))</f>
        <v/>
      </c>
      <c r="F41" s="17" t="str">
        <f>IF($AL41="","",IFERROR(INDEX(Product_Registry!$F$2:$F$101,MATCH($AL41,Product_Registry!$A$2:$A$101,0)),""))</f>
        <v/>
      </c>
      <c r="G41" s="21" t="str">
        <f>IF($AL41="","",IFERROR(INDEX(Product_Registry!$G$2:$G$101,MATCH($AL41,Product_Registry!$A$2:$A$101,0)),""))</f>
        <v/>
      </c>
      <c r="H41" s="21" t="str">
        <f>IF($AL41="","",IFERROR(INDEX(Product_Registry!$H$2:$H$101,MATCH($AL41,Product_Registry!$A$2:$A$101,0)),""))</f>
        <v/>
      </c>
      <c r="I41" s="21" t="str">
        <f>IF($AL41="","",IFERROR(INDEX(Product_Registry!$I$2:$I$101,MATCH($AL41,Product_Registry!$A$2:$A$101,0)),""))</f>
        <v/>
      </c>
      <c r="J41" s="21" t="str">
        <f>IF($AL41="","",IFERROR(INDEX(Product_Registry!$J$2:$J$101,MATCH($AL41,Product_Registry!$A$2:$A$101,0)),""))</f>
        <v/>
      </c>
      <c r="K41" s="21" t="str">
        <f>IF($AL41="","",IFERROR(INDEX(Product_Registry!$K$2:$K$101,MATCH($AL41,Product_Registry!$A$2:$A$101,0)),""))</f>
        <v/>
      </c>
      <c r="L41" s="21" t="str">
        <f>IF($AL41="","",IFERROR(INDEX(Product_Registry!$L$2:$L$101,MATCH($AL41,Product_Registry!$A$2:$A$101,0)),""))</f>
        <v/>
      </c>
      <c r="M41" s="21" t="str">
        <f>IF($AL41="","",IFERROR(INDEX(Product_Registry!$M$2:$M$101,MATCH($AL41,Product_Registry!$A$2:$A$101,0)),""))</f>
        <v/>
      </c>
      <c r="N41" s="6" t="str">
        <f>IF($AL41="","",$E41+SUMIFS('Logic &amp; Lists'!$E$4:$E$200,'Logic &amp; Lists'!$A$4:$A$200,$AK41,'Logic &amp; Lists'!$C$4:$C$200,"Level 1 Schedule"))</f>
        <v/>
      </c>
      <c r="O41" s="6" t="str">
        <f>IF($AL41="","",$P41+SUMIFS('Logic &amp; Lists'!$E$4:$E$200,'Logic &amp; Lists'!$A$4:$A$200,$AK41,'Logic &amp; Lists'!$C$4:$C$200,"Input Frozen"))</f>
        <v/>
      </c>
      <c r="P41" s="6" t="str">
        <f>IF($AL41="","",$Q41+SUMIFS('Logic &amp; Lists'!$E$4:$E$200,'Logic &amp; Lists'!$A$4:$A$200,$AK41,'Logic &amp; Lists'!$C$4:$C$200,"Drawing Approval"))</f>
        <v/>
      </c>
      <c r="Q41" s="6" t="str">
        <f>IF($AL41="","",$S41+SUMIFS('Logic &amp; Lists'!$E$4:$E$200,'Logic &amp; Lists'!$A$4:$A$200,$AK41,'Logic &amp; Lists'!$C$4:$C$200,"BOM Pass to PR"))</f>
        <v/>
      </c>
      <c r="R41" s="6" t="str">
        <f>IF($AL41="","",$S41+SUMIFS('Logic &amp; Lists'!$E$4:$E$200,'Logic &amp; Lists'!$A$4:$A$200,$AK41,'Logic &amp; Lists'!$C$4:$C$200,"PR Schedule"))</f>
        <v/>
      </c>
      <c r="S41" s="6" t="str">
        <f>IF($AL41="","",$T41+SUMIFS('Logic &amp; Lists'!$E$4:$E$200,'Logic &amp; Lists'!$A$4:$A$200,$AK41,'Logic &amp; Lists'!$C$4:$C$200,"Components PO Plan"))</f>
        <v/>
      </c>
      <c r="T41" s="6" t="str">
        <f>IF($AL41="","",$U41+SUMIFS('Logic &amp; Lists'!$E$4:$E$200,'Logic &amp; Lists'!$A$4:$A$200,$AK41,'Logic &amp; Lists'!$C$4:$C$200,"Production Start"))</f>
        <v/>
      </c>
      <c r="U41" s="6" t="str">
        <f>IF($AL41="","",$W41+SUMIFS('Logic &amp; Lists'!$E$4:$E$200,'Logic &amp; Lists'!$A$4:$A$200,$AK41,'Logic &amp; Lists'!$C$4:$C$200,"Production Complete"))</f>
        <v/>
      </c>
      <c r="V41" s="6" t="str">
        <f>IF($AL41="","",$Y41+SUMIFS('Logic &amp; Lists'!$E$4:$E$200,'Logic &amp; Lists'!$A$4:$A$200,$AK41,'Logic &amp; Lists'!$C$4:$C$200,"NOI Date"))</f>
        <v/>
      </c>
      <c r="W41" s="6" t="str">
        <f>IF($AL41="","",$X41+SUMIFS('Logic &amp; Lists'!$E$4:$E$200,'Logic &amp; Lists'!$A$4:$A$200,$AK41,'Logic &amp; Lists'!$C$4:$C$200,"Internal Test Start"))</f>
        <v/>
      </c>
      <c r="X41" s="6" t="str">
        <f>IF($AL41="","",$Y41+SUMIFS('Logic &amp; Lists'!$E$4:$E$200,'Logic &amp; Lists'!$A$4:$A$200,$AK41,'Logic &amp; Lists'!$C$4:$C$200,"Internal Test Complete"))</f>
        <v/>
      </c>
      <c r="Y41" s="6" t="str">
        <f>IF($AL41="","",$AA41+SUMIFS('Logic &amp; Lists'!$E$4:$E$200,'Logic &amp; Lists'!$A$4:$A$200,$AK41,'Logic &amp; Lists'!$C$4:$C$200,"FAT Start"))</f>
        <v/>
      </c>
      <c r="Z41" s="6" t="str">
        <f>IF($AL41="","",$Y41+SUMIFS('Logic &amp; Lists'!$E$4:$E$200,'Logic &amp; Lists'!$A$4:$A$200,$AK41,'Logic &amp; Lists'!$C$4:$C$200,"FAT Complete"))</f>
        <v/>
      </c>
      <c r="AA41" s="6" t="str">
        <f>IF($AL41="","",$F41+SUMIFS('Logic &amp; Lists'!$E$4:$E$200,'Logic &amp; Lists'!$A$4:$A$200,$AK41,'Logic &amp; Lists'!$C$4:$C$200,"Delivery"))</f>
        <v/>
      </c>
      <c r="AB41" s="8"/>
      <c r="AC41" s="8"/>
      <c r="AD41" s="8"/>
      <c r="AE41" s="8"/>
      <c r="AF41" s="16"/>
      <c r="AG41" s="8"/>
      <c r="AH41" s="5" t="str">
        <f t="shared" si="2"/>
        <v/>
      </c>
      <c r="AI41" s="18" t="str">
        <f t="shared" ca="1" si="3"/>
        <v/>
      </c>
      <c r="AJ41" s="7"/>
      <c r="AK41" s="5" t="str">
        <f>IF($AL41="","",IF(COUNTIF('Logic &amp; Lists'!$A$4:$A$200,$C41)&gt;0,$C41,"Default"))</f>
        <v/>
      </c>
      <c r="AL41" t="str">
        <f>IF($A41&lt;&gt;"",$A41,IF($B41&lt;&gt;"",IFERROR(INDEX(Product_Registry!$A$2:$A$101,MATCH($B41,Product_Registry!$B$2:$B$101,0)),IFERROR(INDEX(Product_Registry!$A$2:$A$101,MATCH("*"&amp;$B41&amp;"*",Product_Registry!$B$2:$B$101,0)),"")),""))</f>
        <v/>
      </c>
      <c r="AM41" t="str">
        <f>IF($AL41="","",IFERROR(INDEX(Product_Registry!$B$2:$B$101,MATCH($AL41,Product_Registry!$A$2:$A$101,0)),""))</f>
        <v/>
      </c>
    </row>
    <row r="42" spans="1:39" x14ac:dyDescent="0.2">
      <c r="A42" s="27"/>
      <c r="B42" s="28"/>
      <c r="C42" s="20" t="str">
        <f>IF($AL42="","",IFERROR(INDEX(Product_Registry!$C$2:$C$101,MATCH($AL42,Product_Registry!$A$2:$A$101,0)),""))</f>
        <v/>
      </c>
      <c r="D42" s="21" t="str">
        <f>IF($AL42="","",IFERROR(INDEX(Product_Registry!$D$2:$D$101,MATCH($AL42,Product_Registry!$A$2:$A$101,0)),""))</f>
        <v/>
      </c>
      <c r="E42" s="17" t="str">
        <f>IF($AL42="","",IFERROR(INDEX(Product_Registry!$E$2:$E$101,MATCH($AL42,Product_Registry!$A$2:$A$101,0)),""))</f>
        <v/>
      </c>
      <c r="F42" s="17" t="str">
        <f>IF($AL42="","",IFERROR(INDEX(Product_Registry!$F$2:$F$101,MATCH($AL42,Product_Registry!$A$2:$A$101,0)),""))</f>
        <v/>
      </c>
      <c r="G42" s="21" t="str">
        <f>IF($AL42="","",IFERROR(INDEX(Product_Registry!$G$2:$G$101,MATCH($AL42,Product_Registry!$A$2:$A$101,0)),""))</f>
        <v/>
      </c>
      <c r="H42" s="21" t="str">
        <f>IF($AL42="","",IFERROR(INDEX(Product_Registry!$H$2:$H$101,MATCH($AL42,Product_Registry!$A$2:$A$101,0)),""))</f>
        <v/>
      </c>
      <c r="I42" s="21" t="str">
        <f>IF($AL42="","",IFERROR(INDEX(Product_Registry!$I$2:$I$101,MATCH($AL42,Product_Registry!$A$2:$A$101,0)),""))</f>
        <v/>
      </c>
      <c r="J42" s="21" t="str">
        <f>IF($AL42="","",IFERROR(INDEX(Product_Registry!$J$2:$J$101,MATCH($AL42,Product_Registry!$A$2:$A$101,0)),""))</f>
        <v/>
      </c>
      <c r="K42" s="21" t="str">
        <f>IF($AL42="","",IFERROR(INDEX(Product_Registry!$K$2:$K$101,MATCH($AL42,Product_Registry!$A$2:$A$101,0)),""))</f>
        <v/>
      </c>
      <c r="L42" s="21" t="str">
        <f>IF($AL42="","",IFERROR(INDEX(Product_Registry!$L$2:$L$101,MATCH($AL42,Product_Registry!$A$2:$A$101,0)),""))</f>
        <v/>
      </c>
      <c r="M42" s="21" t="str">
        <f>IF($AL42="","",IFERROR(INDEX(Product_Registry!$M$2:$M$101,MATCH($AL42,Product_Registry!$A$2:$A$101,0)),""))</f>
        <v/>
      </c>
      <c r="N42" s="6" t="str">
        <f>IF($AL42="","",$E42+SUMIFS('Logic &amp; Lists'!$E$4:$E$200,'Logic &amp; Lists'!$A$4:$A$200,$AK42,'Logic &amp; Lists'!$C$4:$C$200,"Level 1 Schedule"))</f>
        <v/>
      </c>
      <c r="O42" s="6" t="str">
        <f>IF($AL42="","",$P42+SUMIFS('Logic &amp; Lists'!$E$4:$E$200,'Logic &amp; Lists'!$A$4:$A$200,$AK42,'Logic &amp; Lists'!$C$4:$C$200,"Input Frozen"))</f>
        <v/>
      </c>
      <c r="P42" s="6" t="str">
        <f>IF($AL42="","",$Q42+SUMIFS('Logic &amp; Lists'!$E$4:$E$200,'Logic &amp; Lists'!$A$4:$A$200,$AK42,'Logic &amp; Lists'!$C$4:$C$200,"Drawing Approval"))</f>
        <v/>
      </c>
      <c r="Q42" s="6" t="str">
        <f>IF($AL42="","",$S42+SUMIFS('Logic &amp; Lists'!$E$4:$E$200,'Logic &amp; Lists'!$A$4:$A$200,$AK42,'Logic &amp; Lists'!$C$4:$C$200,"BOM Pass to PR"))</f>
        <v/>
      </c>
      <c r="R42" s="6" t="str">
        <f>IF($AL42="","",$S42+SUMIFS('Logic &amp; Lists'!$E$4:$E$200,'Logic &amp; Lists'!$A$4:$A$200,$AK42,'Logic &amp; Lists'!$C$4:$C$200,"PR Schedule"))</f>
        <v/>
      </c>
      <c r="S42" s="6" t="str">
        <f>IF($AL42="","",$T42+SUMIFS('Logic &amp; Lists'!$E$4:$E$200,'Logic &amp; Lists'!$A$4:$A$200,$AK42,'Logic &amp; Lists'!$C$4:$C$200,"Components PO Plan"))</f>
        <v/>
      </c>
      <c r="T42" s="6" t="str">
        <f>IF($AL42="","",$U42+SUMIFS('Logic &amp; Lists'!$E$4:$E$200,'Logic &amp; Lists'!$A$4:$A$200,$AK42,'Logic &amp; Lists'!$C$4:$C$200,"Production Start"))</f>
        <v/>
      </c>
      <c r="U42" s="6" t="str">
        <f>IF($AL42="","",$W42+SUMIFS('Logic &amp; Lists'!$E$4:$E$200,'Logic &amp; Lists'!$A$4:$A$200,$AK42,'Logic &amp; Lists'!$C$4:$C$200,"Production Complete"))</f>
        <v/>
      </c>
      <c r="V42" s="6" t="str">
        <f>IF($AL42="","",$Y42+SUMIFS('Logic &amp; Lists'!$E$4:$E$200,'Logic &amp; Lists'!$A$4:$A$200,$AK42,'Logic &amp; Lists'!$C$4:$C$200,"NOI Date"))</f>
        <v/>
      </c>
      <c r="W42" s="6" t="str">
        <f>IF($AL42="","",$X42+SUMIFS('Logic &amp; Lists'!$E$4:$E$200,'Logic &amp; Lists'!$A$4:$A$200,$AK42,'Logic &amp; Lists'!$C$4:$C$200,"Internal Test Start"))</f>
        <v/>
      </c>
      <c r="X42" s="6" t="str">
        <f>IF($AL42="","",$Y42+SUMIFS('Logic &amp; Lists'!$E$4:$E$200,'Logic &amp; Lists'!$A$4:$A$200,$AK42,'Logic &amp; Lists'!$C$4:$C$200,"Internal Test Complete"))</f>
        <v/>
      </c>
      <c r="Y42" s="6" t="str">
        <f>IF($AL42="","",$AA42+SUMIFS('Logic &amp; Lists'!$E$4:$E$200,'Logic &amp; Lists'!$A$4:$A$200,$AK42,'Logic &amp; Lists'!$C$4:$C$200,"FAT Start"))</f>
        <v/>
      </c>
      <c r="Z42" s="6" t="str">
        <f>IF($AL42="","",$Y42+SUMIFS('Logic &amp; Lists'!$E$4:$E$200,'Logic &amp; Lists'!$A$4:$A$200,$AK42,'Logic &amp; Lists'!$C$4:$C$200,"FAT Complete"))</f>
        <v/>
      </c>
      <c r="AA42" s="6" t="str">
        <f>IF($AL42="","",$F42+SUMIFS('Logic &amp; Lists'!$E$4:$E$200,'Logic &amp; Lists'!$A$4:$A$200,$AK42,'Logic &amp; Lists'!$C$4:$C$200,"Delivery"))</f>
        <v/>
      </c>
      <c r="AB42" s="8"/>
      <c r="AC42" s="8"/>
      <c r="AD42" s="8"/>
      <c r="AE42" s="8"/>
      <c r="AF42" s="16"/>
      <c r="AG42" s="8"/>
      <c r="AH42" s="5" t="str">
        <f t="shared" si="2"/>
        <v/>
      </c>
      <c r="AI42" s="18" t="str">
        <f t="shared" ca="1" si="3"/>
        <v/>
      </c>
      <c r="AJ42" s="7"/>
      <c r="AK42" s="5" t="str">
        <f>IF($AL42="","",IF(COUNTIF('Logic &amp; Lists'!$A$4:$A$200,$C42)&gt;0,$C42,"Default"))</f>
        <v/>
      </c>
      <c r="AL42" t="str">
        <f>IF($A42&lt;&gt;"",$A42,IF($B42&lt;&gt;"",IFERROR(INDEX(Product_Registry!$A$2:$A$101,MATCH($B42,Product_Registry!$B$2:$B$101,0)),IFERROR(INDEX(Product_Registry!$A$2:$A$101,MATCH("*"&amp;$B42&amp;"*",Product_Registry!$B$2:$B$101,0)),"")),""))</f>
        <v/>
      </c>
      <c r="AM42" t="str">
        <f>IF($AL42="","",IFERROR(INDEX(Product_Registry!$B$2:$B$101,MATCH($AL42,Product_Registry!$A$2:$A$101,0)),""))</f>
        <v/>
      </c>
    </row>
    <row r="43" spans="1:39" x14ac:dyDescent="0.2">
      <c r="A43" s="27"/>
      <c r="B43" s="28"/>
      <c r="C43" s="20" t="str">
        <f>IF($AL43="","",IFERROR(INDEX(Product_Registry!$C$2:$C$101,MATCH($AL43,Product_Registry!$A$2:$A$101,0)),""))</f>
        <v/>
      </c>
      <c r="D43" s="21" t="str">
        <f>IF($AL43="","",IFERROR(INDEX(Product_Registry!$D$2:$D$101,MATCH($AL43,Product_Registry!$A$2:$A$101,0)),""))</f>
        <v/>
      </c>
      <c r="E43" s="17" t="str">
        <f>IF($AL43="","",IFERROR(INDEX(Product_Registry!$E$2:$E$101,MATCH($AL43,Product_Registry!$A$2:$A$101,0)),""))</f>
        <v/>
      </c>
      <c r="F43" s="17" t="str">
        <f>IF($AL43="","",IFERROR(INDEX(Product_Registry!$F$2:$F$101,MATCH($AL43,Product_Registry!$A$2:$A$101,0)),""))</f>
        <v/>
      </c>
      <c r="G43" s="21" t="str">
        <f>IF($AL43="","",IFERROR(INDEX(Product_Registry!$G$2:$G$101,MATCH($AL43,Product_Registry!$A$2:$A$101,0)),""))</f>
        <v/>
      </c>
      <c r="H43" s="21" t="str">
        <f>IF($AL43="","",IFERROR(INDEX(Product_Registry!$H$2:$H$101,MATCH($AL43,Product_Registry!$A$2:$A$101,0)),""))</f>
        <v/>
      </c>
      <c r="I43" s="21" t="str">
        <f>IF($AL43="","",IFERROR(INDEX(Product_Registry!$I$2:$I$101,MATCH($AL43,Product_Registry!$A$2:$A$101,0)),""))</f>
        <v/>
      </c>
      <c r="J43" s="21" t="str">
        <f>IF($AL43="","",IFERROR(INDEX(Product_Registry!$J$2:$J$101,MATCH($AL43,Product_Registry!$A$2:$A$101,0)),""))</f>
        <v/>
      </c>
      <c r="K43" s="21" t="str">
        <f>IF($AL43="","",IFERROR(INDEX(Product_Registry!$K$2:$K$101,MATCH($AL43,Product_Registry!$A$2:$A$101,0)),""))</f>
        <v/>
      </c>
      <c r="L43" s="21" t="str">
        <f>IF($AL43="","",IFERROR(INDEX(Product_Registry!$L$2:$L$101,MATCH($AL43,Product_Registry!$A$2:$A$101,0)),""))</f>
        <v/>
      </c>
      <c r="M43" s="21" t="str">
        <f>IF($AL43="","",IFERROR(INDEX(Product_Registry!$M$2:$M$101,MATCH($AL43,Product_Registry!$A$2:$A$101,0)),""))</f>
        <v/>
      </c>
      <c r="N43" s="6" t="str">
        <f>IF($AL43="","",$E43+SUMIFS('Logic &amp; Lists'!$E$4:$E$200,'Logic &amp; Lists'!$A$4:$A$200,$AK43,'Logic &amp; Lists'!$C$4:$C$200,"Level 1 Schedule"))</f>
        <v/>
      </c>
      <c r="O43" s="6" t="str">
        <f>IF($AL43="","",$P43+SUMIFS('Logic &amp; Lists'!$E$4:$E$200,'Logic &amp; Lists'!$A$4:$A$200,$AK43,'Logic &amp; Lists'!$C$4:$C$200,"Input Frozen"))</f>
        <v/>
      </c>
      <c r="P43" s="6" t="str">
        <f>IF($AL43="","",$Q43+SUMIFS('Logic &amp; Lists'!$E$4:$E$200,'Logic &amp; Lists'!$A$4:$A$200,$AK43,'Logic &amp; Lists'!$C$4:$C$200,"Drawing Approval"))</f>
        <v/>
      </c>
      <c r="Q43" s="6" t="str">
        <f>IF($AL43="","",$S43+SUMIFS('Logic &amp; Lists'!$E$4:$E$200,'Logic &amp; Lists'!$A$4:$A$200,$AK43,'Logic &amp; Lists'!$C$4:$C$200,"BOM Pass to PR"))</f>
        <v/>
      </c>
      <c r="R43" s="6" t="str">
        <f>IF($AL43="","",$S43+SUMIFS('Logic &amp; Lists'!$E$4:$E$200,'Logic &amp; Lists'!$A$4:$A$200,$AK43,'Logic &amp; Lists'!$C$4:$C$200,"PR Schedule"))</f>
        <v/>
      </c>
      <c r="S43" s="6" t="str">
        <f>IF($AL43="","",$T43+SUMIFS('Logic &amp; Lists'!$E$4:$E$200,'Logic &amp; Lists'!$A$4:$A$200,$AK43,'Logic &amp; Lists'!$C$4:$C$200,"Components PO Plan"))</f>
        <v/>
      </c>
      <c r="T43" s="6" t="str">
        <f>IF($AL43="","",$U43+SUMIFS('Logic &amp; Lists'!$E$4:$E$200,'Logic &amp; Lists'!$A$4:$A$200,$AK43,'Logic &amp; Lists'!$C$4:$C$200,"Production Start"))</f>
        <v/>
      </c>
      <c r="U43" s="6" t="str">
        <f>IF($AL43="","",$W43+SUMIFS('Logic &amp; Lists'!$E$4:$E$200,'Logic &amp; Lists'!$A$4:$A$200,$AK43,'Logic &amp; Lists'!$C$4:$C$200,"Production Complete"))</f>
        <v/>
      </c>
      <c r="V43" s="6" t="str">
        <f>IF($AL43="","",$Y43+SUMIFS('Logic &amp; Lists'!$E$4:$E$200,'Logic &amp; Lists'!$A$4:$A$200,$AK43,'Logic &amp; Lists'!$C$4:$C$200,"NOI Date"))</f>
        <v/>
      </c>
      <c r="W43" s="6" t="str">
        <f>IF($AL43="","",$X43+SUMIFS('Logic &amp; Lists'!$E$4:$E$200,'Logic &amp; Lists'!$A$4:$A$200,$AK43,'Logic &amp; Lists'!$C$4:$C$200,"Internal Test Start"))</f>
        <v/>
      </c>
      <c r="X43" s="6" t="str">
        <f>IF($AL43="","",$Y43+SUMIFS('Logic &amp; Lists'!$E$4:$E$200,'Logic &amp; Lists'!$A$4:$A$200,$AK43,'Logic &amp; Lists'!$C$4:$C$200,"Internal Test Complete"))</f>
        <v/>
      </c>
      <c r="Y43" s="6" t="str">
        <f>IF($AL43="","",$AA43+SUMIFS('Logic &amp; Lists'!$E$4:$E$200,'Logic &amp; Lists'!$A$4:$A$200,$AK43,'Logic &amp; Lists'!$C$4:$C$200,"FAT Start"))</f>
        <v/>
      </c>
      <c r="Z43" s="6" t="str">
        <f>IF($AL43="","",$Y43+SUMIFS('Logic &amp; Lists'!$E$4:$E$200,'Logic &amp; Lists'!$A$4:$A$200,$AK43,'Logic &amp; Lists'!$C$4:$C$200,"FAT Complete"))</f>
        <v/>
      </c>
      <c r="AA43" s="6" t="str">
        <f>IF($AL43="","",$F43+SUMIFS('Logic &amp; Lists'!$E$4:$E$200,'Logic &amp; Lists'!$A$4:$A$200,$AK43,'Logic &amp; Lists'!$C$4:$C$200,"Delivery"))</f>
        <v/>
      </c>
      <c r="AB43" s="8"/>
      <c r="AC43" s="8"/>
      <c r="AD43" s="8"/>
      <c r="AE43" s="8"/>
      <c r="AF43" s="16"/>
      <c r="AG43" s="8"/>
      <c r="AH43" s="5" t="str">
        <f t="shared" si="2"/>
        <v/>
      </c>
      <c r="AI43" s="18" t="str">
        <f t="shared" ca="1" si="3"/>
        <v/>
      </c>
      <c r="AJ43" s="7"/>
      <c r="AK43" s="5" t="str">
        <f>IF($AL43="","",IF(COUNTIF('Logic &amp; Lists'!$A$4:$A$200,$C43)&gt;0,$C43,"Default"))</f>
        <v/>
      </c>
      <c r="AL43" t="str">
        <f>IF($A43&lt;&gt;"",$A43,IF($B43&lt;&gt;"",IFERROR(INDEX(Product_Registry!$A$2:$A$101,MATCH($B43,Product_Registry!$B$2:$B$101,0)),IFERROR(INDEX(Product_Registry!$A$2:$A$101,MATCH("*"&amp;$B43&amp;"*",Product_Registry!$B$2:$B$101,0)),"")),""))</f>
        <v/>
      </c>
      <c r="AM43" t="str">
        <f>IF($AL43="","",IFERROR(INDEX(Product_Registry!$B$2:$B$101,MATCH($AL43,Product_Registry!$A$2:$A$101,0)),""))</f>
        <v/>
      </c>
    </row>
    <row r="44" spans="1:39" x14ac:dyDescent="0.2">
      <c r="A44" s="27"/>
      <c r="B44" s="28"/>
      <c r="C44" s="20" t="str">
        <f>IF($AL44="","",IFERROR(INDEX(Product_Registry!$C$2:$C$101,MATCH($AL44,Product_Registry!$A$2:$A$101,0)),""))</f>
        <v/>
      </c>
      <c r="D44" s="21" t="str">
        <f>IF($AL44="","",IFERROR(INDEX(Product_Registry!$D$2:$D$101,MATCH($AL44,Product_Registry!$A$2:$A$101,0)),""))</f>
        <v/>
      </c>
      <c r="E44" s="17" t="str">
        <f>IF($AL44="","",IFERROR(INDEX(Product_Registry!$E$2:$E$101,MATCH($AL44,Product_Registry!$A$2:$A$101,0)),""))</f>
        <v/>
      </c>
      <c r="F44" s="17" t="str">
        <f>IF($AL44="","",IFERROR(INDEX(Product_Registry!$F$2:$F$101,MATCH($AL44,Product_Registry!$A$2:$A$101,0)),""))</f>
        <v/>
      </c>
      <c r="G44" s="21" t="str">
        <f>IF($AL44="","",IFERROR(INDEX(Product_Registry!$G$2:$G$101,MATCH($AL44,Product_Registry!$A$2:$A$101,0)),""))</f>
        <v/>
      </c>
      <c r="H44" s="21" t="str">
        <f>IF($AL44="","",IFERROR(INDEX(Product_Registry!$H$2:$H$101,MATCH($AL44,Product_Registry!$A$2:$A$101,0)),""))</f>
        <v/>
      </c>
      <c r="I44" s="21" t="str">
        <f>IF($AL44="","",IFERROR(INDEX(Product_Registry!$I$2:$I$101,MATCH($AL44,Product_Registry!$A$2:$A$101,0)),""))</f>
        <v/>
      </c>
      <c r="J44" s="21" t="str">
        <f>IF($AL44="","",IFERROR(INDEX(Product_Registry!$J$2:$J$101,MATCH($AL44,Product_Registry!$A$2:$A$101,0)),""))</f>
        <v/>
      </c>
      <c r="K44" s="21" t="str">
        <f>IF($AL44="","",IFERROR(INDEX(Product_Registry!$K$2:$K$101,MATCH($AL44,Product_Registry!$A$2:$A$101,0)),""))</f>
        <v/>
      </c>
      <c r="L44" s="21" t="str">
        <f>IF($AL44="","",IFERROR(INDEX(Product_Registry!$L$2:$L$101,MATCH($AL44,Product_Registry!$A$2:$A$101,0)),""))</f>
        <v/>
      </c>
      <c r="M44" s="21" t="str">
        <f>IF($AL44="","",IFERROR(INDEX(Product_Registry!$M$2:$M$101,MATCH($AL44,Product_Registry!$A$2:$A$101,0)),""))</f>
        <v/>
      </c>
      <c r="N44" s="6" t="str">
        <f>IF($AL44="","",$E44+SUMIFS('Logic &amp; Lists'!$E$4:$E$200,'Logic &amp; Lists'!$A$4:$A$200,$AK44,'Logic &amp; Lists'!$C$4:$C$200,"Level 1 Schedule"))</f>
        <v/>
      </c>
      <c r="O44" s="6" t="str">
        <f>IF($AL44="","",$P44+SUMIFS('Logic &amp; Lists'!$E$4:$E$200,'Logic &amp; Lists'!$A$4:$A$200,$AK44,'Logic &amp; Lists'!$C$4:$C$200,"Input Frozen"))</f>
        <v/>
      </c>
      <c r="P44" s="6" t="str">
        <f>IF($AL44="","",$Q44+SUMIFS('Logic &amp; Lists'!$E$4:$E$200,'Logic &amp; Lists'!$A$4:$A$200,$AK44,'Logic &amp; Lists'!$C$4:$C$200,"Drawing Approval"))</f>
        <v/>
      </c>
      <c r="Q44" s="6" t="str">
        <f>IF($AL44="","",$S44+SUMIFS('Logic &amp; Lists'!$E$4:$E$200,'Logic &amp; Lists'!$A$4:$A$200,$AK44,'Logic &amp; Lists'!$C$4:$C$200,"BOM Pass to PR"))</f>
        <v/>
      </c>
      <c r="R44" s="6" t="str">
        <f>IF($AL44="","",$S44+SUMIFS('Logic &amp; Lists'!$E$4:$E$200,'Logic &amp; Lists'!$A$4:$A$200,$AK44,'Logic &amp; Lists'!$C$4:$C$200,"PR Schedule"))</f>
        <v/>
      </c>
      <c r="S44" s="6" t="str">
        <f>IF($AL44="","",$T44+SUMIFS('Logic &amp; Lists'!$E$4:$E$200,'Logic &amp; Lists'!$A$4:$A$200,$AK44,'Logic &amp; Lists'!$C$4:$C$200,"Components PO Plan"))</f>
        <v/>
      </c>
      <c r="T44" s="6" t="str">
        <f>IF($AL44="","",$U44+SUMIFS('Logic &amp; Lists'!$E$4:$E$200,'Logic &amp; Lists'!$A$4:$A$200,$AK44,'Logic &amp; Lists'!$C$4:$C$200,"Production Start"))</f>
        <v/>
      </c>
      <c r="U44" s="6" t="str">
        <f>IF($AL44="","",$W44+SUMIFS('Logic &amp; Lists'!$E$4:$E$200,'Logic &amp; Lists'!$A$4:$A$200,$AK44,'Logic &amp; Lists'!$C$4:$C$200,"Production Complete"))</f>
        <v/>
      </c>
      <c r="V44" s="6" t="str">
        <f>IF($AL44="","",$Y44+SUMIFS('Logic &amp; Lists'!$E$4:$E$200,'Logic &amp; Lists'!$A$4:$A$200,$AK44,'Logic &amp; Lists'!$C$4:$C$200,"NOI Date"))</f>
        <v/>
      </c>
      <c r="W44" s="6" t="str">
        <f>IF($AL44="","",$X44+SUMIFS('Logic &amp; Lists'!$E$4:$E$200,'Logic &amp; Lists'!$A$4:$A$200,$AK44,'Logic &amp; Lists'!$C$4:$C$200,"Internal Test Start"))</f>
        <v/>
      </c>
      <c r="X44" s="6" t="str">
        <f>IF($AL44="","",$Y44+SUMIFS('Logic &amp; Lists'!$E$4:$E$200,'Logic &amp; Lists'!$A$4:$A$200,$AK44,'Logic &amp; Lists'!$C$4:$C$200,"Internal Test Complete"))</f>
        <v/>
      </c>
      <c r="Y44" s="6" t="str">
        <f>IF($AL44="","",$AA44+SUMIFS('Logic &amp; Lists'!$E$4:$E$200,'Logic &amp; Lists'!$A$4:$A$200,$AK44,'Logic &amp; Lists'!$C$4:$C$200,"FAT Start"))</f>
        <v/>
      </c>
      <c r="Z44" s="6" t="str">
        <f>IF($AL44="","",$Y44+SUMIFS('Logic &amp; Lists'!$E$4:$E$200,'Logic &amp; Lists'!$A$4:$A$200,$AK44,'Logic &amp; Lists'!$C$4:$C$200,"FAT Complete"))</f>
        <v/>
      </c>
      <c r="AA44" s="6" t="str">
        <f>IF($AL44="","",$F44+SUMIFS('Logic &amp; Lists'!$E$4:$E$200,'Logic &amp; Lists'!$A$4:$A$200,$AK44,'Logic &amp; Lists'!$C$4:$C$200,"Delivery"))</f>
        <v/>
      </c>
      <c r="AB44" s="8"/>
      <c r="AC44" s="8"/>
      <c r="AD44" s="8"/>
      <c r="AE44" s="8"/>
      <c r="AF44" s="16"/>
      <c r="AG44" s="8"/>
      <c r="AH44" s="5" t="str">
        <f t="shared" si="2"/>
        <v/>
      </c>
      <c r="AI44" s="18" t="str">
        <f t="shared" ca="1" si="3"/>
        <v/>
      </c>
      <c r="AJ44" s="7"/>
      <c r="AK44" s="5" t="str">
        <f>IF($AL44="","",IF(COUNTIF('Logic &amp; Lists'!$A$4:$A$200,$C44)&gt;0,$C44,"Default"))</f>
        <v/>
      </c>
      <c r="AL44" t="str">
        <f>IF($A44&lt;&gt;"",$A44,IF($B44&lt;&gt;"",IFERROR(INDEX(Product_Registry!$A$2:$A$101,MATCH($B44,Product_Registry!$B$2:$B$101,0)),IFERROR(INDEX(Product_Registry!$A$2:$A$101,MATCH("*"&amp;$B44&amp;"*",Product_Registry!$B$2:$B$101,0)),"")),""))</f>
        <v/>
      </c>
      <c r="AM44" t="str">
        <f>IF($AL44="","",IFERROR(INDEX(Product_Registry!$B$2:$B$101,MATCH($AL44,Product_Registry!$A$2:$A$101,0)),""))</f>
        <v/>
      </c>
    </row>
    <row r="45" spans="1:39" x14ac:dyDescent="0.2">
      <c r="A45" s="27"/>
      <c r="B45" s="28"/>
      <c r="C45" s="20" t="str">
        <f>IF($AL45="","",IFERROR(INDEX(Product_Registry!$C$2:$C$101,MATCH($AL45,Product_Registry!$A$2:$A$101,0)),""))</f>
        <v/>
      </c>
      <c r="D45" s="21" t="str">
        <f>IF($AL45="","",IFERROR(INDEX(Product_Registry!$D$2:$D$101,MATCH($AL45,Product_Registry!$A$2:$A$101,0)),""))</f>
        <v/>
      </c>
      <c r="E45" s="17" t="str">
        <f>IF($AL45="","",IFERROR(INDEX(Product_Registry!$E$2:$E$101,MATCH($AL45,Product_Registry!$A$2:$A$101,0)),""))</f>
        <v/>
      </c>
      <c r="F45" s="17" t="str">
        <f>IF($AL45="","",IFERROR(INDEX(Product_Registry!$F$2:$F$101,MATCH($AL45,Product_Registry!$A$2:$A$101,0)),""))</f>
        <v/>
      </c>
      <c r="G45" s="21" t="str">
        <f>IF($AL45="","",IFERROR(INDEX(Product_Registry!$G$2:$G$101,MATCH($AL45,Product_Registry!$A$2:$A$101,0)),""))</f>
        <v/>
      </c>
      <c r="H45" s="21" t="str">
        <f>IF($AL45="","",IFERROR(INDEX(Product_Registry!$H$2:$H$101,MATCH($AL45,Product_Registry!$A$2:$A$101,0)),""))</f>
        <v/>
      </c>
      <c r="I45" s="21" t="str">
        <f>IF($AL45="","",IFERROR(INDEX(Product_Registry!$I$2:$I$101,MATCH($AL45,Product_Registry!$A$2:$A$101,0)),""))</f>
        <v/>
      </c>
      <c r="J45" s="21" t="str">
        <f>IF($AL45="","",IFERROR(INDEX(Product_Registry!$J$2:$J$101,MATCH($AL45,Product_Registry!$A$2:$A$101,0)),""))</f>
        <v/>
      </c>
      <c r="K45" s="21" t="str">
        <f>IF($AL45="","",IFERROR(INDEX(Product_Registry!$K$2:$K$101,MATCH($AL45,Product_Registry!$A$2:$A$101,0)),""))</f>
        <v/>
      </c>
      <c r="L45" s="21" t="str">
        <f>IF($AL45="","",IFERROR(INDEX(Product_Registry!$L$2:$L$101,MATCH($AL45,Product_Registry!$A$2:$A$101,0)),""))</f>
        <v/>
      </c>
      <c r="M45" s="21" t="str">
        <f>IF($AL45="","",IFERROR(INDEX(Product_Registry!$M$2:$M$101,MATCH($AL45,Product_Registry!$A$2:$A$101,0)),""))</f>
        <v/>
      </c>
      <c r="N45" s="6" t="str">
        <f>IF($AL45="","",$E45+SUMIFS('Logic &amp; Lists'!$E$4:$E$200,'Logic &amp; Lists'!$A$4:$A$200,$AK45,'Logic &amp; Lists'!$C$4:$C$200,"Level 1 Schedule"))</f>
        <v/>
      </c>
      <c r="O45" s="6" t="str">
        <f>IF($AL45="","",$P45+SUMIFS('Logic &amp; Lists'!$E$4:$E$200,'Logic &amp; Lists'!$A$4:$A$200,$AK45,'Logic &amp; Lists'!$C$4:$C$200,"Input Frozen"))</f>
        <v/>
      </c>
      <c r="P45" s="6" t="str">
        <f>IF($AL45="","",$Q45+SUMIFS('Logic &amp; Lists'!$E$4:$E$200,'Logic &amp; Lists'!$A$4:$A$200,$AK45,'Logic &amp; Lists'!$C$4:$C$200,"Drawing Approval"))</f>
        <v/>
      </c>
      <c r="Q45" s="6" t="str">
        <f>IF($AL45="","",$S45+SUMIFS('Logic &amp; Lists'!$E$4:$E$200,'Logic &amp; Lists'!$A$4:$A$200,$AK45,'Logic &amp; Lists'!$C$4:$C$200,"BOM Pass to PR"))</f>
        <v/>
      </c>
      <c r="R45" s="6" t="str">
        <f>IF($AL45="","",$S45+SUMIFS('Logic &amp; Lists'!$E$4:$E$200,'Logic &amp; Lists'!$A$4:$A$200,$AK45,'Logic &amp; Lists'!$C$4:$C$200,"PR Schedule"))</f>
        <v/>
      </c>
      <c r="S45" s="6" t="str">
        <f>IF($AL45="","",$T45+SUMIFS('Logic &amp; Lists'!$E$4:$E$200,'Logic &amp; Lists'!$A$4:$A$200,$AK45,'Logic &amp; Lists'!$C$4:$C$200,"Components PO Plan"))</f>
        <v/>
      </c>
      <c r="T45" s="6" t="str">
        <f>IF($AL45="","",$U45+SUMIFS('Logic &amp; Lists'!$E$4:$E$200,'Logic &amp; Lists'!$A$4:$A$200,$AK45,'Logic &amp; Lists'!$C$4:$C$200,"Production Start"))</f>
        <v/>
      </c>
      <c r="U45" s="6" t="str">
        <f>IF($AL45="","",$W45+SUMIFS('Logic &amp; Lists'!$E$4:$E$200,'Logic &amp; Lists'!$A$4:$A$200,$AK45,'Logic &amp; Lists'!$C$4:$C$200,"Production Complete"))</f>
        <v/>
      </c>
      <c r="V45" s="6" t="str">
        <f>IF($AL45="","",$Y45+SUMIFS('Logic &amp; Lists'!$E$4:$E$200,'Logic &amp; Lists'!$A$4:$A$200,$AK45,'Logic &amp; Lists'!$C$4:$C$200,"NOI Date"))</f>
        <v/>
      </c>
      <c r="W45" s="6" t="str">
        <f>IF($AL45="","",$X45+SUMIFS('Logic &amp; Lists'!$E$4:$E$200,'Logic &amp; Lists'!$A$4:$A$200,$AK45,'Logic &amp; Lists'!$C$4:$C$200,"Internal Test Start"))</f>
        <v/>
      </c>
      <c r="X45" s="6" t="str">
        <f>IF($AL45="","",$Y45+SUMIFS('Logic &amp; Lists'!$E$4:$E$200,'Logic &amp; Lists'!$A$4:$A$200,$AK45,'Logic &amp; Lists'!$C$4:$C$200,"Internal Test Complete"))</f>
        <v/>
      </c>
      <c r="Y45" s="6" t="str">
        <f>IF($AL45="","",$AA45+SUMIFS('Logic &amp; Lists'!$E$4:$E$200,'Logic &amp; Lists'!$A$4:$A$200,$AK45,'Logic &amp; Lists'!$C$4:$C$200,"FAT Start"))</f>
        <v/>
      </c>
      <c r="Z45" s="6" t="str">
        <f>IF($AL45="","",$Y45+SUMIFS('Logic &amp; Lists'!$E$4:$E$200,'Logic &amp; Lists'!$A$4:$A$200,$AK45,'Logic &amp; Lists'!$C$4:$C$200,"FAT Complete"))</f>
        <v/>
      </c>
      <c r="AA45" s="6" t="str">
        <f>IF($AL45="","",$F45+SUMIFS('Logic &amp; Lists'!$E$4:$E$200,'Logic &amp; Lists'!$A$4:$A$200,$AK45,'Logic &amp; Lists'!$C$4:$C$200,"Delivery"))</f>
        <v/>
      </c>
      <c r="AB45" s="8"/>
      <c r="AC45" s="8"/>
      <c r="AD45" s="8"/>
      <c r="AE45" s="8"/>
      <c r="AF45" s="16"/>
      <c r="AG45" s="8"/>
      <c r="AH45" s="5" t="str">
        <f t="shared" si="2"/>
        <v/>
      </c>
      <c r="AI45" s="18" t="str">
        <f t="shared" ca="1" si="3"/>
        <v/>
      </c>
      <c r="AJ45" s="7"/>
      <c r="AK45" s="5" t="str">
        <f>IF($AL45="","",IF(COUNTIF('Logic &amp; Lists'!$A$4:$A$200,$C45)&gt;0,$C45,"Default"))</f>
        <v/>
      </c>
      <c r="AL45" t="str">
        <f>IF($A45&lt;&gt;"",$A45,IF($B45&lt;&gt;"",IFERROR(INDEX(Product_Registry!$A$2:$A$101,MATCH($B45,Product_Registry!$B$2:$B$101,0)),IFERROR(INDEX(Product_Registry!$A$2:$A$101,MATCH("*"&amp;$B45&amp;"*",Product_Registry!$B$2:$B$101,0)),"")),""))</f>
        <v/>
      </c>
      <c r="AM45" t="str">
        <f>IF($AL45="","",IFERROR(INDEX(Product_Registry!$B$2:$B$101,MATCH($AL45,Product_Registry!$A$2:$A$101,0)),""))</f>
        <v/>
      </c>
    </row>
    <row r="46" spans="1:39" x14ac:dyDescent="0.2">
      <c r="A46" s="27"/>
      <c r="B46" s="28"/>
      <c r="C46" s="20" t="str">
        <f>IF($AL46="","",IFERROR(INDEX(Product_Registry!$C$2:$C$101,MATCH($AL46,Product_Registry!$A$2:$A$101,0)),""))</f>
        <v/>
      </c>
      <c r="D46" s="21" t="str">
        <f>IF($AL46="","",IFERROR(INDEX(Product_Registry!$D$2:$D$101,MATCH($AL46,Product_Registry!$A$2:$A$101,0)),""))</f>
        <v/>
      </c>
      <c r="E46" s="17" t="str">
        <f>IF($AL46="","",IFERROR(INDEX(Product_Registry!$E$2:$E$101,MATCH($AL46,Product_Registry!$A$2:$A$101,0)),""))</f>
        <v/>
      </c>
      <c r="F46" s="17" t="str">
        <f>IF($AL46="","",IFERROR(INDEX(Product_Registry!$F$2:$F$101,MATCH($AL46,Product_Registry!$A$2:$A$101,0)),""))</f>
        <v/>
      </c>
      <c r="G46" s="21" t="str">
        <f>IF($AL46="","",IFERROR(INDEX(Product_Registry!$G$2:$G$101,MATCH($AL46,Product_Registry!$A$2:$A$101,0)),""))</f>
        <v/>
      </c>
      <c r="H46" s="21" t="str">
        <f>IF($AL46="","",IFERROR(INDEX(Product_Registry!$H$2:$H$101,MATCH($AL46,Product_Registry!$A$2:$A$101,0)),""))</f>
        <v/>
      </c>
      <c r="I46" s="21" t="str">
        <f>IF($AL46="","",IFERROR(INDEX(Product_Registry!$I$2:$I$101,MATCH($AL46,Product_Registry!$A$2:$A$101,0)),""))</f>
        <v/>
      </c>
      <c r="J46" s="21" t="str">
        <f>IF($AL46="","",IFERROR(INDEX(Product_Registry!$J$2:$J$101,MATCH($AL46,Product_Registry!$A$2:$A$101,0)),""))</f>
        <v/>
      </c>
      <c r="K46" s="21" t="str">
        <f>IF($AL46="","",IFERROR(INDEX(Product_Registry!$K$2:$K$101,MATCH($AL46,Product_Registry!$A$2:$A$101,0)),""))</f>
        <v/>
      </c>
      <c r="L46" s="21" t="str">
        <f>IF($AL46="","",IFERROR(INDEX(Product_Registry!$L$2:$L$101,MATCH($AL46,Product_Registry!$A$2:$A$101,0)),""))</f>
        <v/>
      </c>
      <c r="M46" s="21" t="str">
        <f>IF($AL46="","",IFERROR(INDEX(Product_Registry!$M$2:$M$101,MATCH($AL46,Product_Registry!$A$2:$A$101,0)),""))</f>
        <v/>
      </c>
      <c r="N46" s="6" t="str">
        <f>IF($AL46="","",$E46+SUMIFS('Logic &amp; Lists'!$E$4:$E$200,'Logic &amp; Lists'!$A$4:$A$200,$AK46,'Logic &amp; Lists'!$C$4:$C$200,"Level 1 Schedule"))</f>
        <v/>
      </c>
      <c r="O46" s="6" t="str">
        <f>IF($AL46="","",$P46+SUMIFS('Logic &amp; Lists'!$E$4:$E$200,'Logic &amp; Lists'!$A$4:$A$200,$AK46,'Logic &amp; Lists'!$C$4:$C$200,"Input Frozen"))</f>
        <v/>
      </c>
      <c r="P46" s="6" t="str">
        <f>IF($AL46="","",$Q46+SUMIFS('Logic &amp; Lists'!$E$4:$E$200,'Logic &amp; Lists'!$A$4:$A$200,$AK46,'Logic &amp; Lists'!$C$4:$C$200,"Drawing Approval"))</f>
        <v/>
      </c>
      <c r="Q46" s="6" t="str">
        <f>IF($AL46="","",$S46+SUMIFS('Logic &amp; Lists'!$E$4:$E$200,'Logic &amp; Lists'!$A$4:$A$200,$AK46,'Logic &amp; Lists'!$C$4:$C$200,"BOM Pass to PR"))</f>
        <v/>
      </c>
      <c r="R46" s="6" t="str">
        <f>IF($AL46="","",$S46+SUMIFS('Logic &amp; Lists'!$E$4:$E$200,'Logic &amp; Lists'!$A$4:$A$200,$AK46,'Logic &amp; Lists'!$C$4:$C$200,"PR Schedule"))</f>
        <v/>
      </c>
      <c r="S46" s="6" t="str">
        <f>IF($AL46="","",$T46+SUMIFS('Logic &amp; Lists'!$E$4:$E$200,'Logic &amp; Lists'!$A$4:$A$200,$AK46,'Logic &amp; Lists'!$C$4:$C$200,"Components PO Plan"))</f>
        <v/>
      </c>
      <c r="T46" s="6" t="str">
        <f>IF($AL46="","",$U46+SUMIFS('Logic &amp; Lists'!$E$4:$E$200,'Logic &amp; Lists'!$A$4:$A$200,$AK46,'Logic &amp; Lists'!$C$4:$C$200,"Production Start"))</f>
        <v/>
      </c>
      <c r="U46" s="6" t="str">
        <f>IF($AL46="","",$W46+SUMIFS('Logic &amp; Lists'!$E$4:$E$200,'Logic &amp; Lists'!$A$4:$A$200,$AK46,'Logic &amp; Lists'!$C$4:$C$200,"Production Complete"))</f>
        <v/>
      </c>
      <c r="V46" s="6" t="str">
        <f>IF($AL46="","",$Y46+SUMIFS('Logic &amp; Lists'!$E$4:$E$200,'Logic &amp; Lists'!$A$4:$A$200,$AK46,'Logic &amp; Lists'!$C$4:$C$200,"NOI Date"))</f>
        <v/>
      </c>
      <c r="W46" s="6" t="str">
        <f>IF($AL46="","",$X46+SUMIFS('Logic &amp; Lists'!$E$4:$E$200,'Logic &amp; Lists'!$A$4:$A$200,$AK46,'Logic &amp; Lists'!$C$4:$C$200,"Internal Test Start"))</f>
        <v/>
      </c>
      <c r="X46" s="6" t="str">
        <f>IF($AL46="","",$Y46+SUMIFS('Logic &amp; Lists'!$E$4:$E$200,'Logic &amp; Lists'!$A$4:$A$200,$AK46,'Logic &amp; Lists'!$C$4:$C$200,"Internal Test Complete"))</f>
        <v/>
      </c>
      <c r="Y46" s="6" t="str">
        <f>IF($AL46="","",$AA46+SUMIFS('Logic &amp; Lists'!$E$4:$E$200,'Logic &amp; Lists'!$A$4:$A$200,$AK46,'Logic &amp; Lists'!$C$4:$C$200,"FAT Start"))</f>
        <v/>
      </c>
      <c r="Z46" s="6" t="str">
        <f>IF($AL46="","",$Y46+SUMIFS('Logic &amp; Lists'!$E$4:$E$200,'Logic &amp; Lists'!$A$4:$A$200,$AK46,'Logic &amp; Lists'!$C$4:$C$200,"FAT Complete"))</f>
        <v/>
      </c>
      <c r="AA46" s="6" t="str">
        <f>IF($AL46="","",$F46+SUMIFS('Logic &amp; Lists'!$E$4:$E$200,'Logic &amp; Lists'!$A$4:$A$200,$AK46,'Logic &amp; Lists'!$C$4:$C$200,"Delivery"))</f>
        <v/>
      </c>
      <c r="AB46" s="8"/>
      <c r="AC46" s="8"/>
      <c r="AD46" s="8"/>
      <c r="AE46" s="8"/>
      <c r="AF46" s="16"/>
      <c r="AG46" s="8"/>
      <c r="AH46" s="5" t="str">
        <f t="shared" si="2"/>
        <v/>
      </c>
      <c r="AI46" s="18" t="str">
        <f t="shared" ca="1" si="3"/>
        <v/>
      </c>
      <c r="AJ46" s="7"/>
      <c r="AK46" s="5" t="str">
        <f>IF($AL46="","",IF(COUNTIF('Logic &amp; Lists'!$A$4:$A$200,$C46)&gt;0,$C46,"Default"))</f>
        <v/>
      </c>
      <c r="AL46" t="str">
        <f>IF($A46&lt;&gt;"",$A46,IF($B46&lt;&gt;"",IFERROR(INDEX(Product_Registry!$A$2:$A$101,MATCH($B46,Product_Registry!$B$2:$B$101,0)),IFERROR(INDEX(Product_Registry!$A$2:$A$101,MATCH("*"&amp;$B46&amp;"*",Product_Registry!$B$2:$B$101,0)),"")),""))</f>
        <v/>
      </c>
      <c r="AM46" t="str">
        <f>IF($AL46="","",IFERROR(INDEX(Product_Registry!$B$2:$B$101,MATCH($AL46,Product_Registry!$A$2:$A$101,0)),""))</f>
        <v/>
      </c>
    </row>
    <row r="47" spans="1:39" x14ac:dyDescent="0.2">
      <c r="A47" s="27"/>
      <c r="B47" s="28"/>
      <c r="C47" s="20" t="str">
        <f>IF($AL47="","",IFERROR(INDEX(Product_Registry!$C$2:$C$101,MATCH($AL47,Product_Registry!$A$2:$A$101,0)),""))</f>
        <v/>
      </c>
      <c r="D47" s="21" t="str">
        <f>IF($AL47="","",IFERROR(INDEX(Product_Registry!$D$2:$D$101,MATCH($AL47,Product_Registry!$A$2:$A$101,0)),""))</f>
        <v/>
      </c>
      <c r="E47" s="17" t="str">
        <f>IF($AL47="","",IFERROR(INDEX(Product_Registry!$E$2:$E$101,MATCH($AL47,Product_Registry!$A$2:$A$101,0)),""))</f>
        <v/>
      </c>
      <c r="F47" s="17" t="str">
        <f>IF($AL47="","",IFERROR(INDEX(Product_Registry!$F$2:$F$101,MATCH($AL47,Product_Registry!$A$2:$A$101,0)),""))</f>
        <v/>
      </c>
      <c r="G47" s="21" t="str">
        <f>IF($AL47="","",IFERROR(INDEX(Product_Registry!$G$2:$G$101,MATCH($AL47,Product_Registry!$A$2:$A$101,0)),""))</f>
        <v/>
      </c>
      <c r="H47" s="21" t="str">
        <f>IF($AL47="","",IFERROR(INDEX(Product_Registry!$H$2:$H$101,MATCH($AL47,Product_Registry!$A$2:$A$101,0)),""))</f>
        <v/>
      </c>
      <c r="I47" s="21" t="str">
        <f>IF($AL47="","",IFERROR(INDEX(Product_Registry!$I$2:$I$101,MATCH($AL47,Product_Registry!$A$2:$A$101,0)),""))</f>
        <v/>
      </c>
      <c r="J47" s="21" t="str">
        <f>IF($AL47="","",IFERROR(INDEX(Product_Registry!$J$2:$J$101,MATCH($AL47,Product_Registry!$A$2:$A$101,0)),""))</f>
        <v/>
      </c>
      <c r="K47" s="21" t="str">
        <f>IF($AL47="","",IFERROR(INDEX(Product_Registry!$K$2:$K$101,MATCH($AL47,Product_Registry!$A$2:$A$101,0)),""))</f>
        <v/>
      </c>
      <c r="L47" s="21" t="str">
        <f>IF($AL47="","",IFERROR(INDEX(Product_Registry!$L$2:$L$101,MATCH($AL47,Product_Registry!$A$2:$A$101,0)),""))</f>
        <v/>
      </c>
      <c r="M47" s="21" t="str">
        <f>IF($AL47="","",IFERROR(INDEX(Product_Registry!$M$2:$M$101,MATCH($AL47,Product_Registry!$A$2:$A$101,0)),""))</f>
        <v/>
      </c>
      <c r="N47" s="6" t="str">
        <f>IF($AL47="","",$E47+SUMIFS('Logic &amp; Lists'!$E$4:$E$200,'Logic &amp; Lists'!$A$4:$A$200,$AK47,'Logic &amp; Lists'!$C$4:$C$200,"Level 1 Schedule"))</f>
        <v/>
      </c>
      <c r="O47" s="6" t="str">
        <f>IF($AL47="","",$P47+SUMIFS('Logic &amp; Lists'!$E$4:$E$200,'Logic &amp; Lists'!$A$4:$A$200,$AK47,'Logic &amp; Lists'!$C$4:$C$200,"Input Frozen"))</f>
        <v/>
      </c>
      <c r="P47" s="6" t="str">
        <f>IF($AL47="","",$Q47+SUMIFS('Logic &amp; Lists'!$E$4:$E$200,'Logic &amp; Lists'!$A$4:$A$200,$AK47,'Logic &amp; Lists'!$C$4:$C$200,"Drawing Approval"))</f>
        <v/>
      </c>
      <c r="Q47" s="6" t="str">
        <f>IF($AL47="","",$S47+SUMIFS('Logic &amp; Lists'!$E$4:$E$200,'Logic &amp; Lists'!$A$4:$A$200,$AK47,'Logic &amp; Lists'!$C$4:$C$200,"BOM Pass to PR"))</f>
        <v/>
      </c>
      <c r="R47" s="6" t="str">
        <f>IF($AL47="","",$S47+SUMIFS('Logic &amp; Lists'!$E$4:$E$200,'Logic &amp; Lists'!$A$4:$A$200,$AK47,'Logic &amp; Lists'!$C$4:$C$200,"PR Schedule"))</f>
        <v/>
      </c>
      <c r="S47" s="6" t="str">
        <f>IF($AL47="","",$T47+SUMIFS('Logic &amp; Lists'!$E$4:$E$200,'Logic &amp; Lists'!$A$4:$A$200,$AK47,'Logic &amp; Lists'!$C$4:$C$200,"Components PO Plan"))</f>
        <v/>
      </c>
      <c r="T47" s="6" t="str">
        <f>IF($AL47="","",$U47+SUMIFS('Logic &amp; Lists'!$E$4:$E$200,'Logic &amp; Lists'!$A$4:$A$200,$AK47,'Logic &amp; Lists'!$C$4:$C$200,"Production Start"))</f>
        <v/>
      </c>
      <c r="U47" s="6" t="str">
        <f>IF($AL47="","",$W47+SUMIFS('Logic &amp; Lists'!$E$4:$E$200,'Logic &amp; Lists'!$A$4:$A$200,$AK47,'Logic &amp; Lists'!$C$4:$C$200,"Production Complete"))</f>
        <v/>
      </c>
      <c r="V47" s="6" t="str">
        <f>IF($AL47="","",$Y47+SUMIFS('Logic &amp; Lists'!$E$4:$E$200,'Logic &amp; Lists'!$A$4:$A$200,$AK47,'Logic &amp; Lists'!$C$4:$C$200,"NOI Date"))</f>
        <v/>
      </c>
      <c r="W47" s="6" t="str">
        <f>IF($AL47="","",$X47+SUMIFS('Logic &amp; Lists'!$E$4:$E$200,'Logic &amp; Lists'!$A$4:$A$200,$AK47,'Logic &amp; Lists'!$C$4:$C$200,"Internal Test Start"))</f>
        <v/>
      </c>
      <c r="X47" s="6" t="str">
        <f>IF($AL47="","",$Y47+SUMIFS('Logic &amp; Lists'!$E$4:$E$200,'Logic &amp; Lists'!$A$4:$A$200,$AK47,'Logic &amp; Lists'!$C$4:$C$200,"Internal Test Complete"))</f>
        <v/>
      </c>
      <c r="Y47" s="6" t="str">
        <f>IF($AL47="","",$AA47+SUMIFS('Logic &amp; Lists'!$E$4:$E$200,'Logic &amp; Lists'!$A$4:$A$200,$AK47,'Logic &amp; Lists'!$C$4:$C$200,"FAT Start"))</f>
        <v/>
      </c>
      <c r="Z47" s="6" t="str">
        <f>IF($AL47="","",$Y47+SUMIFS('Logic &amp; Lists'!$E$4:$E$200,'Logic &amp; Lists'!$A$4:$A$200,$AK47,'Logic &amp; Lists'!$C$4:$C$200,"FAT Complete"))</f>
        <v/>
      </c>
      <c r="AA47" s="6" t="str">
        <f>IF($AL47="","",$F47+SUMIFS('Logic &amp; Lists'!$E$4:$E$200,'Logic &amp; Lists'!$A$4:$A$200,$AK47,'Logic &amp; Lists'!$C$4:$C$200,"Delivery"))</f>
        <v/>
      </c>
      <c r="AB47" s="8"/>
      <c r="AC47" s="8"/>
      <c r="AD47" s="8"/>
      <c r="AE47" s="8"/>
      <c r="AF47" s="16"/>
      <c r="AG47" s="8"/>
      <c r="AH47" s="5" t="str">
        <f t="shared" si="2"/>
        <v/>
      </c>
      <c r="AI47" s="18" t="str">
        <f t="shared" ca="1" si="3"/>
        <v/>
      </c>
      <c r="AJ47" s="7"/>
      <c r="AK47" s="5" t="str">
        <f>IF($AL47="","",IF(COUNTIF('Logic &amp; Lists'!$A$4:$A$200,$C47)&gt;0,$C47,"Default"))</f>
        <v/>
      </c>
      <c r="AL47" t="str">
        <f>IF($A47&lt;&gt;"",$A47,IF($B47&lt;&gt;"",IFERROR(INDEX(Product_Registry!$A$2:$A$101,MATCH($B47,Product_Registry!$B$2:$B$101,0)),IFERROR(INDEX(Product_Registry!$A$2:$A$101,MATCH("*"&amp;$B47&amp;"*",Product_Registry!$B$2:$B$101,0)),"")),""))</f>
        <v/>
      </c>
      <c r="AM47" t="str">
        <f>IF($AL47="","",IFERROR(INDEX(Product_Registry!$B$2:$B$101,MATCH($AL47,Product_Registry!$A$2:$A$101,0)),""))</f>
        <v/>
      </c>
    </row>
    <row r="48" spans="1:39" x14ac:dyDescent="0.2">
      <c r="A48" s="27"/>
      <c r="B48" s="28"/>
      <c r="C48" s="20" t="str">
        <f>IF($AL48="","",IFERROR(INDEX(Product_Registry!$C$2:$C$101,MATCH($AL48,Product_Registry!$A$2:$A$101,0)),""))</f>
        <v/>
      </c>
      <c r="D48" s="21" t="str">
        <f>IF($AL48="","",IFERROR(INDEX(Product_Registry!$D$2:$D$101,MATCH($AL48,Product_Registry!$A$2:$A$101,0)),""))</f>
        <v/>
      </c>
      <c r="E48" s="17" t="str">
        <f>IF($AL48="","",IFERROR(INDEX(Product_Registry!$E$2:$E$101,MATCH($AL48,Product_Registry!$A$2:$A$101,0)),""))</f>
        <v/>
      </c>
      <c r="F48" s="17" t="str">
        <f>IF($AL48="","",IFERROR(INDEX(Product_Registry!$F$2:$F$101,MATCH($AL48,Product_Registry!$A$2:$A$101,0)),""))</f>
        <v/>
      </c>
      <c r="G48" s="21" t="str">
        <f>IF($AL48="","",IFERROR(INDEX(Product_Registry!$G$2:$G$101,MATCH($AL48,Product_Registry!$A$2:$A$101,0)),""))</f>
        <v/>
      </c>
      <c r="H48" s="21" t="str">
        <f>IF($AL48="","",IFERROR(INDEX(Product_Registry!$H$2:$H$101,MATCH($AL48,Product_Registry!$A$2:$A$101,0)),""))</f>
        <v/>
      </c>
      <c r="I48" s="21" t="str">
        <f>IF($AL48="","",IFERROR(INDEX(Product_Registry!$I$2:$I$101,MATCH($AL48,Product_Registry!$A$2:$A$101,0)),""))</f>
        <v/>
      </c>
      <c r="J48" s="21" t="str">
        <f>IF($AL48="","",IFERROR(INDEX(Product_Registry!$J$2:$J$101,MATCH($AL48,Product_Registry!$A$2:$A$101,0)),""))</f>
        <v/>
      </c>
      <c r="K48" s="21" t="str">
        <f>IF($AL48="","",IFERROR(INDEX(Product_Registry!$K$2:$K$101,MATCH($AL48,Product_Registry!$A$2:$A$101,0)),""))</f>
        <v/>
      </c>
      <c r="L48" s="21" t="str">
        <f>IF($AL48="","",IFERROR(INDEX(Product_Registry!$L$2:$L$101,MATCH($AL48,Product_Registry!$A$2:$A$101,0)),""))</f>
        <v/>
      </c>
      <c r="M48" s="21" t="str">
        <f>IF($AL48="","",IFERROR(INDEX(Product_Registry!$M$2:$M$101,MATCH($AL48,Product_Registry!$A$2:$A$101,0)),""))</f>
        <v/>
      </c>
      <c r="N48" s="6" t="str">
        <f>IF($AL48="","",$E48+SUMIFS('Logic &amp; Lists'!$E$4:$E$200,'Logic &amp; Lists'!$A$4:$A$200,$AK48,'Logic &amp; Lists'!$C$4:$C$200,"Level 1 Schedule"))</f>
        <v/>
      </c>
      <c r="O48" s="6" t="str">
        <f>IF($AL48="","",$P48+SUMIFS('Logic &amp; Lists'!$E$4:$E$200,'Logic &amp; Lists'!$A$4:$A$200,$AK48,'Logic &amp; Lists'!$C$4:$C$200,"Input Frozen"))</f>
        <v/>
      </c>
      <c r="P48" s="6" t="str">
        <f>IF($AL48="","",$Q48+SUMIFS('Logic &amp; Lists'!$E$4:$E$200,'Logic &amp; Lists'!$A$4:$A$200,$AK48,'Logic &amp; Lists'!$C$4:$C$200,"Drawing Approval"))</f>
        <v/>
      </c>
      <c r="Q48" s="6" t="str">
        <f>IF($AL48="","",$S48+SUMIFS('Logic &amp; Lists'!$E$4:$E$200,'Logic &amp; Lists'!$A$4:$A$200,$AK48,'Logic &amp; Lists'!$C$4:$C$200,"BOM Pass to PR"))</f>
        <v/>
      </c>
      <c r="R48" s="6" t="str">
        <f>IF($AL48="","",$S48+SUMIFS('Logic &amp; Lists'!$E$4:$E$200,'Logic &amp; Lists'!$A$4:$A$200,$AK48,'Logic &amp; Lists'!$C$4:$C$200,"PR Schedule"))</f>
        <v/>
      </c>
      <c r="S48" s="6" t="str">
        <f>IF($AL48="","",$T48+SUMIFS('Logic &amp; Lists'!$E$4:$E$200,'Logic &amp; Lists'!$A$4:$A$200,$AK48,'Logic &amp; Lists'!$C$4:$C$200,"Components PO Plan"))</f>
        <v/>
      </c>
      <c r="T48" s="6" t="str">
        <f>IF($AL48="","",$U48+SUMIFS('Logic &amp; Lists'!$E$4:$E$200,'Logic &amp; Lists'!$A$4:$A$200,$AK48,'Logic &amp; Lists'!$C$4:$C$200,"Production Start"))</f>
        <v/>
      </c>
      <c r="U48" s="6" t="str">
        <f>IF($AL48="","",$W48+SUMIFS('Logic &amp; Lists'!$E$4:$E$200,'Logic &amp; Lists'!$A$4:$A$200,$AK48,'Logic &amp; Lists'!$C$4:$C$200,"Production Complete"))</f>
        <v/>
      </c>
      <c r="V48" s="6" t="str">
        <f>IF($AL48="","",$Y48+SUMIFS('Logic &amp; Lists'!$E$4:$E$200,'Logic &amp; Lists'!$A$4:$A$200,$AK48,'Logic &amp; Lists'!$C$4:$C$200,"NOI Date"))</f>
        <v/>
      </c>
      <c r="W48" s="6" t="str">
        <f>IF($AL48="","",$X48+SUMIFS('Logic &amp; Lists'!$E$4:$E$200,'Logic &amp; Lists'!$A$4:$A$200,$AK48,'Logic &amp; Lists'!$C$4:$C$200,"Internal Test Start"))</f>
        <v/>
      </c>
      <c r="X48" s="6" t="str">
        <f>IF($AL48="","",$Y48+SUMIFS('Logic &amp; Lists'!$E$4:$E$200,'Logic &amp; Lists'!$A$4:$A$200,$AK48,'Logic &amp; Lists'!$C$4:$C$200,"Internal Test Complete"))</f>
        <v/>
      </c>
      <c r="Y48" s="6" t="str">
        <f>IF($AL48="","",$AA48+SUMIFS('Logic &amp; Lists'!$E$4:$E$200,'Logic &amp; Lists'!$A$4:$A$200,$AK48,'Logic &amp; Lists'!$C$4:$C$200,"FAT Start"))</f>
        <v/>
      </c>
      <c r="Z48" s="6" t="str">
        <f>IF($AL48="","",$Y48+SUMIFS('Logic &amp; Lists'!$E$4:$E$200,'Logic &amp; Lists'!$A$4:$A$200,$AK48,'Logic &amp; Lists'!$C$4:$C$200,"FAT Complete"))</f>
        <v/>
      </c>
      <c r="AA48" s="6" t="str">
        <f>IF($AL48="","",$F48+SUMIFS('Logic &amp; Lists'!$E$4:$E$200,'Logic &amp; Lists'!$A$4:$A$200,$AK48,'Logic &amp; Lists'!$C$4:$C$200,"Delivery"))</f>
        <v/>
      </c>
      <c r="AB48" s="8"/>
      <c r="AC48" s="8"/>
      <c r="AD48" s="8"/>
      <c r="AE48" s="8"/>
      <c r="AF48" s="16"/>
      <c r="AG48" s="8"/>
      <c r="AH48" s="5" t="str">
        <f t="shared" si="2"/>
        <v/>
      </c>
      <c r="AI48" s="18" t="str">
        <f t="shared" ca="1" si="3"/>
        <v/>
      </c>
      <c r="AJ48" s="7"/>
      <c r="AK48" s="5" t="str">
        <f>IF($AL48="","",IF(COUNTIF('Logic &amp; Lists'!$A$4:$A$200,$C48)&gt;0,$C48,"Default"))</f>
        <v/>
      </c>
      <c r="AL48" t="str">
        <f>IF($A48&lt;&gt;"",$A48,IF($B48&lt;&gt;"",IFERROR(INDEX(Product_Registry!$A$2:$A$101,MATCH($B48,Product_Registry!$B$2:$B$101,0)),IFERROR(INDEX(Product_Registry!$A$2:$A$101,MATCH("*"&amp;$B48&amp;"*",Product_Registry!$B$2:$B$101,0)),"")),""))</f>
        <v/>
      </c>
      <c r="AM48" t="str">
        <f>IF($AL48="","",IFERROR(INDEX(Product_Registry!$B$2:$B$101,MATCH($AL48,Product_Registry!$A$2:$A$101,0)),""))</f>
        <v/>
      </c>
    </row>
    <row r="49" spans="1:39" x14ac:dyDescent="0.2">
      <c r="A49" s="27"/>
      <c r="B49" s="28"/>
      <c r="C49" s="20" t="str">
        <f>IF($AL49="","",IFERROR(INDEX(Product_Registry!$C$2:$C$101,MATCH($AL49,Product_Registry!$A$2:$A$101,0)),""))</f>
        <v/>
      </c>
      <c r="D49" s="21" t="str">
        <f>IF($AL49="","",IFERROR(INDEX(Product_Registry!$D$2:$D$101,MATCH($AL49,Product_Registry!$A$2:$A$101,0)),""))</f>
        <v/>
      </c>
      <c r="E49" s="17" t="str">
        <f>IF($AL49="","",IFERROR(INDEX(Product_Registry!$E$2:$E$101,MATCH($AL49,Product_Registry!$A$2:$A$101,0)),""))</f>
        <v/>
      </c>
      <c r="F49" s="17" t="str">
        <f>IF($AL49="","",IFERROR(INDEX(Product_Registry!$F$2:$F$101,MATCH($AL49,Product_Registry!$A$2:$A$101,0)),""))</f>
        <v/>
      </c>
      <c r="G49" s="21" t="str">
        <f>IF($AL49="","",IFERROR(INDEX(Product_Registry!$G$2:$G$101,MATCH($AL49,Product_Registry!$A$2:$A$101,0)),""))</f>
        <v/>
      </c>
      <c r="H49" s="21" t="str">
        <f>IF($AL49="","",IFERROR(INDEX(Product_Registry!$H$2:$H$101,MATCH($AL49,Product_Registry!$A$2:$A$101,0)),""))</f>
        <v/>
      </c>
      <c r="I49" s="21" t="str">
        <f>IF($AL49="","",IFERROR(INDEX(Product_Registry!$I$2:$I$101,MATCH($AL49,Product_Registry!$A$2:$A$101,0)),""))</f>
        <v/>
      </c>
      <c r="J49" s="21" t="str">
        <f>IF($AL49="","",IFERROR(INDEX(Product_Registry!$J$2:$J$101,MATCH($AL49,Product_Registry!$A$2:$A$101,0)),""))</f>
        <v/>
      </c>
      <c r="K49" s="21" t="str">
        <f>IF($AL49="","",IFERROR(INDEX(Product_Registry!$K$2:$K$101,MATCH($AL49,Product_Registry!$A$2:$A$101,0)),""))</f>
        <v/>
      </c>
      <c r="L49" s="21" t="str">
        <f>IF($AL49="","",IFERROR(INDEX(Product_Registry!$L$2:$L$101,MATCH($AL49,Product_Registry!$A$2:$A$101,0)),""))</f>
        <v/>
      </c>
      <c r="M49" s="21" t="str">
        <f>IF($AL49="","",IFERROR(INDEX(Product_Registry!$M$2:$M$101,MATCH($AL49,Product_Registry!$A$2:$A$101,0)),""))</f>
        <v/>
      </c>
      <c r="N49" s="6" t="str">
        <f>IF($AL49="","",$E49+SUMIFS('Logic &amp; Lists'!$E$4:$E$200,'Logic &amp; Lists'!$A$4:$A$200,$AK49,'Logic &amp; Lists'!$C$4:$C$200,"Level 1 Schedule"))</f>
        <v/>
      </c>
      <c r="O49" s="6" t="str">
        <f>IF($AL49="","",$P49+SUMIFS('Logic &amp; Lists'!$E$4:$E$200,'Logic &amp; Lists'!$A$4:$A$200,$AK49,'Logic &amp; Lists'!$C$4:$C$200,"Input Frozen"))</f>
        <v/>
      </c>
      <c r="P49" s="6" t="str">
        <f>IF($AL49="","",$Q49+SUMIFS('Logic &amp; Lists'!$E$4:$E$200,'Logic &amp; Lists'!$A$4:$A$200,$AK49,'Logic &amp; Lists'!$C$4:$C$200,"Drawing Approval"))</f>
        <v/>
      </c>
      <c r="Q49" s="6" t="str">
        <f>IF($AL49="","",$S49+SUMIFS('Logic &amp; Lists'!$E$4:$E$200,'Logic &amp; Lists'!$A$4:$A$200,$AK49,'Logic &amp; Lists'!$C$4:$C$200,"BOM Pass to PR"))</f>
        <v/>
      </c>
      <c r="R49" s="6" t="str">
        <f>IF($AL49="","",$S49+SUMIFS('Logic &amp; Lists'!$E$4:$E$200,'Logic &amp; Lists'!$A$4:$A$200,$AK49,'Logic &amp; Lists'!$C$4:$C$200,"PR Schedule"))</f>
        <v/>
      </c>
      <c r="S49" s="6" t="str">
        <f>IF($AL49="","",$T49+SUMIFS('Logic &amp; Lists'!$E$4:$E$200,'Logic &amp; Lists'!$A$4:$A$200,$AK49,'Logic &amp; Lists'!$C$4:$C$200,"Components PO Plan"))</f>
        <v/>
      </c>
      <c r="T49" s="6" t="str">
        <f>IF($AL49="","",$U49+SUMIFS('Logic &amp; Lists'!$E$4:$E$200,'Logic &amp; Lists'!$A$4:$A$200,$AK49,'Logic &amp; Lists'!$C$4:$C$200,"Production Start"))</f>
        <v/>
      </c>
      <c r="U49" s="6" t="str">
        <f>IF($AL49="","",$W49+SUMIFS('Logic &amp; Lists'!$E$4:$E$200,'Logic &amp; Lists'!$A$4:$A$200,$AK49,'Logic &amp; Lists'!$C$4:$C$200,"Production Complete"))</f>
        <v/>
      </c>
      <c r="V49" s="6" t="str">
        <f>IF($AL49="","",$Y49+SUMIFS('Logic &amp; Lists'!$E$4:$E$200,'Logic &amp; Lists'!$A$4:$A$200,$AK49,'Logic &amp; Lists'!$C$4:$C$200,"NOI Date"))</f>
        <v/>
      </c>
      <c r="W49" s="6" t="str">
        <f>IF($AL49="","",$X49+SUMIFS('Logic &amp; Lists'!$E$4:$E$200,'Logic &amp; Lists'!$A$4:$A$200,$AK49,'Logic &amp; Lists'!$C$4:$C$200,"Internal Test Start"))</f>
        <v/>
      </c>
      <c r="X49" s="6" t="str">
        <f>IF($AL49="","",$Y49+SUMIFS('Logic &amp; Lists'!$E$4:$E$200,'Logic &amp; Lists'!$A$4:$A$200,$AK49,'Logic &amp; Lists'!$C$4:$C$200,"Internal Test Complete"))</f>
        <v/>
      </c>
      <c r="Y49" s="6" t="str">
        <f>IF($AL49="","",$AA49+SUMIFS('Logic &amp; Lists'!$E$4:$E$200,'Logic &amp; Lists'!$A$4:$A$200,$AK49,'Logic &amp; Lists'!$C$4:$C$200,"FAT Start"))</f>
        <v/>
      </c>
      <c r="Z49" s="6" t="str">
        <f>IF($AL49="","",$Y49+SUMIFS('Logic &amp; Lists'!$E$4:$E$200,'Logic &amp; Lists'!$A$4:$A$200,$AK49,'Logic &amp; Lists'!$C$4:$C$200,"FAT Complete"))</f>
        <v/>
      </c>
      <c r="AA49" s="6" t="str">
        <f>IF($AL49="","",$F49+SUMIFS('Logic &amp; Lists'!$E$4:$E$200,'Logic &amp; Lists'!$A$4:$A$200,$AK49,'Logic &amp; Lists'!$C$4:$C$200,"Delivery"))</f>
        <v/>
      </c>
      <c r="AB49" s="8"/>
      <c r="AC49" s="8"/>
      <c r="AD49" s="8"/>
      <c r="AE49" s="8"/>
      <c r="AF49" s="16"/>
      <c r="AG49" s="8"/>
      <c r="AH49" s="5" t="str">
        <f t="shared" si="2"/>
        <v/>
      </c>
      <c r="AI49" s="18" t="str">
        <f t="shared" ca="1" si="3"/>
        <v/>
      </c>
      <c r="AJ49" s="7"/>
      <c r="AK49" s="5" t="str">
        <f>IF($AL49="","",IF(COUNTIF('Logic &amp; Lists'!$A$4:$A$200,$C49)&gt;0,$C49,"Default"))</f>
        <v/>
      </c>
      <c r="AL49" t="str">
        <f>IF($A49&lt;&gt;"",$A49,IF($B49&lt;&gt;"",IFERROR(INDEX(Product_Registry!$A$2:$A$101,MATCH($B49,Product_Registry!$B$2:$B$101,0)),IFERROR(INDEX(Product_Registry!$A$2:$A$101,MATCH("*"&amp;$B49&amp;"*",Product_Registry!$B$2:$B$101,0)),"")),""))</f>
        <v/>
      </c>
      <c r="AM49" t="str">
        <f>IF($AL49="","",IFERROR(INDEX(Product_Registry!$B$2:$B$101,MATCH($AL49,Product_Registry!$A$2:$A$101,0)),""))</f>
        <v/>
      </c>
    </row>
    <row r="50" spans="1:39" x14ac:dyDescent="0.2">
      <c r="A50" s="27"/>
      <c r="B50" s="28"/>
      <c r="C50" s="20" t="str">
        <f>IF($AL50="","",IFERROR(INDEX(Product_Registry!$C$2:$C$101,MATCH($AL50,Product_Registry!$A$2:$A$101,0)),""))</f>
        <v/>
      </c>
      <c r="D50" s="21" t="str">
        <f>IF($AL50="","",IFERROR(INDEX(Product_Registry!$D$2:$D$101,MATCH($AL50,Product_Registry!$A$2:$A$101,0)),""))</f>
        <v/>
      </c>
      <c r="E50" s="17" t="str">
        <f>IF($AL50="","",IFERROR(INDEX(Product_Registry!$E$2:$E$101,MATCH($AL50,Product_Registry!$A$2:$A$101,0)),""))</f>
        <v/>
      </c>
      <c r="F50" s="17" t="str">
        <f>IF($AL50="","",IFERROR(INDEX(Product_Registry!$F$2:$F$101,MATCH($AL50,Product_Registry!$A$2:$A$101,0)),""))</f>
        <v/>
      </c>
      <c r="G50" s="21" t="str">
        <f>IF($AL50="","",IFERROR(INDEX(Product_Registry!$G$2:$G$101,MATCH($AL50,Product_Registry!$A$2:$A$101,0)),""))</f>
        <v/>
      </c>
      <c r="H50" s="21" t="str">
        <f>IF($AL50="","",IFERROR(INDEX(Product_Registry!$H$2:$H$101,MATCH($AL50,Product_Registry!$A$2:$A$101,0)),""))</f>
        <v/>
      </c>
      <c r="I50" s="21" t="str">
        <f>IF($AL50="","",IFERROR(INDEX(Product_Registry!$I$2:$I$101,MATCH($AL50,Product_Registry!$A$2:$A$101,0)),""))</f>
        <v/>
      </c>
      <c r="J50" s="21" t="str">
        <f>IF($AL50="","",IFERROR(INDEX(Product_Registry!$J$2:$J$101,MATCH($AL50,Product_Registry!$A$2:$A$101,0)),""))</f>
        <v/>
      </c>
      <c r="K50" s="21" t="str">
        <f>IF($AL50="","",IFERROR(INDEX(Product_Registry!$K$2:$K$101,MATCH($AL50,Product_Registry!$A$2:$A$101,0)),""))</f>
        <v/>
      </c>
      <c r="L50" s="21" t="str">
        <f>IF($AL50="","",IFERROR(INDEX(Product_Registry!$L$2:$L$101,MATCH($AL50,Product_Registry!$A$2:$A$101,0)),""))</f>
        <v/>
      </c>
      <c r="M50" s="21" t="str">
        <f>IF($AL50="","",IFERROR(INDEX(Product_Registry!$M$2:$M$101,MATCH($AL50,Product_Registry!$A$2:$A$101,0)),""))</f>
        <v/>
      </c>
      <c r="N50" s="6" t="str">
        <f>IF($AL50="","",$E50+SUMIFS('Logic &amp; Lists'!$E$4:$E$200,'Logic &amp; Lists'!$A$4:$A$200,$AK50,'Logic &amp; Lists'!$C$4:$C$200,"Level 1 Schedule"))</f>
        <v/>
      </c>
      <c r="O50" s="6" t="str">
        <f>IF($AL50="","",$P50+SUMIFS('Logic &amp; Lists'!$E$4:$E$200,'Logic &amp; Lists'!$A$4:$A$200,$AK50,'Logic &amp; Lists'!$C$4:$C$200,"Input Frozen"))</f>
        <v/>
      </c>
      <c r="P50" s="6" t="str">
        <f>IF($AL50="","",$Q50+SUMIFS('Logic &amp; Lists'!$E$4:$E$200,'Logic &amp; Lists'!$A$4:$A$200,$AK50,'Logic &amp; Lists'!$C$4:$C$200,"Drawing Approval"))</f>
        <v/>
      </c>
      <c r="Q50" s="6" t="str">
        <f>IF($AL50="","",$S50+SUMIFS('Logic &amp; Lists'!$E$4:$E$200,'Logic &amp; Lists'!$A$4:$A$200,$AK50,'Logic &amp; Lists'!$C$4:$C$200,"BOM Pass to PR"))</f>
        <v/>
      </c>
      <c r="R50" s="6" t="str">
        <f>IF($AL50="","",$S50+SUMIFS('Logic &amp; Lists'!$E$4:$E$200,'Logic &amp; Lists'!$A$4:$A$200,$AK50,'Logic &amp; Lists'!$C$4:$C$200,"PR Schedule"))</f>
        <v/>
      </c>
      <c r="S50" s="6" t="str">
        <f>IF($AL50="","",$T50+SUMIFS('Logic &amp; Lists'!$E$4:$E$200,'Logic &amp; Lists'!$A$4:$A$200,$AK50,'Logic &amp; Lists'!$C$4:$C$200,"Components PO Plan"))</f>
        <v/>
      </c>
      <c r="T50" s="6" t="str">
        <f>IF($AL50="","",$U50+SUMIFS('Logic &amp; Lists'!$E$4:$E$200,'Logic &amp; Lists'!$A$4:$A$200,$AK50,'Logic &amp; Lists'!$C$4:$C$200,"Production Start"))</f>
        <v/>
      </c>
      <c r="U50" s="6" t="str">
        <f>IF($AL50="","",$W50+SUMIFS('Logic &amp; Lists'!$E$4:$E$200,'Logic &amp; Lists'!$A$4:$A$200,$AK50,'Logic &amp; Lists'!$C$4:$C$200,"Production Complete"))</f>
        <v/>
      </c>
      <c r="V50" s="6" t="str">
        <f>IF($AL50="","",$Y50+SUMIFS('Logic &amp; Lists'!$E$4:$E$200,'Logic &amp; Lists'!$A$4:$A$200,$AK50,'Logic &amp; Lists'!$C$4:$C$200,"NOI Date"))</f>
        <v/>
      </c>
      <c r="W50" s="6" t="str">
        <f>IF($AL50="","",$X50+SUMIFS('Logic &amp; Lists'!$E$4:$E$200,'Logic &amp; Lists'!$A$4:$A$200,$AK50,'Logic &amp; Lists'!$C$4:$C$200,"Internal Test Start"))</f>
        <v/>
      </c>
      <c r="X50" s="6" t="str">
        <f>IF($AL50="","",$Y50+SUMIFS('Logic &amp; Lists'!$E$4:$E$200,'Logic &amp; Lists'!$A$4:$A$200,$AK50,'Logic &amp; Lists'!$C$4:$C$200,"Internal Test Complete"))</f>
        <v/>
      </c>
      <c r="Y50" s="6" t="str">
        <f>IF($AL50="","",$AA50+SUMIFS('Logic &amp; Lists'!$E$4:$E$200,'Logic &amp; Lists'!$A$4:$A$200,$AK50,'Logic &amp; Lists'!$C$4:$C$200,"FAT Start"))</f>
        <v/>
      </c>
      <c r="Z50" s="6" t="str">
        <f>IF($AL50="","",$Y50+SUMIFS('Logic &amp; Lists'!$E$4:$E$200,'Logic &amp; Lists'!$A$4:$A$200,$AK50,'Logic &amp; Lists'!$C$4:$C$200,"FAT Complete"))</f>
        <v/>
      </c>
      <c r="AA50" s="6" t="str">
        <f>IF($AL50="","",$F50+SUMIFS('Logic &amp; Lists'!$E$4:$E$200,'Logic &amp; Lists'!$A$4:$A$200,$AK50,'Logic &amp; Lists'!$C$4:$C$200,"Delivery"))</f>
        <v/>
      </c>
      <c r="AB50" s="8"/>
      <c r="AC50" s="8"/>
      <c r="AD50" s="8"/>
      <c r="AE50" s="8"/>
      <c r="AF50" s="16"/>
      <c r="AG50" s="8"/>
      <c r="AH50" s="5" t="str">
        <f t="shared" si="2"/>
        <v/>
      </c>
      <c r="AI50" s="18" t="str">
        <f t="shared" ca="1" si="3"/>
        <v/>
      </c>
      <c r="AJ50" s="7"/>
      <c r="AK50" s="5" t="str">
        <f>IF($AL50="","",IF(COUNTIF('Logic &amp; Lists'!$A$4:$A$200,$C50)&gt;0,$C50,"Default"))</f>
        <v/>
      </c>
      <c r="AL50" t="str">
        <f>IF($A50&lt;&gt;"",$A50,IF($B50&lt;&gt;"",IFERROR(INDEX(Product_Registry!$A$2:$A$101,MATCH($B50,Product_Registry!$B$2:$B$101,0)),IFERROR(INDEX(Product_Registry!$A$2:$A$101,MATCH("*"&amp;$B50&amp;"*",Product_Registry!$B$2:$B$101,0)),"")),""))</f>
        <v/>
      </c>
      <c r="AM50" t="str">
        <f>IF($AL50="","",IFERROR(INDEX(Product_Registry!$B$2:$B$101,MATCH($AL50,Product_Registry!$A$2:$A$101,0)),""))</f>
        <v/>
      </c>
    </row>
    <row r="51" spans="1:39" x14ac:dyDescent="0.2">
      <c r="A51" s="27"/>
      <c r="B51" s="28"/>
      <c r="C51" s="20" t="str">
        <f>IF($AL51="","",IFERROR(INDEX(Product_Registry!$C$2:$C$101,MATCH($AL51,Product_Registry!$A$2:$A$101,0)),""))</f>
        <v/>
      </c>
      <c r="D51" s="21" t="str">
        <f>IF($AL51="","",IFERROR(INDEX(Product_Registry!$D$2:$D$101,MATCH($AL51,Product_Registry!$A$2:$A$101,0)),""))</f>
        <v/>
      </c>
      <c r="E51" s="17" t="str">
        <f>IF($AL51="","",IFERROR(INDEX(Product_Registry!$E$2:$E$101,MATCH($AL51,Product_Registry!$A$2:$A$101,0)),""))</f>
        <v/>
      </c>
      <c r="F51" s="17" t="str">
        <f>IF($AL51="","",IFERROR(INDEX(Product_Registry!$F$2:$F$101,MATCH($AL51,Product_Registry!$A$2:$A$101,0)),""))</f>
        <v/>
      </c>
      <c r="G51" s="21" t="str">
        <f>IF($AL51="","",IFERROR(INDEX(Product_Registry!$G$2:$G$101,MATCH($AL51,Product_Registry!$A$2:$A$101,0)),""))</f>
        <v/>
      </c>
      <c r="H51" s="21" t="str">
        <f>IF($AL51="","",IFERROR(INDEX(Product_Registry!$H$2:$H$101,MATCH($AL51,Product_Registry!$A$2:$A$101,0)),""))</f>
        <v/>
      </c>
      <c r="I51" s="21" t="str">
        <f>IF($AL51="","",IFERROR(INDEX(Product_Registry!$I$2:$I$101,MATCH($AL51,Product_Registry!$A$2:$A$101,0)),""))</f>
        <v/>
      </c>
      <c r="J51" s="21" t="str">
        <f>IF($AL51="","",IFERROR(INDEX(Product_Registry!$J$2:$J$101,MATCH($AL51,Product_Registry!$A$2:$A$101,0)),""))</f>
        <v/>
      </c>
      <c r="K51" s="21" t="str">
        <f>IF($AL51="","",IFERROR(INDEX(Product_Registry!$K$2:$K$101,MATCH($AL51,Product_Registry!$A$2:$A$101,0)),""))</f>
        <v/>
      </c>
      <c r="L51" s="21" t="str">
        <f>IF($AL51="","",IFERROR(INDEX(Product_Registry!$L$2:$L$101,MATCH($AL51,Product_Registry!$A$2:$A$101,0)),""))</f>
        <v/>
      </c>
      <c r="M51" s="21" t="str">
        <f>IF($AL51="","",IFERROR(INDEX(Product_Registry!$M$2:$M$101,MATCH($AL51,Product_Registry!$A$2:$A$101,0)),""))</f>
        <v/>
      </c>
      <c r="N51" s="6" t="str">
        <f>IF($AL51="","",$E51+SUMIFS('Logic &amp; Lists'!$E$4:$E$200,'Logic &amp; Lists'!$A$4:$A$200,$AK51,'Logic &amp; Lists'!$C$4:$C$200,"Level 1 Schedule"))</f>
        <v/>
      </c>
      <c r="O51" s="6" t="str">
        <f>IF($AL51="","",$P51+SUMIFS('Logic &amp; Lists'!$E$4:$E$200,'Logic &amp; Lists'!$A$4:$A$200,$AK51,'Logic &amp; Lists'!$C$4:$C$200,"Input Frozen"))</f>
        <v/>
      </c>
      <c r="P51" s="6" t="str">
        <f>IF($AL51="","",$Q51+SUMIFS('Logic &amp; Lists'!$E$4:$E$200,'Logic &amp; Lists'!$A$4:$A$200,$AK51,'Logic &amp; Lists'!$C$4:$C$200,"Drawing Approval"))</f>
        <v/>
      </c>
      <c r="Q51" s="6" t="str">
        <f>IF($AL51="","",$S51+SUMIFS('Logic &amp; Lists'!$E$4:$E$200,'Logic &amp; Lists'!$A$4:$A$200,$AK51,'Logic &amp; Lists'!$C$4:$C$200,"BOM Pass to PR"))</f>
        <v/>
      </c>
      <c r="R51" s="6" t="str">
        <f>IF($AL51="","",$S51+SUMIFS('Logic &amp; Lists'!$E$4:$E$200,'Logic &amp; Lists'!$A$4:$A$200,$AK51,'Logic &amp; Lists'!$C$4:$C$200,"PR Schedule"))</f>
        <v/>
      </c>
      <c r="S51" s="6" t="str">
        <f>IF($AL51="","",$T51+SUMIFS('Logic &amp; Lists'!$E$4:$E$200,'Logic &amp; Lists'!$A$4:$A$200,$AK51,'Logic &amp; Lists'!$C$4:$C$200,"Components PO Plan"))</f>
        <v/>
      </c>
      <c r="T51" s="6" t="str">
        <f>IF($AL51="","",$U51+SUMIFS('Logic &amp; Lists'!$E$4:$E$200,'Logic &amp; Lists'!$A$4:$A$200,$AK51,'Logic &amp; Lists'!$C$4:$C$200,"Production Start"))</f>
        <v/>
      </c>
      <c r="U51" s="6" t="str">
        <f>IF($AL51="","",$W51+SUMIFS('Logic &amp; Lists'!$E$4:$E$200,'Logic &amp; Lists'!$A$4:$A$200,$AK51,'Logic &amp; Lists'!$C$4:$C$200,"Production Complete"))</f>
        <v/>
      </c>
      <c r="V51" s="6" t="str">
        <f>IF($AL51="","",$Y51+SUMIFS('Logic &amp; Lists'!$E$4:$E$200,'Logic &amp; Lists'!$A$4:$A$200,$AK51,'Logic &amp; Lists'!$C$4:$C$200,"NOI Date"))</f>
        <v/>
      </c>
      <c r="W51" s="6" t="str">
        <f>IF($AL51="","",$X51+SUMIFS('Logic &amp; Lists'!$E$4:$E$200,'Logic &amp; Lists'!$A$4:$A$200,$AK51,'Logic &amp; Lists'!$C$4:$C$200,"Internal Test Start"))</f>
        <v/>
      </c>
      <c r="X51" s="6" t="str">
        <f>IF($AL51="","",$Y51+SUMIFS('Logic &amp; Lists'!$E$4:$E$200,'Logic &amp; Lists'!$A$4:$A$200,$AK51,'Logic &amp; Lists'!$C$4:$C$200,"Internal Test Complete"))</f>
        <v/>
      </c>
      <c r="Y51" s="6" t="str">
        <f>IF($AL51="","",$AA51+SUMIFS('Logic &amp; Lists'!$E$4:$E$200,'Logic &amp; Lists'!$A$4:$A$200,$AK51,'Logic &amp; Lists'!$C$4:$C$200,"FAT Start"))</f>
        <v/>
      </c>
      <c r="Z51" s="6" t="str">
        <f>IF($AL51="","",$Y51+SUMIFS('Logic &amp; Lists'!$E$4:$E$200,'Logic &amp; Lists'!$A$4:$A$200,$AK51,'Logic &amp; Lists'!$C$4:$C$200,"FAT Complete"))</f>
        <v/>
      </c>
      <c r="AA51" s="6" t="str">
        <f>IF($AL51="","",$F51+SUMIFS('Logic &amp; Lists'!$E$4:$E$200,'Logic &amp; Lists'!$A$4:$A$200,$AK51,'Logic &amp; Lists'!$C$4:$C$200,"Delivery"))</f>
        <v/>
      </c>
      <c r="AB51" s="8"/>
      <c r="AC51" s="8"/>
      <c r="AD51" s="8"/>
      <c r="AE51" s="8"/>
      <c r="AF51" s="16"/>
      <c r="AG51" s="8"/>
      <c r="AH51" s="5" t="str">
        <f t="shared" si="2"/>
        <v/>
      </c>
      <c r="AI51" s="18" t="str">
        <f t="shared" ca="1" si="3"/>
        <v/>
      </c>
      <c r="AJ51" s="7"/>
      <c r="AK51" s="5" t="str">
        <f>IF($AL51="","",IF(COUNTIF('Logic &amp; Lists'!$A$4:$A$200,$C51)&gt;0,$C51,"Default"))</f>
        <v/>
      </c>
      <c r="AL51" t="str">
        <f>IF($A51&lt;&gt;"",$A51,IF($B51&lt;&gt;"",IFERROR(INDEX(Product_Registry!$A$2:$A$101,MATCH($B51,Product_Registry!$B$2:$B$101,0)),IFERROR(INDEX(Product_Registry!$A$2:$A$101,MATCH("*"&amp;$B51&amp;"*",Product_Registry!$B$2:$B$101,0)),"")),""))</f>
        <v/>
      </c>
      <c r="AM51" t="str">
        <f>IF($AL51="","",IFERROR(INDEX(Product_Registry!$B$2:$B$101,MATCH($AL51,Product_Registry!$A$2:$A$101,0)),""))</f>
        <v/>
      </c>
    </row>
    <row r="52" spans="1:39" x14ac:dyDescent="0.2">
      <c r="A52" s="27"/>
      <c r="B52" s="28"/>
      <c r="C52" s="20" t="str">
        <f>IF($AL52="","",IFERROR(INDEX(Product_Registry!$C$2:$C$101,MATCH($AL52,Product_Registry!$A$2:$A$101,0)),""))</f>
        <v/>
      </c>
      <c r="D52" s="21" t="str">
        <f>IF($AL52="","",IFERROR(INDEX(Product_Registry!$D$2:$D$101,MATCH($AL52,Product_Registry!$A$2:$A$101,0)),""))</f>
        <v/>
      </c>
      <c r="E52" s="17" t="str">
        <f>IF($AL52="","",IFERROR(INDEX(Product_Registry!$E$2:$E$101,MATCH($AL52,Product_Registry!$A$2:$A$101,0)),""))</f>
        <v/>
      </c>
      <c r="F52" s="17" t="str">
        <f>IF($AL52="","",IFERROR(INDEX(Product_Registry!$F$2:$F$101,MATCH($AL52,Product_Registry!$A$2:$A$101,0)),""))</f>
        <v/>
      </c>
      <c r="G52" s="21" t="str">
        <f>IF($AL52="","",IFERROR(INDEX(Product_Registry!$G$2:$G$101,MATCH($AL52,Product_Registry!$A$2:$A$101,0)),""))</f>
        <v/>
      </c>
      <c r="H52" s="21" t="str">
        <f>IF($AL52="","",IFERROR(INDEX(Product_Registry!$H$2:$H$101,MATCH($AL52,Product_Registry!$A$2:$A$101,0)),""))</f>
        <v/>
      </c>
      <c r="I52" s="21" t="str">
        <f>IF($AL52="","",IFERROR(INDEX(Product_Registry!$I$2:$I$101,MATCH($AL52,Product_Registry!$A$2:$A$101,0)),""))</f>
        <v/>
      </c>
      <c r="J52" s="21" t="str">
        <f>IF($AL52="","",IFERROR(INDEX(Product_Registry!$J$2:$J$101,MATCH($AL52,Product_Registry!$A$2:$A$101,0)),""))</f>
        <v/>
      </c>
      <c r="K52" s="21" t="str">
        <f>IF($AL52="","",IFERROR(INDEX(Product_Registry!$K$2:$K$101,MATCH($AL52,Product_Registry!$A$2:$A$101,0)),""))</f>
        <v/>
      </c>
      <c r="L52" s="21" t="str">
        <f>IF($AL52="","",IFERROR(INDEX(Product_Registry!$L$2:$L$101,MATCH($AL52,Product_Registry!$A$2:$A$101,0)),""))</f>
        <v/>
      </c>
      <c r="M52" s="21" t="str">
        <f>IF($AL52="","",IFERROR(INDEX(Product_Registry!$M$2:$M$101,MATCH($AL52,Product_Registry!$A$2:$A$101,0)),""))</f>
        <v/>
      </c>
      <c r="N52" s="6" t="str">
        <f>IF($AL52="","",$E52+SUMIFS('Logic &amp; Lists'!$E$4:$E$200,'Logic &amp; Lists'!$A$4:$A$200,$AK52,'Logic &amp; Lists'!$C$4:$C$200,"Level 1 Schedule"))</f>
        <v/>
      </c>
      <c r="O52" s="6" t="str">
        <f>IF($AL52="","",$P52+SUMIFS('Logic &amp; Lists'!$E$4:$E$200,'Logic &amp; Lists'!$A$4:$A$200,$AK52,'Logic &amp; Lists'!$C$4:$C$200,"Input Frozen"))</f>
        <v/>
      </c>
      <c r="P52" s="6" t="str">
        <f>IF($AL52="","",$Q52+SUMIFS('Logic &amp; Lists'!$E$4:$E$200,'Logic &amp; Lists'!$A$4:$A$200,$AK52,'Logic &amp; Lists'!$C$4:$C$200,"Drawing Approval"))</f>
        <v/>
      </c>
      <c r="Q52" s="6" t="str">
        <f>IF($AL52="","",$S52+SUMIFS('Logic &amp; Lists'!$E$4:$E$200,'Logic &amp; Lists'!$A$4:$A$200,$AK52,'Logic &amp; Lists'!$C$4:$C$200,"BOM Pass to PR"))</f>
        <v/>
      </c>
      <c r="R52" s="6" t="str">
        <f>IF($AL52="","",$S52+SUMIFS('Logic &amp; Lists'!$E$4:$E$200,'Logic &amp; Lists'!$A$4:$A$200,$AK52,'Logic &amp; Lists'!$C$4:$C$200,"PR Schedule"))</f>
        <v/>
      </c>
      <c r="S52" s="6" t="str">
        <f>IF($AL52="","",$T52+SUMIFS('Logic &amp; Lists'!$E$4:$E$200,'Logic &amp; Lists'!$A$4:$A$200,$AK52,'Logic &amp; Lists'!$C$4:$C$200,"Components PO Plan"))</f>
        <v/>
      </c>
      <c r="T52" s="6" t="str">
        <f>IF($AL52="","",$U52+SUMIFS('Logic &amp; Lists'!$E$4:$E$200,'Logic &amp; Lists'!$A$4:$A$200,$AK52,'Logic &amp; Lists'!$C$4:$C$200,"Production Start"))</f>
        <v/>
      </c>
      <c r="U52" s="6" t="str">
        <f>IF($AL52="","",$W52+SUMIFS('Logic &amp; Lists'!$E$4:$E$200,'Logic &amp; Lists'!$A$4:$A$200,$AK52,'Logic &amp; Lists'!$C$4:$C$200,"Production Complete"))</f>
        <v/>
      </c>
      <c r="V52" s="6" t="str">
        <f>IF($AL52="","",$Y52+SUMIFS('Logic &amp; Lists'!$E$4:$E$200,'Logic &amp; Lists'!$A$4:$A$200,$AK52,'Logic &amp; Lists'!$C$4:$C$200,"NOI Date"))</f>
        <v/>
      </c>
      <c r="W52" s="6" t="str">
        <f>IF($AL52="","",$X52+SUMIFS('Logic &amp; Lists'!$E$4:$E$200,'Logic &amp; Lists'!$A$4:$A$200,$AK52,'Logic &amp; Lists'!$C$4:$C$200,"Internal Test Start"))</f>
        <v/>
      </c>
      <c r="X52" s="6" t="str">
        <f>IF($AL52="","",$Y52+SUMIFS('Logic &amp; Lists'!$E$4:$E$200,'Logic &amp; Lists'!$A$4:$A$200,$AK52,'Logic &amp; Lists'!$C$4:$C$200,"Internal Test Complete"))</f>
        <v/>
      </c>
      <c r="Y52" s="6" t="str">
        <f>IF($AL52="","",$AA52+SUMIFS('Logic &amp; Lists'!$E$4:$E$200,'Logic &amp; Lists'!$A$4:$A$200,$AK52,'Logic &amp; Lists'!$C$4:$C$200,"FAT Start"))</f>
        <v/>
      </c>
      <c r="Z52" s="6" t="str">
        <f>IF($AL52="","",$Y52+SUMIFS('Logic &amp; Lists'!$E$4:$E$200,'Logic &amp; Lists'!$A$4:$A$200,$AK52,'Logic &amp; Lists'!$C$4:$C$200,"FAT Complete"))</f>
        <v/>
      </c>
      <c r="AA52" s="6" t="str">
        <f>IF($AL52="","",$F52+SUMIFS('Logic &amp; Lists'!$E$4:$E$200,'Logic &amp; Lists'!$A$4:$A$200,$AK52,'Logic &amp; Lists'!$C$4:$C$200,"Delivery"))</f>
        <v/>
      </c>
      <c r="AB52" s="8"/>
      <c r="AC52" s="8"/>
      <c r="AD52" s="8"/>
      <c r="AE52" s="8"/>
      <c r="AF52" s="16"/>
      <c r="AG52" s="8"/>
      <c r="AH52" s="5" t="str">
        <f t="shared" si="2"/>
        <v/>
      </c>
      <c r="AI52" s="18" t="str">
        <f t="shared" ca="1" si="3"/>
        <v/>
      </c>
      <c r="AJ52" s="7"/>
      <c r="AK52" s="5" t="str">
        <f>IF($AL52="","",IF(COUNTIF('Logic &amp; Lists'!$A$4:$A$200,$C52)&gt;0,$C52,"Default"))</f>
        <v/>
      </c>
      <c r="AL52" t="str">
        <f>IF($A52&lt;&gt;"",$A52,IF($B52&lt;&gt;"",IFERROR(INDEX(Product_Registry!$A$2:$A$101,MATCH($B52,Product_Registry!$B$2:$B$101,0)),IFERROR(INDEX(Product_Registry!$A$2:$A$101,MATCH("*"&amp;$B52&amp;"*",Product_Registry!$B$2:$B$101,0)),"")),""))</f>
        <v/>
      </c>
      <c r="AM52" t="str">
        <f>IF($AL52="","",IFERROR(INDEX(Product_Registry!$B$2:$B$101,MATCH($AL52,Product_Registry!$A$2:$A$101,0)),""))</f>
        <v/>
      </c>
    </row>
    <row r="53" spans="1:39" x14ac:dyDescent="0.2">
      <c r="A53" s="27"/>
      <c r="B53" s="28"/>
      <c r="C53" s="20" t="str">
        <f>IF($AL53="","",IFERROR(INDEX(Product_Registry!$C$2:$C$101,MATCH($AL53,Product_Registry!$A$2:$A$101,0)),""))</f>
        <v/>
      </c>
      <c r="D53" s="21" t="str">
        <f>IF($AL53="","",IFERROR(INDEX(Product_Registry!$D$2:$D$101,MATCH($AL53,Product_Registry!$A$2:$A$101,0)),""))</f>
        <v/>
      </c>
      <c r="E53" s="17" t="str">
        <f>IF($AL53="","",IFERROR(INDEX(Product_Registry!$E$2:$E$101,MATCH($AL53,Product_Registry!$A$2:$A$101,0)),""))</f>
        <v/>
      </c>
      <c r="F53" s="17" t="str">
        <f>IF($AL53="","",IFERROR(INDEX(Product_Registry!$F$2:$F$101,MATCH($AL53,Product_Registry!$A$2:$A$101,0)),""))</f>
        <v/>
      </c>
      <c r="G53" s="21" t="str">
        <f>IF($AL53="","",IFERROR(INDEX(Product_Registry!$G$2:$G$101,MATCH($AL53,Product_Registry!$A$2:$A$101,0)),""))</f>
        <v/>
      </c>
      <c r="H53" s="21" t="str">
        <f>IF($AL53="","",IFERROR(INDEX(Product_Registry!$H$2:$H$101,MATCH($AL53,Product_Registry!$A$2:$A$101,0)),""))</f>
        <v/>
      </c>
      <c r="I53" s="21" t="str">
        <f>IF($AL53="","",IFERROR(INDEX(Product_Registry!$I$2:$I$101,MATCH($AL53,Product_Registry!$A$2:$A$101,0)),""))</f>
        <v/>
      </c>
      <c r="J53" s="21" t="str">
        <f>IF($AL53="","",IFERROR(INDEX(Product_Registry!$J$2:$J$101,MATCH($AL53,Product_Registry!$A$2:$A$101,0)),""))</f>
        <v/>
      </c>
      <c r="K53" s="21" t="str">
        <f>IF($AL53="","",IFERROR(INDEX(Product_Registry!$K$2:$K$101,MATCH($AL53,Product_Registry!$A$2:$A$101,0)),""))</f>
        <v/>
      </c>
      <c r="L53" s="21" t="str">
        <f>IF($AL53="","",IFERROR(INDEX(Product_Registry!$L$2:$L$101,MATCH($AL53,Product_Registry!$A$2:$A$101,0)),""))</f>
        <v/>
      </c>
      <c r="M53" s="21" t="str">
        <f>IF($AL53="","",IFERROR(INDEX(Product_Registry!$M$2:$M$101,MATCH($AL53,Product_Registry!$A$2:$A$101,0)),""))</f>
        <v/>
      </c>
      <c r="N53" s="6" t="str">
        <f>IF($AL53="","",$E53+SUMIFS('Logic &amp; Lists'!$E$4:$E$200,'Logic &amp; Lists'!$A$4:$A$200,$AK53,'Logic &amp; Lists'!$C$4:$C$200,"Level 1 Schedule"))</f>
        <v/>
      </c>
      <c r="O53" s="6" t="str">
        <f>IF($AL53="","",$P53+SUMIFS('Logic &amp; Lists'!$E$4:$E$200,'Logic &amp; Lists'!$A$4:$A$200,$AK53,'Logic &amp; Lists'!$C$4:$C$200,"Input Frozen"))</f>
        <v/>
      </c>
      <c r="P53" s="6" t="str">
        <f>IF($AL53="","",$Q53+SUMIFS('Logic &amp; Lists'!$E$4:$E$200,'Logic &amp; Lists'!$A$4:$A$200,$AK53,'Logic &amp; Lists'!$C$4:$C$200,"Drawing Approval"))</f>
        <v/>
      </c>
      <c r="Q53" s="6" t="str">
        <f>IF($AL53="","",$S53+SUMIFS('Logic &amp; Lists'!$E$4:$E$200,'Logic &amp; Lists'!$A$4:$A$200,$AK53,'Logic &amp; Lists'!$C$4:$C$200,"BOM Pass to PR"))</f>
        <v/>
      </c>
      <c r="R53" s="6" t="str">
        <f>IF($AL53="","",$S53+SUMIFS('Logic &amp; Lists'!$E$4:$E$200,'Logic &amp; Lists'!$A$4:$A$200,$AK53,'Logic &amp; Lists'!$C$4:$C$200,"PR Schedule"))</f>
        <v/>
      </c>
      <c r="S53" s="6" t="str">
        <f>IF($AL53="","",$T53+SUMIFS('Logic &amp; Lists'!$E$4:$E$200,'Logic &amp; Lists'!$A$4:$A$200,$AK53,'Logic &amp; Lists'!$C$4:$C$200,"Components PO Plan"))</f>
        <v/>
      </c>
      <c r="T53" s="6" t="str">
        <f>IF($AL53="","",$U53+SUMIFS('Logic &amp; Lists'!$E$4:$E$200,'Logic &amp; Lists'!$A$4:$A$200,$AK53,'Logic &amp; Lists'!$C$4:$C$200,"Production Start"))</f>
        <v/>
      </c>
      <c r="U53" s="6" t="str">
        <f>IF($AL53="","",$W53+SUMIFS('Logic &amp; Lists'!$E$4:$E$200,'Logic &amp; Lists'!$A$4:$A$200,$AK53,'Logic &amp; Lists'!$C$4:$C$200,"Production Complete"))</f>
        <v/>
      </c>
      <c r="V53" s="6" t="str">
        <f>IF($AL53="","",$Y53+SUMIFS('Logic &amp; Lists'!$E$4:$E$200,'Logic &amp; Lists'!$A$4:$A$200,$AK53,'Logic &amp; Lists'!$C$4:$C$200,"NOI Date"))</f>
        <v/>
      </c>
      <c r="W53" s="6" t="str">
        <f>IF($AL53="","",$X53+SUMIFS('Logic &amp; Lists'!$E$4:$E$200,'Logic &amp; Lists'!$A$4:$A$200,$AK53,'Logic &amp; Lists'!$C$4:$C$200,"Internal Test Start"))</f>
        <v/>
      </c>
      <c r="X53" s="6" t="str">
        <f>IF($AL53="","",$Y53+SUMIFS('Logic &amp; Lists'!$E$4:$E$200,'Logic &amp; Lists'!$A$4:$A$200,$AK53,'Logic &amp; Lists'!$C$4:$C$200,"Internal Test Complete"))</f>
        <v/>
      </c>
      <c r="Y53" s="6" t="str">
        <f>IF($AL53="","",$AA53+SUMIFS('Logic &amp; Lists'!$E$4:$E$200,'Logic &amp; Lists'!$A$4:$A$200,$AK53,'Logic &amp; Lists'!$C$4:$C$200,"FAT Start"))</f>
        <v/>
      </c>
      <c r="Z53" s="6" t="str">
        <f>IF($AL53="","",$Y53+SUMIFS('Logic &amp; Lists'!$E$4:$E$200,'Logic &amp; Lists'!$A$4:$A$200,$AK53,'Logic &amp; Lists'!$C$4:$C$200,"FAT Complete"))</f>
        <v/>
      </c>
      <c r="AA53" s="6" t="str">
        <f>IF($AL53="","",$F53+SUMIFS('Logic &amp; Lists'!$E$4:$E$200,'Logic &amp; Lists'!$A$4:$A$200,$AK53,'Logic &amp; Lists'!$C$4:$C$200,"Delivery"))</f>
        <v/>
      </c>
      <c r="AB53" s="8"/>
      <c r="AC53" s="8"/>
      <c r="AD53" s="8"/>
      <c r="AE53" s="8"/>
      <c r="AF53" s="16"/>
      <c r="AG53" s="8"/>
      <c r="AH53" s="5" t="str">
        <f t="shared" si="2"/>
        <v/>
      </c>
      <c r="AI53" s="18" t="str">
        <f t="shared" ca="1" si="3"/>
        <v/>
      </c>
      <c r="AJ53" s="7"/>
      <c r="AK53" s="5" t="str">
        <f>IF($AL53="","",IF(COUNTIF('Logic &amp; Lists'!$A$4:$A$200,$C53)&gt;0,$C53,"Default"))</f>
        <v/>
      </c>
      <c r="AL53" t="str">
        <f>IF($A53&lt;&gt;"",$A53,IF($B53&lt;&gt;"",IFERROR(INDEX(Product_Registry!$A$2:$A$101,MATCH($B53,Product_Registry!$B$2:$B$101,0)),IFERROR(INDEX(Product_Registry!$A$2:$A$101,MATCH("*"&amp;$B53&amp;"*",Product_Registry!$B$2:$B$101,0)),"")),""))</f>
        <v/>
      </c>
      <c r="AM53" t="str">
        <f>IF($AL53="","",IFERROR(INDEX(Product_Registry!$B$2:$B$101,MATCH($AL53,Product_Registry!$A$2:$A$101,0)),""))</f>
        <v/>
      </c>
    </row>
    <row r="54" spans="1:39" x14ac:dyDescent="0.2">
      <c r="A54" s="27"/>
      <c r="B54" s="28"/>
      <c r="C54" s="20" t="str">
        <f>IF($AL54="","",IFERROR(INDEX(Product_Registry!$C$2:$C$101,MATCH($AL54,Product_Registry!$A$2:$A$101,0)),""))</f>
        <v/>
      </c>
      <c r="D54" s="21" t="str">
        <f>IF($AL54="","",IFERROR(INDEX(Product_Registry!$D$2:$D$101,MATCH($AL54,Product_Registry!$A$2:$A$101,0)),""))</f>
        <v/>
      </c>
      <c r="E54" s="17" t="str">
        <f>IF($AL54="","",IFERROR(INDEX(Product_Registry!$E$2:$E$101,MATCH($AL54,Product_Registry!$A$2:$A$101,0)),""))</f>
        <v/>
      </c>
      <c r="F54" s="17" t="str">
        <f>IF($AL54="","",IFERROR(INDEX(Product_Registry!$F$2:$F$101,MATCH($AL54,Product_Registry!$A$2:$A$101,0)),""))</f>
        <v/>
      </c>
      <c r="G54" s="21" t="str">
        <f>IF($AL54="","",IFERROR(INDEX(Product_Registry!$G$2:$G$101,MATCH($AL54,Product_Registry!$A$2:$A$101,0)),""))</f>
        <v/>
      </c>
      <c r="H54" s="21" t="str">
        <f>IF($AL54="","",IFERROR(INDEX(Product_Registry!$H$2:$H$101,MATCH($AL54,Product_Registry!$A$2:$A$101,0)),""))</f>
        <v/>
      </c>
      <c r="I54" s="21" t="str">
        <f>IF($AL54="","",IFERROR(INDEX(Product_Registry!$I$2:$I$101,MATCH($AL54,Product_Registry!$A$2:$A$101,0)),""))</f>
        <v/>
      </c>
      <c r="J54" s="21" t="str">
        <f>IF($AL54="","",IFERROR(INDEX(Product_Registry!$J$2:$J$101,MATCH($AL54,Product_Registry!$A$2:$A$101,0)),""))</f>
        <v/>
      </c>
      <c r="K54" s="21" t="str">
        <f>IF($AL54="","",IFERROR(INDEX(Product_Registry!$K$2:$K$101,MATCH($AL54,Product_Registry!$A$2:$A$101,0)),""))</f>
        <v/>
      </c>
      <c r="L54" s="21" t="str">
        <f>IF($AL54="","",IFERROR(INDEX(Product_Registry!$L$2:$L$101,MATCH($AL54,Product_Registry!$A$2:$A$101,0)),""))</f>
        <v/>
      </c>
      <c r="M54" s="21" t="str">
        <f>IF($AL54="","",IFERROR(INDEX(Product_Registry!$M$2:$M$101,MATCH($AL54,Product_Registry!$A$2:$A$101,0)),""))</f>
        <v/>
      </c>
      <c r="N54" s="6" t="str">
        <f>IF($AL54="","",$E54+SUMIFS('Logic &amp; Lists'!$E$4:$E$200,'Logic &amp; Lists'!$A$4:$A$200,$AK54,'Logic &amp; Lists'!$C$4:$C$200,"Level 1 Schedule"))</f>
        <v/>
      </c>
      <c r="O54" s="6" t="str">
        <f>IF($AL54="","",$P54+SUMIFS('Logic &amp; Lists'!$E$4:$E$200,'Logic &amp; Lists'!$A$4:$A$200,$AK54,'Logic &amp; Lists'!$C$4:$C$200,"Input Frozen"))</f>
        <v/>
      </c>
      <c r="P54" s="6" t="str">
        <f>IF($AL54="","",$Q54+SUMIFS('Logic &amp; Lists'!$E$4:$E$200,'Logic &amp; Lists'!$A$4:$A$200,$AK54,'Logic &amp; Lists'!$C$4:$C$200,"Drawing Approval"))</f>
        <v/>
      </c>
      <c r="Q54" s="6" t="str">
        <f>IF($AL54="","",$S54+SUMIFS('Logic &amp; Lists'!$E$4:$E$200,'Logic &amp; Lists'!$A$4:$A$200,$AK54,'Logic &amp; Lists'!$C$4:$C$200,"BOM Pass to PR"))</f>
        <v/>
      </c>
      <c r="R54" s="6" t="str">
        <f>IF($AL54="","",$S54+SUMIFS('Logic &amp; Lists'!$E$4:$E$200,'Logic &amp; Lists'!$A$4:$A$200,$AK54,'Logic &amp; Lists'!$C$4:$C$200,"PR Schedule"))</f>
        <v/>
      </c>
      <c r="S54" s="6" t="str">
        <f>IF($AL54="","",$T54+SUMIFS('Logic &amp; Lists'!$E$4:$E$200,'Logic &amp; Lists'!$A$4:$A$200,$AK54,'Logic &amp; Lists'!$C$4:$C$200,"Components PO Plan"))</f>
        <v/>
      </c>
      <c r="T54" s="6" t="str">
        <f>IF($AL54="","",$U54+SUMIFS('Logic &amp; Lists'!$E$4:$E$200,'Logic &amp; Lists'!$A$4:$A$200,$AK54,'Logic &amp; Lists'!$C$4:$C$200,"Production Start"))</f>
        <v/>
      </c>
      <c r="U54" s="6" t="str">
        <f>IF($AL54="","",$W54+SUMIFS('Logic &amp; Lists'!$E$4:$E$200,'Logic &amp; Lists'!$A$4:$A$200,$AK54,'Logic &amp; Lists'!$C$4:$C$200,"Production Complete"))</f>
        <v/>
      </c>
      <c r="V54" s="6" t="str">
        <f>IF($AL54="","",$Y54+SUMIFS('Logic &amp; Lists'!$E$4:$E$200,'Logic &amp; Lists'!$A$4:$A$200,$AK54,'Logic &amp; Lists'!$C$4:$C$200,"NOI Date"))</f>
        <v/>
      </c>
      <c r="W54" s="6" t="str">
        <f>IF($AL54="","",$X54+SUMIFS('Logic &amp; Lists'!$E$4:$E$200,'Logic &amp; Lists'!$A$4:$A$200,$AK54,'Logic &amp; Lists'!$C$4:$C$200,"Internal Test Start"))</f>
        <v/>
      </c>
      <c r="X54" s="6" t="str">
        <f>IF($AL54="","",$Y54+SUMIFS('Logic &amp; Lists'!$E$4:$E$200,'Logic &amp; Lists'!$A$4:$A$200,$AK54,'Logic &amp; Lists'!$C$4:$C$200,"Internal Test Complete"))</f>
        <v/>
      </c>
      <c r="Y54" s="6" t="str">
        <f>IF($AL54="","",$AA54+SUMIFS('Logic &amp; Lists'!$E$4:$E$200,'Logic &amp; Lists'!$A$4:$A$200,$AK54,'Logic &amp; Lists'!$C$4:$C$200,"FAT Start"))</f>
        <v/>
      </c>
      <c r="Z54" s="6" t="str">
        <f>IF($AL54="","",$Y54+SUMIFS('Logic &amp; Lists'!$E$4:$E$200,'Logic &amp; Lists'!$A$4:$A$200,$AK54,'Logic &amp; Lists'!$C$4:$C$200,"FAT Complete"))</f>
        <v/>
      </c>
      <c r="AA54" s="6" t="str">
        <f>IF($AL54="","",$F54+SUMIFS('Logic &amp; Lists'!$E$4:$E$200,'Logic &amp; Lists'!$A$4:$A$200,$AK54,'Logic &amp; Lists'!$C$4:$C$200,"Delivery"))</f>
        <v/>
      </c>
      <c r="AB54" s="8"/>
      <c r="AC54" s="8"/>
      <c r="AD54" s="8"/>
      <c r="AE54" s="8"/>
      <c r="AF54" s="16"/>
      <c r="AG54" s="8"/>
      <c r="AH54" s="5" t="str">
        <f t="shared" si="2"/>
        <v/>
      </c>
      <c r="AI54" s="18" t="str">
        <f t="shared" ca="1" si="3"/>
        <v/>
      </c>
      <c r="AJ54" s="7"/>
      <c r="AK54" s="5" t="str">
        <f>IF($AL54="","",IF(COUNTIF('Logic &amp; Lists'!$A$4:$A$200,$C54)&gt;0,$C54,"Default"))</f>
        <v/>
      </c>
      <c r="AL54" t="str">
        <f>IF($A54&lt;&gt;"",$A54,IF($B54&lt;&gt;"",IFERROR(INDEX(Product_Registry!$A$2:$A$101,MATCH($B54,Product_Registry!$B$2:$B$101,0)),IFERROR(INDEX(Product_Registry!$A$2:$A$101,MATCH("*"&amp;$B54&amp;"*",Product_Registry!$B$2:$B$101,0)),"")),""))</f>
        <v/>
      </c>
      <c r="AM54" t="str">
        <f>IF($AL54="","",IFERROR(INDEX(Product_Registry!$B$2:$B$101,MATCH($AL54,Product_Registry!$A$2:$A$101,0)),""))</f>
        <v/>
      </c>
    </row>
    <row r="55" spans="1:39" x14ac:dyDescent="0.2">
      <c r="A55" s="27"/>
      <c r="B55" s="28"/>
      <c r="C55" s="20" t="str">
        <f>IF($AL55="","",IFERROR(INDEX(Product_Registry!$C$2:$C$101,MATCH($AL55,Product_Registry!$A$2:$A$101,0)),""))</f>
        <v/>
      </c>
      <c r="D55" s="21" t="str">
        <f>IF($AL55="","",IFERROR(INDEX(Product_Registry!$D$2:$D$101,MATCH($AL55,Product_Registry!$A$2:$A$101,0)),""))</f>
        <v/>
      </c>
      <c r="E55" s="17" t="str">
        <f>IF($AL55="","",IFERROR(INDEX(Product_Registry!$E$2:$E$101,MATCH($AL55,Product_Registry!$A$2:$A$101,0)),""))</f>
        <v/>
      </c>
      <c r="F55" s="17" t="str">
        <f>IF($AL55="","",IFERROR(INDEX(Product_Registry!$F$2:$F$101,MATCH($AL55,Product_Registry!$A$2:$A$101,0)),""))</f>
        <v/>
      </c>
      <c r="G55" s="21" t="str">
        <f>IF($AL55="","",IFERROR(INDEX(Product_Registry!$G$2:$G$101,MATCH($AL55,Product_Registry!$A$2:$A$101,0)),""))</f>
        <v/>
      </c>
      <c r="H55" s="21" t="str">
        <f>IF($AL55="","",IFERROR(INDEX(Product_Registry!$H$2:$H$101,MATCH($AL55,Product_Registry!$A$2:$A$101,0)),""))</f>
        <v/>
      </c>
      <c r="I55" s="21" t="str">
        <f>IF($AL55="","",IFERROR(INDEX(Product_Registry!$I$2:$I$101,MATCH($AL55,Product_Registry!$A$2:$A$101,0)),""))</f>
        <v/>
      </c>
      <c r="J55" s="21" t="str">
        <f>IF($AL55="","",IFERROR(INDEX(Product_Registry!$J$2:$J$101,MATCH($AL55,Product_Registry!$A$2:$A$101,0)),""))</f>
        <v/>
      </c>
      <c r="K55" s="21" t="str">
        <f>IF($AL55="","",IFERROR(INDEX(Product_Registry!$K$2:$K$101,MATCH($AL55,Product_Registry!$A$2:$A$101,0)),""))</f>
        <v/>
      </c>
      <c r="L55" s="21" t="str">
        <f>IF($AL55="","",IFERROR(INDEX(Product_Registry!$L$2:$L$101,MATCH($AL55,Product_Registry!$A$2:$A$101,0)),""))</f>
        <v/>
      </c>
      <c r="M55" s="21" t="str">
        <f>IF($AL55="","",IFERROR(INDEX(Product_Registry!$M$2:$M$101,MATCH($AL55,Product_Registry!$A$2:$A$101,0)),""))</f>
        <v/>
      </c>
      <c r="N55" s="6" t="str">
        <f>IF($AL55="","",$E55+SUMIFS('Logic &amp; Lists'!$E$4:$E$200,'Logic &amp; Lists'!$A$4:$A$200,$AK55,'Logic &amp; Lists'!$C$4:$C$200,"Level 1 Schedule"))</f>
        <v/>
      </c>
      <c r="O55" s="6" t="str">
        <f>IF($AL55="","",$P55+SUMIFS('Logic &amp; Lists'!$E$4:$E$200,'Logic &amp; Lists'!$A$4:$A$200,$AK55,'Logic &amp; Lists'!$C$4:$C$200,"Input Frozen"))</f>
        <v/>
      </c>
      <c r="P55" s="6" t="str">
        <f>IF($AL55="","",$Q55+SUMIFS('Logic &amp; Lists'!$E$4:$E$200,'Logic &amp; Lists'!$A$4:$A$200,$AK55,'Logic &amp; Lists'!$C$4:$C$200,"Drawing Approval"))</f>
        <v/>
      </c>
      <c r="Q55" s="6" t="str">
        <f>IF($AL55="","",$S55+SUMIFS('Logic &amp; Lists'!$E$4:$E$200,'Logic &amp; Lists'!$A$4:$A$200,$AK55,'Logic &amp; Lists'!$C$4:$C$200,"BOM Pass to PR"))</f>
        <v/>
      </c>
      <c r="R55" s="6" t="str">
        <f>IF($AL55="","",$S55+SUMIFS('Logic &amp; Lists'!$E$4:$E$200,'Logic &amp; Lists'!$A$4:$A$200,$AK55,'Logic &amp; Lists'!$C$4:$C$200,"PR Schedule"))</f>
        <v/>
      </c>
      <c r="S55" s="6" t="str">
        <f>IF($AL55="","",$T55+SUMIFS('Logic &amp; Lists'!$E$4:$E$200,'Logic &amp; Lists'!$A$4:$A$200,$AK55,'Logic &amp; Lists'!$C$4:$C$200,"Components PO Plan"))</f>
        <v/>
      </c>
      <c r="T55" s="6" t="str">
        <f>IF($AL55="","",$U55+SUMIFS('Logic &amp; Lists'!$E$4:$E$200,'Logic &amp; Lists'!$A$4:$A$200,$AK55,'Logic &amp; Lists'!$C$4:$C$200,"Production Start"))</f>
        <v/>
      </c>
      <c r="U55" s="6" t="str">
        <f>IF($AL55="","",$W55+SUMIFS('Logic &amp; Lists'!$E$4:$E$200,'Logic &amp; Lists'!$A$4:$A$200,$AK55,'Logic &amp; Lists'!$C$4:$C$200,"Production Complete"))</f>
        <v/>
      </c>
      <c r="V55" s="6" t="str">
        <f>IF($AL55="","",$Y55+SUMIFS('Logic &amp; Lists'!$E$4:$E$200,'Logic &amp; Lists'!$A$4:$A$200,$AK55,'Logic &amp; Lists'!$C$4:$C$200,"NOI Date"))</f>
        <v/>
      </c>
      <c r="W55" s="6" t="str">
        <f>IF($AL55="","",$X55+SUMIFS('Logic &amp; Lists'!$E$4:$E$200,'Logic &amp; Lists'!$A$4:$A$200,$AK55,'Logic &amp; Lists'!$C$4:$C$200,"Internal Test Start"))</f>
        <v/>
      </c>
      <c r="X55" s="6" t="str">
        <f>IF($AL55="","",$Y55+SUMIFS('Logic &amp; Lists'!$E$4:$E$200,'Logic &amp; Lists'!$A$4:$A$200,$AK55,'Logic &amp; Lists'!$C$4:$C$200,"Internal Test Complete"))</f>
        <v/>
      </c>
      <c r="Y55" s="6" t="str">
        <f>IF($AL55="","",$AA55+SUMIFS('Logic &amp; Lists'!$E$4:$E$200,'Logic &amp; Lists'!$A$4:$A$200,$AK55,'Logic &amp; Lists'!$C$4:$C$200,"FAT Start"))</f>
        <v/>
      </c>
      <c r="Z55" s="6" t="str">
        <f>IF($AL55="","",$Y55+SUMIFS('Logic &amp; Lists'!$E$4:$E$200,'Logic &amp; Lists'!$A$4:$A$200,$AK55,'Logic &amp; Lists'!$C$4:$C$200,"FAT Complete"))</f>
        <v/>
      </c>
      <c r="AA55" s="6" t="str">
        <f>IF($AL55="","",$F55+SUMIFS('Logic &amp; Lists'!$E$4:$E$200,'Logic &amp; Lists'!$A$4:$A$200,$AK55,'Logic &amp; Lists'!$C$4:$C$200,"Delivery"))</f>
        <v/>
      </c>
      <c r="AB55" s="8"/>
      <c r="AC55" s="8"/>
      <c r="AD55" s="8"/>
      <c r="AE55" s="8"/>
      <c r="AF55" s="16"/>
      <c r="AG55" s="8"/>
      <c r="AH55" s="5" t="str">
        <f t="shared" si="2"/>
        <v/>
      </c>
      <c r="AI55" s="18" t="str">
        <f t="shared" ca="1" si="3"/>
        <v/>
      </c>
      <c r="AJ55" s="7"/>
      <c r="AK55" s="5" t="str">
        <f>IF($AL55="","",IF(COUNTIF('Logic &amp; Lists'!$A$4:$A$200,$C55)&gt;0,$C55,"Default"))</f>
        <v/>
      </c>
      <c r="AL55" t="str">
        <f>IF($A55&lt;&gt;"",$A55,IF($B55&lt;&gt;"",IFERROR(INDEX(Product_Registry!$A$2:$A$101,MATCH($B55,Product_Registry!$B$2:$B$101,0)),IFERROR(INDEX(Product_Registry!$A$2:$A$101,MATCH("*"&amp;$B55&amp;"*",Product_Registry!$B$2:$B$101,0)),"")),""))</f>
        <v/>
      </c>
      <c r="AM55" t="str">
        <f>IF($AL55="","",IFERROR(INDEX(Product_Registry!$B$2:$B$101,MATCH($AL55,Product_Registry!$A$2:$A$101,0)),""))</f>
        <v/>
      </c>
    </row>
    <row r="56" spans="1:39" x14ac:dyDescent="0.2">
      <c r="A56" s="27"/>
      <c r="B56" s="28"/>
      <c r="C56" s="20" t="str">
        <f>IF($AL56="","",IFERROR(INDEX(Product_Registry!$C$2:$C$101,MATCH($AL56,Product_Registry!$A$2:$A$101,0)),""))</f>
        <v/>
      </c>
      <c r="D56" s="21" t="str">
        <f>IF($AL56="","",IFERROR(INDEX(Product_Registry!$D$2:$D$101,MATCH($AL56,Product_Registry!$A$2:$A$101,0)),""))</f>
        <v/>
      </c>
      <c r="E56" s="17" t="str">
        <f>IF($AL56="","",IFERROR(INDEX(Product_Registry!$E$2:$E$101,MATCH($AL56,Product_Registry!$A$2:$A$101,0)),""))</f>
        <v/>
      </c>
      <c r="F56" s="17" t="str">
        <f>IF($AL56="","",IFERROR(INDEX(Product_Registry!$F$2:$F$101,MATCH($AL56,Product_Registry!$A$2:$A$101,0)),""))</f>
        <v/>
      </c>
      <c r="G56" s="21" t="str">
        <f>IF($AL56="","",IFERROR(INDEX(Product_Registry!$G$2:$G$101,MATCH($AL56,Product_Registry!$A$2:$A$101,0)),""))</f>
        <v/>
      </c>
      <c r="H56" s="21" t="str">
        <f>IF($AL56="","",IFERROR(INDEX(Product_Registry!$H$2:$H$101,MATCH($AL56,Product_Registry!$A$2:$A$101,0)),""))</f>
        <v/>
      </c>
      <c r="I56" s="21" t="str">
        <f>IF($AL56="","",IFERROR(INDEX(Product_Registry!$I$2:$I$101,MATCH($AL56,Product_Registry!$A$2:$A$101,0)),""))</f>
        <v/>
      </c>
      <c r="J56" s="21" t="str">
        <f>IF($AL56="","",IFERROR(INDEX(Product_Registry!$J$2:$J$101,MATCH($AL56,Product_Registry!$A$2:$A$101,0)),""))</f>
        <v/>
      </c>
      <c r="K56" s="21" t="str">
        <f>IF($AL56="","",IFERROR(INDEX(Product_Registry!$K$2:$K$101,MATCH($AL56,Product_Registry!$A$2:$A$101,0)),""))</f>
        <v/>
      </c>
      <c r="L56" s="21" t="str">
        <f>IF($AL56="","",IFERROR(INDEX(Product_Registry!$L$2:$L$101,MATCH($AL56,Product_Registry!$A$2:$A$101,0)),""))</f>
        <v/>
      </c>
      <c r="M56" s="21" t="str">
        <f>IF($AL56="","",IFERROR(INDEX(Product_Registry!$M$2:$M$101,MATCH($AL56,Product_Registry!$A$2:$A$101,0)),""))</f>
        <v/>
      </c>
      <c r="N56" s="6" t="str">
        <f>IF($AL56="","",$E56+SUMIFS('Logic &amp; Lists'!$E$4:$E$200,'Logic &amp; Lists'!$A$4:$A$200,$AK56,'Logic &amp; Lists'!$C$4:$C$200,"Level 1 Schedule"))</f>
        <v/>
      </c>
      <c r="O56" s="6" t="str">
        <f>IF($AL56="","",$P56+SUMIFS('Logic &amp; Lists'!$E$4:$E$200,'Logic &amp; Lists'!$A$4:$A$200,$AK56,'Logic &amp; Lists'!$C$4:$C$200,"Input Frozen"))</f>
        <v/>
      </c>
      <c r="P56" s="6" t="str">
        <f>IF($AL56="","",$Q56+SUMIFS('Logic &amp; Lists'!$E$4:$E$200,'Logic &amp; Lists'!$A$4:$A$200,$AK56,'Logic &amp; Lists'!$C$4:$C$200,"Drawing Approval"))</f>
        <v/>
      </c>
      <c r="Q56" s="6" t="str">
        <f>IF($AL56="","",$S56+SUMIFS('Logic &amp; Lists'!$E$4:$E$200,'Logic &amp; Lists'!$A$4:$A$200,$AK56,'Logic &amp; Lists'!$C$4:$C$200,"BOM Pass to PR"))</f>
        <v/>
      </c>
      <c r="R56" s="6" t="str">
        <f>IF($AL56="","",$S56+SUMIFS('Logic &amp; Lists'!$E$4:$E$200,'Logic &amp; Lists'!$A$4:$A$200,$AK56,'Logic &amp; Lists'!$C$4:$C$200,"PR Schedule"))</f>
        <v/>
      </c>
      <c r="S56" s="6" t="str">
        <f>IF($AL56="","",$T56+SUMIFS('Logic &amp; Lists'!$E$4:$E$200,'Logic &amp; Lists'!$A$4:$A$200,$AK56,'Logic &amp; Lists'!$C$4:$C$200,"Components PO Plan"))</f>
        <v/>
      </c>
      <c r="T56" s="6" t="str">
        <f>IF($AL56="","",$U56+SUMIFS('Logic &amp; Lists'!$E$4:$E$200,'Logic &amp; Lists'!$A$4:$A$200,$AK56,'Logic &amp; Lists'!$C$4:$C$200,"Production Start"))</f>
        <v/>
      </c>
      <c r="U56" s="6" t="str">
        <f>IF($AL56="","",$W56+SUMIFS('Logic &amp; Lists'!$E$4:$E$200,'Logic &amp; Lists'!$A$4:$A$200,$AK56,'Logic &amp; Lists'!$C$4:$C$200,"Production Complete"))</f>
        <v/>
      </c>
      <c r="V56" s="6" t="str">
        <f>IF($AL56="","",$Y56+SUMIFS('Logic &amp; Lists'!$E$4:$E$200,'Logic &amp; Lists'!$A$4:$A$200,$AK56,'Logic &amp; Lists'!$C$4:$C$200,"NOI Date"))</f>
        <v/>
      </c>
      <c r="W56" s="6" t="str">
        <f>IF($AL56="","",$X56+SUMIFS('Logic &amp; Lists'!$E$4:$E$200,'Logic &amp; Lists'!$A$4:$A$200,$AK56,'Logic &amp; Lists'!$C$4:$C$200,"Internal Test Start"))</f>
        <v/>
      </c>
      <c r="X56" s="6" t="str">
        <f>IF($AL56="","",$Y56+SUMIFS('Logic &amp; Lists'!$E$4:$E$200,'Logic &amp; Lists'!$A$4:$A$200,$AK56,'Logic &amp; Lists'!$C$4:$C$200,"Internal Test Complete"))</f>
        <v/>
      </c>
      <c r="Y56" s="6" t="str">
        <f>IF($AL56="","",$AA56+SUMIFS('Logic &amp; Lists'!$E$4:$E$200,'Logic &amp; Lists'!$A$4:$A$200,$AK56,'Logic &amp; Lists'!$C$4:$C$200,"FAT Start"))</f>
        <v/>
      </c>
      <c r="Z56" s="6" t="str">
        <f>IF($AL56="","",$Y56+SUMIFS('Logic &amp; Lists'!$E$4:$E$200,'Logic &amp; Lists'!$A$4:$A$200,$AK56,'Logic &amp; Lists'!$C$4:$C$200,"FAT Complete"))</f>
        <v/>
      </c>
      <c r="AA56" s="6" t="str">
        <f>IF($AL56="","",$F56+SUMIFS('Logic &amp; Lists'!$E$4:$E$200,'Logic &amp; Lists'!$A$4:$A$200,$AK56,'Logic &amp; Lists'!$C$4:$C$200,"Delivery"))</f>
        <v/>
      </c>
      <c r="AB56" s="8"/>
      <c r="AC56" s="8"/>
      <c r="AD56" s="8"/>
      <c r="AE56" s="8"/>
      <c r="AF56" s="16"/>
      <c r="AG56" s="8"/>
      <c r="AH56" s="5" t="str">
        <f t="shared" si="2"/>
        <v/>
      </c>
      <c r="AI56" s="18" t="str">
        <f t="shared" ca="1" si="3"/>
        <v/>
      </c>
      <c r="AJ56" s="7"/>
      <c r="AK56" s="5" t="str">
        <f>IF($AL56="","",IF(COUNTIF('Logic &amp; Lists'!$A$4:$A$200,$C56)&gt;0,$C56,"Default"))</f>
        <v/>
      </c>
      <c r="AL56" t="str">
        <f>IF($A56&lt;&gt;"",$A56,IF($B56&lt;&gt;"",IFERROR(INDEX(Product_Registry!$A$2:$A$101,MATCH($B56,Product_Registry!$B$2:$B$101,0)),IFERROR(INDEX(Product_Registry!$A$2:$A$101,MATCH("*"&amp;$B56&amp;"*",Product_Registry!$B$2:$B$101,0)),"")),""))</f>
        <v/>
      </c>
      <c r="AM56" t="str">
        <f>IF($AL56="","",IFERROR(INDEX(Product_Registry!$B$2:$B$101,MATCH($AL56,Product_Registry!$A$2:$A$101,0)),""))</f>
        <v/>
      </c>
    </row>
    <row r="57" spans="1:39" x14ac:dyDescent="0.2">
      <c r="A57" s="27"/>
      <c r="B57" s="28"/>
      <c r="C57" s="20" t="str">
        <f>IF($AL57="","",IFERROR(INDEX(Product_Registry!$C$2:$C$101,MATCH($AL57,Product_Registry!$A$2:$A$101,0)),""))</f>
        <v/>
      </c>
      <c r="D57" s="21" t="str">
        <f>IF($AL57="","",IFERROR(INDEX(Product_Registry!$D$2:$D$101,MATCH($AL57,Product_Registry!$A$2:$A$101,0)),""))</f>
        <v/>
      </c>
      <c r="E57" s="17" t="str">
        <f>IF($AL57="","",IFERROR(INDEX(Product_Registry!$E$2:$E$101,MATCH($AL57,Product_Registry!$A$2:$A$101,0)),""))</f>
        <v/>
      </c>
      <c r="F57" s="17" t="str">
        <f>IF($AL57="","",IFERROR(INDEX(Product_Registry!$F$2:$F$101,MATCH($AL57,Product_Registry!$A$2:$A$101,0)),""))</f>
        <v/>
      </c>
      <c r="G57" s="21" t="str">
        <f>IF($AL57="","",IFERROR(INDEX(Product_Registry!$G$2:$G$101,MATCH($AL57,Product_Registry!$A$2:$A$101,0)),""))</f>
        <v/>
      </c>
      <c r="H57" s="21" t="str">
        <f>IF($AL57="","",IFERROR(INDEX(Product_Registry!$H$2:$H$101,MATCH($AL57,Product_Registry!$A$2:$A$101,0)),""))</f>
        <v/>
      </c>
      <c r="I57" s="21" t="str">
        <f>IF($AL57="","",IFERROR(INDEX(Product_Registry!$I$2:$I$101,MATCH($AL57,Product_Registry!$A$2:$A$101,0)),""))</f>
        <v/>
      </c>
      <c r="J57" s="21" t="str">
        <f>IF($AL57="","",IFERROR(INDEX(Product_Registry!$J$2:$J$101,MATCH($AL57,Product_Registry!$A$2:$A$101,0)),""))</f>
        <v/>
      </c>
      <c r="K57" s="21" t="str">
        <f>IF($AL57="","",IFERROR(INDEX(Product_Registry!$K$2:$K$101,MATCH($AL57,Product_Registry!$A$2:$A$101,0)),""))</f>
        <v/>
      </c>
      <c r="L57" s="21" t="str">
        <f>IF($AL57="","",IFERROR(INDEX(Product_Registry!$L$2:$L$101,MATCH($AL57,Product_Registry!$A$2:$A$101,0)),""))</f>
        <v/>
      </c>
      <c r="M57" s="21" t="str">
        <f>IF($AL57="","",IFERROR(INDEX(Product_Registry!$M$2:$M$101,MATCH($AL57,Product_Registry!$A$2:$A$101,0)),""))</f>
        <v/>
      </c>
      <c r="N57" s="6" t="str">
        <f>IF($AL57="","",$E57+SUMIFS('Logic &amp; Lists'!$E$4:$E$200,'Logic &amp; Lists'!$A$4:$A$200,$AK57,'Logic &amp; Lists'!$C$4:$C$200,"Level 1 Schedule"))</f>
        <v/>
      </c>
      <c r="O57" s="6" t="str">
        <f>IF($AL57="","",$P57+SUMIFS('Logic &amp; Lists'!$E$4:$E$200,'Logic &amp; Lists'!$A$4:$A$200,$AK57,'Logic &amp; Lists'!$C$4:$C$200,"Input Frozen"))</f>
        <v/>
      </c>
      <c r="P57" s="6" t="str">
        <f>IF($AL57="","",$Q57+SUMIFS('Logic &amp; Lists'!$E$4:$E$200,'Logic &amp; Lists'!$A$4:$A$200,$AK57,'Logic &amp; Lists'!$C$4:$C$200,"Drawing Approval"))</f>
        <v/>
      </c>
      <c r="Q57" s="6" t="str">
        <f>IF($AL57="","",$S57+SUMIFS('Logic &amp; Lists'!$E$4:$E$200,'Logic &amp; Lists'!$A$4:$A$200,$AK57,'Logic &amp; Lists'!$C$4:$C$200,"BOM Pass to PR"))</f>
        <v/>
      </c>
      <c r="R57" s="6" t="str">
        <f>IF($AL57="","",$S57+SUMIFS('Logic &amp; Lists'!$E$4:$E$200,'Logic &amp; Lists'!$A$4:$A$200,$AK57,'Logic &amp; Lists'!$C$4:$C$200,"PR Schedule"))</f>
        <v/>
      </c>
      <c r="S57" s="6" t="str">
        <f>IF($AL57="","",$T57+SUMIFS('Logic &amp; Lists'!$E$4:$E$200,'Logic &amp; Lists'!$A$4:$A$200,$AK57,'Logic &amp; Lists'!$C$4:$C$200,"Components PO Plan"))</f>
        <v/>
      </c>
      <c r="T57" s="6" t="str">
        <f>IF($AL57="","",$U57+SUMIFS('Logic &amp; Lists'!$E$4:$E$200,'Logic &amp; Lists'!$A$4:$A$200,$AK57,'Logic &amp; Lists'!$C$4:$C$200,"Production Start"))</f>
        <v/>
      </c>
      <c r="U57" s="6" t="str">
        <f>IF($AL57="","",$W57+SUMIFS('Logic &amp; Lists'!$E$4:$E$200,'Logic &amp; Lists'!$A$4:$A$200,$AK57,'Logic &amp; Lists'!$C$4:$C$200,"Production Complete"))</f>
        <v/>
      </c>
      <c r="V57" s="6" t="str">
        <f>IF($AL57="","",$Y57+SUMIFS('Logic &amp; Lists'!$E$4:$E$200,'Logic &amp; Lists'!$A$4:$A$200,$AK57,'Logic &amp; Lists'!$C$4:$C$200,"NOI Date"))</f>
        <v/>
      </c>
      <c r="W57" s="6" t="str">
        <f>IF($AL57="","",$X57+SUMIFS('Logic &amp; Lists'!$E$4:$E$200,'Logic &amp; Lists'!$A$4:$A$200,$AK57,'Logic &amp; Lists'!$C$4:$C$200,"Internal Test Start"))</f>
        <v/>
      </c>
      <c r="X57" s="6" t="str">
        <f>IF($AL57="","",$Y57+SUMIFS('Logic &amp; Lists'!$E$4:$E$200,'Logic &amp; Lists'!$A$4:$A$200,$AK57,'Logic &amp; Lists'!$C$4:$C$200,"Internal Test Complete"))</f>
        <v/>
      </c>
      <c r="Y57" s="6" t="str">
        <f>IF($AL57="","",$AA57+SUMIFS('Logic &amp; Lists'!$E$4:$E$200,'Logic &amp; Lists'!$A$4:$A$200,$AK57,'Logic &amp; Lists'!$C$4:$C$200,"FAT Start"))</f>
        <v/>
      </c>
      <c r="Z57" s="6" t="str">
        <f>IF($AL57="","",$Y57+SUMIFS('Logic &amp; Lists'!$E$4:$E$200,'Logic &amp; Lists'!$A$4:$A$200,$AK57,'Logic &amp; Lists'!$C$4:$C$200,"FAT Complete"))</f>
        <v/>
      </c>
      <c r="AA57" s="6" t="str">
        <f>IF($AL57="","",$F57+SUMIFS('Logic &amp; Lists'!$E$4:$E$200,'Logic &amp; Lists'!$A$4:$A$200,$AK57,'Logic &amp; Lists'!$C$4:$C$200,"Delivery"))</f>
        <v/>
      </c>
      <c r="AB57" s="8"/>
      <c r="AC57" s="8"/>
      <c r="AD57" s="8"/>
      <c r="AE57" s="8"/>
      <c r="AF57" s="16"/>
      <c r="AG57" s="8"/>
      <c r="AH57" s="5" t="str">
        <f t="shared" si="2"/>
        <v/>
      </c>
      <c r="AI57" s="18" t="str">
        <f t="shared" ca="1" si="3"/>
        <v/>
      </c>
      <c r="AJ57" s="7"/>
      <c r="AK57" s="5" t="str">
        <f>IF($AL57="","",IF(COUNTIF('Logic &amp; Lists'!$A$4:$A$200,$C57)&gt;0,$C57,"Default"))</f>
        <v/>
      </c>
      <c r="AL57" t="str">
        <f>IF($A57&lt;&gt;"",$A57,IF($B57&lt;&gt;"",IFERROR(INDEX(Product_Registry!$A$2:$A$101,MATCH($B57,Product_Registry!$B$2:$B$101,0)),IFERROR(INDEX(Product_Registry!$A$2:$A$101,MATCH("*"&amp;$B57&amp;"*",Product_Registry!$B$2:$B$101,0)),"")),""))</f>
        <v/>
      </c>
      <c r="AM57" t="str">
        <f>IF($AL57="","",IFERROR(INDEX(Product_Registry!$B$2:$B$101,MATCH($AL57,Product_Registry!$A$2:$A$101,0)),""))</f>
        <v/>
      </c>
    </row>
    <row r="58" spans="1:39" x14ac:dyDescent="0.2">
      <c r="A58" s="27"/>
      <c r="B58" s="28"/>
      <c r="C58" s="20" t="str">
        <f>IF($AL58="","",IFERROR(INDEX(Product_Registry!$C$2:$C$101,MATCH($AL58,Product_Registry!$A$2:$A$101,0)),""))</f>
        <v/>
      </c>
      <c r="D58" s="21" t="str">
        <f>IF($AL58="","",IFERROR(INDEX(Product_Registry!$D$2:$D$101,MATCH($AL58,Product_Registry!$A$2:$A$101,0)),""))</f>
        <v/>
      </c>
      <c r="E58" s="17" t="str">
        <f>IF($AL58="","",IFERROR(INDEX(Product_Registry!$E$2:$E$101,MATCH($AL58,Product_Registry!$A$2:$A$101,0)),""))</f>
        <v/>
      </c>
      <c r="F58" s="17" t="str">
        <f>IF($AL58="","",IFERROR(INDEX(Product_Registry!$F$2:$F$101,MATCH($AL58,Product_Registry!$A$2:$A$101,0)),""))</f>
        <v/>
      </c>
      <c r="G58" s="21" t="str">
        <f>IF($AL58="","",IFERROR(INDEX(Product_Registry!$G$2:$G$101,MATCH($AL58,Product_Registry!$A$2:$A$101,0)),""))</f>
        <v/>
      </c>
      <c r="H58" s="21" t="str">
        <f>IF($AL58="","",IFERROR(INDEX(Product_Registry!$H$2:$H$101,MATCH($AL58,Product_Registry!$A$2:$A$101,0)),""))</f>
        <v/>
      </c>
      <c r="I58" s="21" t="str">
        <f>IF($AL58="","",IFERROR(INDEX(Product_Registry!$I$2:$I$101,MATCH($AL58,Product_Registry!$A$2:$A$101,0)),""))</f>
        <v/>
      </c>
      <c r="J58" s="21" t="str">
        <f>IF($AL58="","",IFERROR(INDEX(Product_Registry!$J$2:$J$101,MATCH($AL58,Product_Registry!$A$2:$A$101,0)),""))</f>
        <v/>
      </c>
      <c r="K58" s="21" t="str">
        <f>IF($AL58="","",IFERROR(INDEX(Product_Registry!$K$2:$K$101,MATCH($AL58,Product_Registry!$A$2:$A$101,0)),""))</f>
        <v/>
      </c>
      <c r="L58" s="21" t="str">
        <f>IF($AL58="","",IFERROR(INDEX(Product_Registry!$L$2:$L$101,MATCH($AL58,Product_Registry!$A$2:$A$101,0)),""))</f>
        <v/>
      </c>
      <c r="M58" s="21" t="str">
        <f>IF($AL58="","",IFERROR(INDEX(Product_Registry!$M$2:$M$101,MATCH($AL58,Product_Registry!$A$2:$A$101,0)),""))</f>
        <v/>
      </c>
      <c r="N58" s="6" t="str">
        <f>IF($AL58="","",$E58+SUMIFS('Logic &amp; Lists'!$E$4:$E$200,'Logic &amp; Lists'!$A$4:$A$200,$AK58,'Logic &amp; Lists'!$C$4:$C$200,"Level 1 Schedule"))</f>
        <v/>
      </c>
      <c r="O58" s="6" t="str">
        <f>IF($AL58="","",$P58+SUMIFS('Logic &amp; Lists'!$E$4:$E$200,'Logic &amp; Lists'!$A$4:$A$200,$AK58,'Logic &amp; Lists'!$C$4:$C$200,"Input Frozen"))</f>
        <v/>
      </c>
      <c r="P58" s="6" t="str">
        <f>IF($AL58="","",$Q58+SUMIFS('Logic &amp; Lists'!$E$4:$E$200,'Logic &amp; Lists'!$A$4:$A$200,$AK58,'Logic &amp; Lists'!$C$4:$C$200,"Drawing Approval"))</f>
        <v/>
      </c>
      <c r="Q58" s="6" t="str">
        <f>IF($AL58="","",$S58+SUMIFS('Logic &amp; Lists'!$E$4:$E$200,'Logic &amp; Lists'!$A$4:$A$200,$AK58,'Logic &amp; Lists'!$C$4:$C$200,"BOM Pass to PR"))</f>
        <v/>
      </c>
      <c r="R58" s="6" t="str">
        <f>IF($AL58="","",$S58+SUMIFS('Logic &amp; Lists'!$E$4:$E$200,'Logic &amp; Lists'!$A$4:$A$200,$AK58,'Logic &amp; Lists'!$C$4:$C$200,"PR Schedule"))</f>
        <v/>
      </c>
      <c r="S58" s="6" t="str">
        <f>IF($AL58="","",$T58+SUMIFS('Logic &amp; Lists'!$E$4:$E$200,'Logic &amp; Lists'!$A$4:$A$200,$AK58,'Logic &amp; Lists'!$C$4:$C$200,"Components PO Plan"))</f>
        <v/>
      </c>
      <c r="T58" s="6" t="str">
        <f>IF($AL58="","",$U58+SUMIFS('Logic &amp; Lists'!$E$4:$E$200,'Logic &amp; Lists'!$A$4:$A$200,$AK58,'Logic &amp; Lists'!$C$4:$C$200,"Production Start"))</f>
        <v/>
      </c>
      <c r="U58" s="6" t="str">
        <f>IF($AL58="","",$W58+SUMIFS('Logic &amp; Lists'!$E$4:$E$200,'Logic &amp; Lists'!$A$4:$A$200,$AK58,'Logic &amp; Lists'!$C$4:$C$200,"Production Complete"))</f>
        <v/>
      </c>
      <c r="V58" s="6" t="str">
        <f>IF($AL58="","",$Y58+SUMIFS('Logic &amp; Lists'!$E$4:$E$200,'Logic &amp; Lists'!$A$4:$A$200,$AK58,'Logic &amp; Lists'!$C$4:$C$200,"NOI Date"))</f>
        <v/>
      </c>
      <c r="W58" s="6" t="str">
        <f>IF($AL58="","",$X58+SUMIFS('Logic &amp; Lists'!$E$4:$E$200,'Logic &amp; Lists'!$A$4:$A$200,$AK58,'Logic &amp; Lists'!$C$4:$C$200,"Internal Test Start"))</f>
        <v/>
      </c>
      <c r="X58" s="6" t="str">
        <f>IF($AL58="","",$Y58+SUMIFS('Logic &amp; Lists'!$E$4:$E$200,'Logic &amp; Lists'!$A$4:$A$200,$AK58,'Logic &amp; Lists'!$C$4:$C$200,"Internal Test Complete"))</f>
        <v/>
      </c>
      <c r="Y58" s="6" t="str">
        <f>IF($AL58="","",$AA58+SUMIFS('Logic &amp; Lists'!$E$4:$E$200,'Logic &amp; Lists'!$A$4:$A$200,$AK58,'Logic &amp; Lists'!$C$4:$C$200,"FAT Start"))</f>
        <v/>
      </c>
      <c r="Z58" s="6" t="str">
        <f>IF($AL58="","",$Y58+SUMIFS('Logic &amp; Lists'!$E$4:$E$200,'Logic &amp; Lists'!$A$4:$A$200,$AK58,'Logic &amp; Lists'!$C$4:$C$200,"FAT Complete"))</f>
        <v/>
      </c>
      <c r="AA58" s="6" t="str">
        <f>IF($AL58="","",$F58+SUMIFS('Logic &amp; Lists'!$E$4:$E$200,'Logic &amp; Lists'!$A$4:$A$200,$AK58,'Logic &amp; Lists'!$C$4:$C$200,"Delivery"))</f>
        <v/>
      </c>
      <c r="AB58" s="8"/>
      <c r="AC58" s="8"/>
      <c r="AD58" s="8"/>
      <c r="AE58" s="8"/>
      <c r="AF58" s="16"/>
      <c r="AG58" s="8"/>
      <c r="AH58" s="5" t="str">
        <f t="shared" si="2"/>
        <v/>
      </c>
      <c r="AI58" s="18" t="str">
        <f t="shared" ca="1" si="3"/>
        <v/>
      </c>
      <c r="AJ58" s="7"/>
      <c r="AK58" s="5" t="str">
        <f>IF($AL58="","",IF(COUNTIF('Logic &amp; Lists'!$A$4:$A$200,$C58)&gt;0,$C58,"Default"))</f>
        <v/>
      </c>
      <c r="AL58" t="str">
        <f>IF($A58&lt;&gt;"",$A58,IF($B58&lt;&gt;"",IFERROR(INDEX(Product_Registry!$A$2:$A$101,MATCH($B58,Product_Registry!$B$2:$B$101,0)),IFERROR(INDEX(Product_Registry!$A$2:$A$101,MATCH("*"&amp;$B58&amp;"*",Product_Registry!$B$2:$B$101,0)),"")),""))</f>
        <v/>
      </c>
      <c r="AM58" t="str">
        <f>IF($AL58="","",IFERROR(INDEX(Product_Registry!$B$2:$B$101,MATCH($AL58,Product_Registry!$A$2:$A$101,0)),""))</f>
        <v/>
      </c>
    </row>
    <row r="59" spans="1:39" x14ac:dyDescent="0.2">
      <c r="A59" s="27"/>
      <c r="B59" s="28"/>
      <c r="C59" s="20" t="str">
        <f>IF($AL59="","",IFERROR(INDEX(Product_Registry!$C$2:$C$101,MATCH($AL59,Product_Registry!$A$2:$A$101,0)),""))</f>
        <v/>
      </c>
      <c r="D59" s="21" t="str">
        <f>IF($AL59="","",IFERROR(INDEX(Product_Registry!$D$2:$D$101,MATCH($AL59,Product_Registry!$A$2:$A$101,0)),""))</f>
        <v/>
      </c>
      <c r="E59" s="17" t="str">
        <f>IF($AL59="","",IFERROR(INDEX(Product_Registry!$E$2:$E$101,MATCH($AL59,Product_Registry!$A$2:$A$101,0)),""))</f>
        <v/>
      </c>
      <c r="F59" s="17" t="str">
        <f>IF($AL59="","",IFERROR(INDEX(Product_Registry!$F$2:$F$101,MATCH($AL59,Product_Registry!$A$2:$A$101,0)),""))</f>
        <v/>
      </c>
      <c r="G59" s="21" t="str">
        <f>IF($AL59="","",IFERROR(INDEX(Product_Registry!$G$2:$G$101,MATCH($AL59,Product_Registry!$A$2:$A$101,0)),""))</f>
        <v/>
      </c>
      <c r="H59" s="21" t="str">
        <f>IF($AL59="","",IFERROR(INDEX(Product_Registry!$H$2:$H$101,MATCH($AL59,Product_Registry!$A$2:$A$101,0)),""))</f>
        <v/>
      </c>
      <c r="I59" s="21" t="str">
        <f>IF($AL59="","",IFERROR(INDEX(Product_Registry!$I$2:$I$101,MATCH($AL59,Product_Registry!$A$2:$A$101,0)),""))</f>
        <v/>
      </c>
      <c r="J59" s="21" t="str">
        <f>IF($AL59="","",IFERROR(INDEX(Product_Registry!$J$2:$J$101,MATCH($AL59,Product_Registry!$A$2:$A$101,0)),""))</f>
        <v/>
      </c>
      <c r="K59" s="21" t="str">
        <f>IF($AL59="","",IFERROR(INDEX(Product_Registry!$K$2:$K$101,MATCH($AL59,Product_Registry!$A$2:$A$101,0)),""))</f>
        <v/>
      </c>
      <c r="L59" s="21" t="str">
        <f>IF($AL59="","",IFERROR(INDEX(Product_Registry!$L$2:$L$101,MATCH($AL59,Product_Registry!$A$2:$A$101,0)),""))</f>
        <v/>
      </c>
      <c r="M59" s="21" t="str">
        <f>IF($AL59="","",IFERROR(INDEX(Product_Registry!$M$2:$M$101,MATCH($AL59,Product_Registry!$A$2:$A$101,0)),""))</f>
        <v/>
      </c>
      <c r="N59" s="6" t="str">
        <f>IF($AL59="","",$E59+SUMIFS('Logic &amp; Lists'!$E$4:$E$200,'Logic &amp; Lists'!$A$4:$A$200,$AK59,'Logic &amp; Lists'!$C$4:$C$200,"Level 1 Schedule"))</f>
        <v/>
      </c>
      <c r="O59" s="6" t="str">
        <f>IF($AL59="","",$P59+SUMIFS('Logic &amp; Lists'!$E$4:$E$200,'Logic &amp; Lists'!$A$4:$A$200,$AK59,'Logic &amp; Lists'!$C$4:$C$200,"Input Frozen"))</f>
        <v/>
      </c>
      <c r="P59" s="6" t="str">
        <f>IF($AL59="","",$Q59+SUMIFS('Logic &amp; Lists'!$E$4:$E$200,'Logic &amp; Lists'!$A$4:$A$200,$AK59,'Logic &amp; Lists'!$C$4:$C$200,"Drawing Approval"))</f>
        <v/>
      </c>
      <c r="Q59" s="6" t="str">
        <f>IF($AL59="","",$S59+SUMIFS('Logic &amp; Lists'!$E$4:$E$200,'Logic &amp; Lists'!$A$4:$A$200,$AK59,'Logic &amp; Lists'!$C$4:$C$200,"BOM Pass to PR"))</f>
        <v/>
      </c>
      <c r="R59" s="6" t="str">
        <f>IF($AL59="","",$S59+SUMIFS('Logic &amp; Lists'!$E$4:$E$200,'Logic &amp; Lists'!$A$4:$A$200,$AK59,'Logic &amp; Lists'!$C$4:$C$200,"PR Schedule"))</f>
        <v/>
      </c>
      <c r="S59" s="6" t="str">
        <f>IF($AL59="","",$T59+SUMIFS('Logic &amp; Lists'!$E$4:$E$200,'Logic &amp; Lists'!$A$4:$A$200,$AK59,'Logic &amp; Lists'!$C$4:$C$200,"Components PO Plan"))</f>
        <v/>
      </c>
      <c r="T59" s="6" t="str">
        <f>IF($AL59="","",$U59+SUMIFS('Logic &amp; Lists'!$E$4:$E$200,'Logic &amp; Lists'!$A$4:$A$200,$AK59,'Logic &amp; Lists'!$C$4:$C$200,"Production Start"))</f>
        <v/>
      </c>
      <c r="U59" s="6" t="str">
        <f>IF($AL59="","",$W59+SUMIFS('Logic &amp; Lists'!$E$4:$E$200,'Logic &amp; Lists'!$A$4:$A$200,$AK59,'Logic &amp; Lists'!$C$4:$C$200,"Production Complete"))</f>
        <v/>
      </c>
      <c r="V59" s="6" t="str">
        <f>IF($AL59="","",$Y59+SUMIFS('Logic &amp; Lists'!$E$4:$E$200,'Logic &amp; Lists'!$A$4:$A$200,$AK59,'Logic &amp; Lists'!$C$4:$C$200,"NOI Date"))</f>
        <v/>
      </c>
      <c r="W59" s="6" t="str">
        <f>IF($AL59="","",$X59+SUMIFS('Logic &amp; Lists'!$E$4:$E$200,'Logic &amp; Lists'!$A$4:$A$200,$AK59,'Logic &amp; Lists'!$C$4:$C$200,"Internal Test Start"))</f>
        <v/>
      </c>
      <c r="X59" s="6" t="str">
        <f>IF($AL59="","",$Y59+SUMIFS('Logic &amp; Lists'!$E$4:$E$200,'Logic &amp; Lists'!$A$4:$A$200,$AK59,'Logic &amp; Lists'!$C$4:$C$200,"Internal Test Complete"))</f>
        <v/>
      </c>
      <c r="Y59" s="6" t="str">
        <f>IF($AL59="","",$AA59+SUMIFS('Logic &amp; Lists'!$E$4:$E$200,'Logic &amp; Lists'!$A$4:$A$200,$AK59,'Logic &amp; Lists'!$C$4:$C$200,"FAT Start"))</f>
        <v/>
      </c>
      <c r="Z59" s="6" t="str">
        <f>IF($AL59="","",$Y59+SUMIFS('Logic &amp; Lists'!$E$4:$E$200,'Logic &amp; Lists'!$A$4:$A$200,$AK59,'Logic &amp; Lists'!$C$4:$C$200,"FAT Complete"))</f>
        <v/>
      </c>
      <c r="AA59" s="6" t="str">
        <f>IF($AL59="","",$F59+SUMIFS('Logic &amp; Lists'!$E$4:$E$200,'Logic &amp; Lists'!$A$4:$A$200,$AK59,'Logic &amp; Lists'!$C$4:$C$200,"Delivery"))</f>
        <v/>
      </c>
      <c r="AB59" s="8"/>
      <c r="AC59" s="8"/>
      <c r="AD59" s="8"/>
      <c r="AE59" s="8"/>
      <c r="AF59" s="16"/>
      <c r="AG59" s="8"/>
      <c r="AH59" s="5" t="str">
        <f t="shared" si="2"/>
        <v/>
      </c>
      <c r="AI59" s="18" t="str">
        <f t="shared" ca="1" si="3"/>
        <v/>
      </c>
      <c r="AJ59" s="7"/>
      <c r="AK59" s="5" t="str">
        <f>IF($AL59="","",IF(COUNTIF('Logic &amp; Lists'!$A$4:$A$200,$C59)&gt;0,$C59,"Default"))</f>
        <v/>
      </c>
      <c r="AL59" t="str">
        <f>IF($A59&lt;&gt;"",$A59,IF($B59&lt;&gt;"",IFERROR(INDEX(Product_Registry!$A$2:$A$101,MATCH($B59,Product_Registry!$B$2:$B$101,0)),IFERROR(INDEX(Product_Registry!$A$2:$A$101,MATCH("*"&amp;$B59&amp;"*",Product_Registry!$B$2:$B$101,0)),"")),""))</f>
        <v/>
      </c>
      <c r="AM59" t="str">
        <f>IF($AL59="","",IFERROR(INDEX(Product_Registry!$B$2:$B$101,MATCH($AL59,Product_Registry!$A$2:$A$101,0)),""))</f>
        <v/>
      </c>
    </row>
    <row r="60" spans="1:39" x14ac:dyDescent="0.2">
      <c r="A60" s="27"/>
      <c r="B60" s="28"/>
      <c r="C60" s="20" t="str">
        <f>IF($AL60="","",IFERROR(INDEX(Product_Registry!$C$2:$C$101,MATCH($AL60,Product_Registry!$A$2:$A$101,0)),""))</f>
        <v/>
      </c>
      <c r="D60" s="21" t="str">
        <f>IF($AL60="","",IFERROR(INDEX(Product_Registry!$D$2:$D$101,MATCH($AL60,Product_Registry!$A$2:$A$101,0)),""))</f>
        <v/>
      </c>
      <c r="E60" s="17" t="str">
        <f>IF($AL60="","",IFERROR(INDEX(Product_Registry!$E$2:$E$101,MATCH($AL60,Product_Registry!$A$2:$A$101,0)),""))</f>
        <v/>
      </c>
      <c r="F60" s="17" t="str">
        <f>IF($AL60="","",IFERROR(INDEX(Product_Registry!$F$2:$F$101,MATCH($AL60,Product_Registry!$A$2:$A$101,0)),""))</f>
        <v/>
      </c>
      <c r="G60" s="21" t="str">
        <f>IF($AL60="","",IFERROR(INDEX(Product_Registry!$G$2:$G$101,MATCH($AL60,Product_Registry!$A$2:$A$101,0)),""))</f>
        <v/>
      </c>
      <c r="H60" s="21" t="str">
        <f>IF($AL60="","",IFERROR(INDEX(Product_Registry!$H$2:$H$101,MATCH($AL60,Product_Registry!$A$2:$A$101,0)),""))</f>
        <v/>
      </c>
      <c r="I60" s="21" t="str">
        <f>IF($AL60="","",IFERROR(INDEX(Product_Registry!$I$2:$I$101,MATCH($AL60,Product_Registry!$A$2:$A$101,0)),""))</f>
        <v/>
      </c>
      <c r="J60" s="21" t="str">
        <f>IF($AL60="","",IFERROR(INDEX(Product_Registry!$J$2:$J$101,MATCH($AL60,Product_Registry!$A$2:$A$101,0)),""))</f>
        <v/>
      </c>
      <c r="K60" s="21" t="str">
        <f>IF($AL60="","",IFERROR(INDEX(Product_Registry!$K$2:$K$101,MATCH($AL60,Product_Registry!$A$2:$A$101,0)),""))</f>
        <v/>
      </c>
      <c r="L60" s="21" t="str">
        <f>IF($AL60="","",IFERROR(INDEX(Product_Registry!$L$2:$L$101,MATCH($AL60,Product_Registry!$A$2:$A$101,0)),""))</f>
        <v/>
      </c>
      <c r="M60" s="21" t="str">
        <f>IF($AL60="","",IFERROR(INDEX(Product_Registry!$M$2:$M$101,MATCH($AL60,Product_Registry!$A$2:$A$101,0)),""))</f>
        <v/>
      </c>
      <c r="N60" s="6" t="str">
        <f>IF($AL60="","",$E60+SUMIFS('Logic &amp; Lists'!$E$4:$E$200,'Logic &amp; Lists'!$A$4:$A$200,$AK60,'Logic &amp; Lists'!$C$4:$C$200,"Level 1 Schedule"))</f>
        <v/>
      </c>
      <c r="O60" s="6" t="str">
        <f>IF($AL60="","",$P60+SUMIFS('Logic &amp; Lists'!$E$4:$E$200,'Logic &amp; Lists'!$A$4:$A$200,$AK60,'Logic &amp; Lists'!$C$4:$C$200,"Input Frozen"))</f>
        <v/>
      </c>
      <c r="P60" s="6" t="str">
        <f>IF($AL60="","",$Q60+SUMIFS('Logic &amp; Lists'!$E$4:$E$200,'Logic &amp; Lists'!$A$4:$A$200,$AK60,'Logic &amp; Lists'!$C$4:$C$200,"Drawing Approval"))</f>
        <v/>
      </c>
      <c r="Q60" s="6" t="str">
        <f>IF($AL60="","",$S60+SUMIFS('Logic &amp; Lists'!$E$4:$E$200,'Logic &amp; Lists'!$A$4:$A$200,$AK60,'Logic &amp; Lists'!$C$4:$C$200,"BOM Pass to PR"))</f>
        <v/>
      </c>
      <c r="R60" s="6" t="str">
        <f>IF($AL60="","",$S60+SUMIFS('Logic &amp; Lists'!$E$4:$E$200,'Logic &amp; Lists'!$A$4:$A$200,$AK60,'Logic &amp; Lists'!$C$4:$C$200,"PR Schedule"))</f>
        <v/>
      </c>
      <c r="S60" s="6" t="str">
        <f>IF($AL60="","",$T60+SUMIFS('Logic &amp; Lists'!$E$4:$E$200,'Logic &amp; Lists'!$A$4:$A$200,$AK60,'Logic &amp; Lists'!$C$4:$C$200,"Components PO Plan"))</f>
        <v/>
      </c>
      <c r="T60" s="6" t="str">
        <f>IF($AL60="","",$U60+SUMIFS('Logic &amp; Lists'!$E$4:$E$200,'Logic &amp; Lists'!$A$4:$A$200,$AK60,'Logic &amp; Lists'!$C$4:$C$200,"Production Start"))</f>
        <v/>
      </c>
      <c r="U60" s="6" t="str">
        <f>IF($AL60="","",$W60+SUMIFS('Logic &amp; Lists'!$E$4:$E$200,'Logic &amp; Lists'!$A$4:$A$200,$AK60,'Logic &amp; Lists'!$C$4:$C$200,"Production Complete"))</f>
        <v/>
      </c>
      <c r="V60" s="6" t="str">
        <f>IF($AL60="","",$Y60+SUMIFS('Logic &amp; Lists'!$E$4:$E$200,'Logic &amp; Lists'!$A$4:$A$200,$AK60,'Logic &amp; Lists'!$C$4:$C$200,"NOI Date"))</f>
        <v/>
      </c>
      <c r="W60" s="6" t="str">
        <f>IF($AL60="","",$X60+SUMIFS('Logic &amp; Lists'!$E$4:$E$200,'Logic &amp; Lists'!$A$4:$A$200,$AK60,'Logic &amp; Lists'!$C$4:$C$200,"Internal Test Start"))</f>
        <v/>
      </c>
      <c r="X60" s="6" t="str">
        <f>IF($AL60="","",$Y60+SUMIFS('Logic &amp; Lists'!$E$4:$E$200,'Logic &amp; Lists'!$A$4:$A$200,$AK60,'Logic &amp; Lists'!$C$4:$C$200,"Internal Test Complete"))</f>
        <v/>
      </c>
      <c r="Y60" s="6" t="str">
        <f>IF($AL60="","",$AA60+SUMIFS('Logic &amp; Lists'!$E$4:$E$200,'Logic &amp; Lists'!$A$4:$A$200,$AK60,'Logic &amp; Lists'!$C$4:$C$200,"FAT Start"))</f>
        <v/>
      </c>
      <c r="Z60" s="6" t="str">
        <f>IF($AL60="","",$Y60+SUMIFS('Logic &amp; Lists'!$E$4:$E$200,'Logic &amp; Lists'!$A$4:$A$200,$AK60,'Logic &amp; Lists'!$C$4:$C$200,"FAT Complete"))</f>
        <v/>
      </c>
      <c r="AA60" s="6" t="str">
        <f>IF($AL60="","",$F60+SUMIFS('Logic &amp; Lists'!$E$4:$E$200,'Logic &amp; Lists'!$A$4:$A$200,$AK60,'Logic &amp; Lists'!$C$4:$C$200,"Delivery"))</f>
        <v/>
      </c>
      <c r="AB60" s="8"/>
      <c r="AC60" s="8"/>
      <c r="AD60" s="8"/>
      <c r="AE60" s="8"/>
      <c r="AF60" s="16"/>
      <c r="AG60" s="8"/>
      <c r="AH60" s="5" t="str">
        <f t="shared" si="2"/>
        <v/>
      </c>
      <c r="AI60" s="18" t="str">
        <f t="shared" ca="1" si="3"/>
        <v/>
      </c>
      <c r="AJ60" s="7"/>
      <c r="AK60" s="5" t="str">
        <f>IF($AL60="","",IF(COUNTIF('Logic &amp; Lists'!$A$4:$A$200,$C60)&gt;0,$C60,"Default"))</f>
        <v/>
      </c>
      <c r="AL60" t="str">
        <f>IF($A60&lt;&gt;"",$A60,IF($B60&lt;&gt;"",IFERROR(INDEX(Product_Registry!$A$2:$A$101,MATCH($B60,Product_Registry!$B$2:$B$101,0)),IFERROR(INDEX(Product_Registry!$A$2:$A$101,MATCH("*"&amp;$B60&amp;"*",Product_Registry!$B$2:$B$101,0)),"")),""))</f>
        <v/>
      </c>
      <c r="AM60" t="str">
        <f>IF($AL60="","",IFERROR(INDEX(Product_Registry!$B$2:$B$101,MATCH($AL60,Product_Registry!$A$2:$A$101,0)),""))</f>
        <v/>
      </c>
    </row>
    <row r="61" spans="1:39" x14ac:dyDescent="0.2">
      <c r="A61" s="27"/>
      <c r="B61" s="28"/>
      <c r="C61" s="20" t="str">
        <f>IF($AL61="","",IFERROR(INDEX(Product_Registry!$C$2:$C$101,MATCH($AL61,Product_Registry!$A$2:$A$101,0)),""))</f>
        <v/>
      </c>
      <c r="D61" s="21" t="str">
        <f>IF($AL61="","",IFERROR(INDEX(Product_Registry!$D$2:$D$101,MATCH($AL61,Product_Registry!$A$2:$A$101,0)),""))</f>
        <v/>
      </c>
      <c r="E61" s="17" t="str">
        <f>IF($AL61="","",IFERROR(INDEX(Product_Registry!$E$2:$E$101,MATCH($AL61,Product_Registry!$A$2:$A$101,0)),""))</f>
        <v/>
      </c>
      <c r="F61" s="17" t="str">
        <f>IF($AL61="","",IFERROR(INDEX(Product_Registry!$F$2:$F$101,MATCH($AL61,Product_Registry!$A$2:$A$101,0)),""))</f>
        <v/>
      </c>
      <c r="G61" s="21" t="str">
        <f>IF($AL61="","",IFERROR(INDEX(Product_Registry!$G$2:$G$101,MATCH($AL61,Product_Registry!$A$2:$A$101,0)),""))</f>
        <v/>
      </c>
      <c r="H61" s="21" t="str">
        <f>IF($AL61="","",IFERROR(INDEX(Product_Registry!$H$2:$H$101,MATCH($AL61,Product_Registry!$A$2:$A$101,0)),""))</f>
        <v/>
      </c>
      <c r="I61" s="21" t="str">
        <f>IF($AL61="","",IFERROR(INDEX(Product_Registry!$I$2:$I$101,MATCH($AL61,Product_Registry!$A$2:$A$101,0)),""))</f>
        <v/>
      </c>
      <c r="J61" s="21" t="str">
        <f>IF($AL61="","",IFERROR(INDEX(Product_Registry!$J$2:$J$101,MATCH($AL61,Product_Registry!$A$2:$A$101,0)),""))</f>
        <v/>
      </c>
      <c r="K61" s="21" t="str">
        <f>IF($AL61="","",IFERROR(INDEX(Product_Registry!$K$2:$K$101,MATCH($AL61,Product_Registry!$A$2:$A$101,0)),""))</f>
        <v/>
      </c>
      <c r="L61" s="21" t="str">
        <f>IF($AL61="","",IFERROR(INDEX(Product_Registry!$L$2:$L$101,MATCH($AL61,Product_Registry!$A$2:$A$101,0)),""))</f>
        <v/>
      </c>
      <c r="M61" s="21" t="str">
        <f>IF($AL61="","",IFERROR(INDEX(Product_Registry!$M$2:$M$101,MATCH($AL61,Product_Registry!$A$2:$A$101,0)),""))</f>
        <v/>
      </c>
      <c r="N61" s="6" t="str">
        <f>IF($AL61="","",$E61+SUMIFS('Logic &amp; Lists'!$E$4:$E$200,'Logic &amp; Lists'!$A$4:$A$200,$AK61,'Logic &amp; Lists'!$C$4:$C$200,"Level 1 Schedule"))</f>
        <v/>
      </c>
      <c r="O61" s="6" t="str">
        <f>IF($AL61="","",$P61+SUMIFS('Logic &amp; Lists'!$E$4:$E$200,'Logic &amp; Lists'!$A$4:$A$200,$AK61,'Logic &amp; Lists'!$C$4:$C$200,"Input Frozen"))</f>
        <v/>
      </c>
      <c r="P61" s="6" t="str">
        <f>IF($AL61="","",$Q61+SUMIFS('Logic &amp; Lists'!$E$4:$E$200,'Logic &amp; Lists'!$A$4:$A$200,$AK61,'Logic &amp; Lists'!$C$4:$C$200,"Drawing Approval"))</f>
        <v/>
      </c>
      <c r="Q61" s="6" t="str">
        <f>IF($AL61="","",$S61+SUMIFS('Logic &amp; Lists'!$E$4:$E$200,'Logic &amp; Lists'!$A$4:$A$200,$AK61,'Logic &amp; Lists'!$C$4:$C$200,"BOM Pass to PR"))</f>
        <v/>
      </c>
      <c r="R61" s="6" t="str">
        <f>IF($AL61="","",$S61+SUMIFS('Logic &amp; Lists'!$E$4:$E$200,'Logic &amp; Lists'!$A$4:$A$200,$AK61,'Logic &amp; Lists'!$C$4:$C$200,"PR Schedule"))</f>
        <v/>
      </c>
      <c r="S61" s="6" t="str">
        <f>IF($AL61="","",$T61+SUMIFS('Logic &amp; Lists'!$E$4:$E$200,'Logic &amp; Lists'!$A$4:$A$200,$AK61,'Logic &amp; Lists'!$C$4:$C$200,"Components PO Plan"))</f>
        <v/>
      </c>
      <c r="T61" s="6" t="str">
        <f>IF($AL61="","",$U61+SUMIFS('Logic &amp; Lists'!$E$4:$E$200,'Logic &amp; Lists'!$A$4:$A$200,$AK61,'Logic &amp; Lists'!$C$4:$C$200,"Production Start"))</f>
        <v/>
      </c>
      <c r="U61" s="6" t="str">
        <f>IF($AL61="","",$W61+SUMIFS('Logic &amp; Lists'!$E$4:$E$200,'Logic &amp; Lists'!$A$4:$A$200,$AK61,'Logic &amp; Lists'!$C$4:$C$200,"Production Complete"))</f>
        <v/>
      </c>
      <c r="V61" s="6" t="str">
        <f>IF($AL61="","",$Y61+SUMIFS('Logic &amp; Lists'!$E$4:$E$200,'Logic &amp; Lists'!$A$4:$A$200,$AK61,'Logic &amp; Lists'!$C$4:$C$200,"NOI Date"))</f>
        <v/>
      </c>
      <c r="W61" s="6" t="str">
        <f>IF($AL61="","",$X61+SUMIFS('Logic &amp; Lists'!$E$4:$E$200,'Logic &amp; Lists'!$A$4:$A$200,$AK61,'Logic &amp; Lists'!$C$4:$C$200,"Internal Test Start"))</f>
        <v/>
      </c>
      <c r="X61" s="6" t="str">
        <f>IF($AL61="","",$Y61+SUMIFS('Logic &amp; Lists'!$E$4:$E$200,'Logic &amp; Lists'!$A$4:$A$200,$AK61,'Logic &amp; Lists'!$C$4:$C$200,"Internal Test Complete"))</f>
        <v/>
      </c>
      <c r="Y61" s="6" t="str">
        <f>IF($AL61="","",$AA61+SUMIFS('Logic &amp; Lists'!$E$4:$E$200,'Logic &amp; Lists'!$A$4:$A$200,$AK61,'Logic &amp; Lists'!$C$4:$C$200,"FAT Start"))</f>
        <v/>
      </c>
      <c r="Z61" s="6" t="str">
        <f>IF($AL61="","",$Y61+SUMIFS('Logic &amp; Lists'!$E$4:$E$200,'Logic &amp; Lists'!$A$4:$A$200,$AK61,'Logic &amp; Lists'!$C$4:$C$200,"FAT Complete"))</f>
        <v/>
      </c>
      <c r="AA61" s="6" t="str">
        <f>IF($AL61="","",$F61+SUMIFS('Logic &amp; Lists'!$E$4:$E$200,'Logic &amp; Lists'!$A$4:$A$200,$AK61,'Logic &amp; Lists'!$C$4:$C$200,"Delivery"))</f>
        <v/>
      </c>
      <c r="AB61" s="8"/>
      <c r="AC61" s="8"/>
      <c r="AD61" s="8"/>
      <c r="AE61" s="8"/>
      <c r="AF61" s="16"/>
      <c r="AG61" s="8"/>
      <c r="AH61" s="5" t="str">
        <f t="shared" si="2"/>
        <v/>
      </c>
      <c r="AI61" s="18" t="str">
        <f t="shared" ca="1" si="3"/>
        <v/>
      </c>
      <c r="AJ61" s="7"/>
      <c r="AK61" s="5" t="str">
        <f>IF($AL61="","",IF(COUNTIF('Logic &amp; Lists'!$A$4:$A$200,$C61)&gt;0,$C61,"Default"))</f>
        <v/>
      </c>
      <c r="AL61" t="str">
        <f>IF($A61&lt;&gt;"",$A61,IF($B61&lt;&gt;"",IFERROR(INDEX(Product_Registry!$A$2:$A$101,MATCH($B61,Product_Registry!$B$2:$B$101,0)),IFERROR(INDEX(Product_Registry!$A$2:$A$101,MATCH("*"&amp;$B61&amp;"*",Product_Registry!$B$2:$B$101,0)),"")),""))</f>
        <v/>
      </c>
      <c r="AM61" t="str">
        <f>IF($AL61="","",IFERROR(INDEX(Product_Registry!$B$2:$B$101,MATCH($AL61,Product_Registry!$A$2:$A$101,0)),""))</f>
        <v/>
      </c>
    </row>
    <row r="62" spans="1:39" x14ac:dyDescent="0.2">
      <c r="A62" s="27"/>
      <c r="B62" s="28"/>
      <c r="C62" s="20" t="str">
        <f>IF($AL62="","",IFERROR(INDEX(Product_Registry!$C$2:$C$101,MATCH($AL62,Product_Registry!$A$2:$A$101,0)),""))</f>
        <v/>
      </c>
      <c r="D62" s="21" t="str">
        <f>IF($AL62="","",IFERROR(INDEX(Product_Registry!$D$2:$D$101,MATCH($AL62,Product_Registry!$A$2:$A$101,0)),""))</f>
        <v/>
      </c>
      <c r="E62" s="17" t="str">
        <f>IF($AL62="","",IFERROR(INDEX(Product_Registry!$E$2:$E$101,MATCH($AL62,Product_Registry!$A$2:$A$101,0)),""))</f>
        <v/>
      </c>
      <c r="F62" s="17" t="str">
        <f>IF($AL62="","",IFERROR(INDEX(Product_Registry!$F$2:$F$101,MATCH($AL62,Product_Registry!$A$2:$A$101,0)),""))</f>
        <v/>
      </c>
      <c r="G62" s="21" t="str">
        <f>IF($AL62="","",IFERROR(INDEX(Product_Registry!$G$2:$G$101,MATCH($AL62,Product_Registry!$A$2:$A$101,0)),""))</f>
        <v/>
      </c>
      <c r="H62" s="21" t="str">
        <f>IF($AL62="","",IFERROR(INDEX(Product_Registry!$H$2:$H$101,MATCH($AL62,Product_Registry!$A$2:$A$101,0)),""))</f>
        <v/>
      </c>
      <c r="I62" s="21" t="str">
        <f>IF($AL62="","",IFERROR(INDEX(Product_Registry!$I$2:$I$101,MATCH($AL62,Product_Registry!$A$2:$A$101,0)),""))</f>
        <v/>
      </c>
      <c r="J62" s="21" t="str">
        <f>IF($AL62="","",IFERROR(INDEX(Product_Registry!$J$2:$J$101,MATCH($AL62,Product_Registry!$A$2:$A$101,0)),""))</f>
        <v/>
      </c>
      <c r="K62" s="21" t="str">
        <f>IF($AL62="","",IFERROR(INDEX(Product_Registry!$K$2:$K$101,MATCH($AL62,Product_Registry!$A$2:$A$101,0)),""))</f>
        <v/>
      </c>
      <c r="L62" s="21" t="str">
        <f>IF($AL62="","",IFERROR(INDEX(Product_Registry!$L$2:$L$101,MATCH($AL62,Product_Registry!$A$2:$A$101,0)),""))</f>
        <v/>
      </c>
      <c r="M62" s="21" t="str">
        <f>IF($AL62="","",IFERROR(INDEX(Product_Registry!$M$2:$M$101,MATCH($AL62,Product_Registry!$A$2:$A$101,0)),""))</f>
        <v/>
      </c>
      <c r="N62" s="6" t="str">
        <f>IF($AL62="","",$E62+SUMIFS('Logic &amp; Lists'!$E$4:$E$200,'Logic &amp; Lists'!$A$4:$A$200,$AK62,'Logic &amp; Lists'!$C$4:$C$200,"Level 1 Schedule"))</f>
        <v/>
      </c>
      <c r="O62" s="6" t="str">
        <f>IF($AL62="","",$P62+SUMIFS('Logic &amp; Lists'!$E$4:$E$200,'Logic &amp; Lists'!$A$4:$A$200,$AK62,'Logic &amp; Lists'!$C$4:$C$200,"Input Frozen"))</f>
        <v/>
      </c>
      <c r="P62" s="6" t="str">
        <f>IF($AL62="","",$Q62+SUMIFS('Logic &amp; Lists'!$E$4:$E$200,'Logic &amp; Lists'!$A$4:$A$200,$AK62,'Logic &amp; Lists'!$C$4:$C$200,"Drawing Approval"))</f>
        <v/>
      </c>
      <c r="Q62" s="6" t="str">
        <f>IF($AL62="","",$S62+SUMIFS('Logic &amp; Lists'!$E$4:$E$200,'Logic &amp; Lists'!$A$4:$A$200,$AK62,'Logic &amp; Lists'!$C$4:$C$200,"BOM Pass to PR"))</f>
        <v/>
      </c>
      <c r="R62" s="6" t="str">
        <f>IF($AL62="","",$S62+SUMIFS('Logic &amp; Lists'!$E$4:$E$200,'Logic &amp; Lists'!$A$4:$A$200,$AK62,'Logic &amp; Lists'!$C$4:$C$200,"PR Schedule"))</f>
        <v/>
      </c>
      <c r="S62" s="6" t="str">
        <f>IF($AL62="","",$T62+SUMIFS('Logic &amp; Lists'!$E$4:$E$200,'Logic &amp; Lists'!$A$4:$A$200,$AK62,'Logic &amp; Lists'!$C$4:$C$200,"Components PO Plan"))</f>
        <v/>
      </c>
      <c r="T62" s="6" t="str">
        <f>IF($AL62="","",$U62+SUMIFS('Logic &amp; Lists'!$E$4:$E$200,'Logic &amp; Lists'!$A$4:$A$200,$AK62,'Logic &amp; Lists'!$C$4:$C$200,"Production Start"))</f>
        <v/>
      </c>
      <c r="U62" s="6" t="str">
        <f>IF($AL62="","",$W62+SUMIFS('Logic &amp; Lists'!$E$4:$E$200,'Logic &amp; Lists'!$A$4:$A$200,$AK62,'Logic &amp; Lists'!$C$4:$C$200,"Production Complete"))</f>
        <v/>
      </c>
      <c r="V62" s="6" t="str">
        <f>IF($AL62="","",$Y62+SUMIFS('Logic &amp; Lists'!$E$4:$E$200,'Logic &amp; Lists'!$A$4:$A$200,$AK62,'Logic &amp; Lists'!$C$4:$C$200,"NOI Date"))</f>
        <v/>
      </c>
      <c r="W62" s="6" t="str">
        <f>IF($AL62="","",$X62+SUMIFS('Logic &amp; Lists'!$E$4:$E$200,'Logic &amp; Lists'!$A$4:$A$200,$AK62,'Logic &amp; Lists'!$C$4:$C$200,"Internal Test Start"))</f>
        <v/>
      </c>
      <c r="X62" s="6" t="str">
        <f>IF($AL62="","",$Y62+SUMIFS('Logic &amp; Lists'!$E$4:$E$200,'Logic &amp; Lists'!$A$4:$A$200,$AK62,'Logic &amp; Lists'!$C$4:$C$200,"Internal Test Complete"))</f>
        <v/>
      </c>
      <c r="Y62" s="6" t="str">
        <f>IF($AL62="","",$AA62+SUMIFS('Logic &amp; Lists'!$E$4:$E$200,'Logic &amp; Lists'!$A$4:$A$200,$AK62,'Logic &amp; Lists'!$C$4:$C$200,"FAT Start"))</f>
        <v/>
      </c>
      <c r="Z62" s="6" t="str">
        <f>IF($AL62="","",$Y62+SUMIFS('Logic &amp; Lists'!$E$4:$E$200,'Logic &amp; Lists'!$A$4:$A$200,$AK62,'Logic &amp; Lists'!$C$4:$C$200,"FAT Complete"))</f>
        <v/>
      </c>
      <c r="AA62" s="6" t="str">
        <f>IF($AL62="","",$F62+SUMIFS('Logic &amp; Lists'!$E$4:$E$200,'Logic &amp; Lists'!$A$4:$A$200,$AK62,'Logic &amp; Lists'!$C$4:$C$200,"Delivery"))</f>
        <v/>
      </c>
      <c r="AB62" s="8"/>
      <c r="AC62" s="8"/>
      <c r="AD62" s="8"/>
      <c r="AE62" s="8"/>
      <c r="AF62" s="16"/>
      <c r="AG62" s="8"/>
      <c r="AH62" s="5" t="str">
        <f t="shared" si="2"/>
        <v/>
      </c>
      <c r="AI62" s="18" t="str">
        <f t="shared" ca="1" si="3"/>
        <v/>
      </c>
      <c r="AJ62" s="7"/>
      <c r="AK62" s="5" t="str">
        <f>IF($AL62="","",IF(COUNTIF('Logic &amp; Lists'!$A$4:$A$200,$C62)&gt;0,$C62,"Default"))</f>
        <v/>
      </c>
      <c r="AL62" t="str">
        <f>IF($A62&lt;&gt;"",$A62,IF($B62&lt;&gt;"",IFERROR(INDEX(Product_Registry!$A$2:$A$101,MATCH($B62,Product_Registry!$B$2:$B$101,0)),IFERROR(INDEX(Product_Registry!$A$2:$A$101,MATCH("*"&amp;$B62&amp;"*",Product_Registry!$B$2:$B$101,0)),"")),""))</f>
        <v/>
      </c>
      <c r="AM62" t="str">
        <f>IF($AL62="","",IFERROR(INDEX(Product_Registry!$B$2:$B$101,MATCH($AL62,Product_Registry!$A$2:$A$101,0)),""))</f>
        <v/>
      </c>
    </row>
    <row r="63" spans="1:39" x14ac:dyDescent="0.2">
      <c r="A63" s="27"/>
      <c r="B63" s="28"/>
      <c r="C63" s="20" t="str">
        <f>IF($AL63="","",IFERROR(INDEX(Product_Registry!$C$2:$C$101,MATCH($AL63,Product_Registry!$A$2:$A$101,0)),""))</f>
        <v/>
      </c>
      <c r="D63" s="21" t="str">
        <f>IF($AL63="","",IFERROR(INDEX(Product_Registry!$D$2:$D$101,MATCH($AL63,Product_Registry!$A$2:$A$101,0)),""))</f>
        <v/>
      </c>
      <c r="E63" s="17" t="str">
        <f>IF($AL63="","",IFERROR(INDEX(Product_Registry!$E$2:$E$101,MATCH($AL63,Product_Registry!$A$2:$A$101,0)),""))</f>
        <v/>
      </c>
      <c r="F63" s="17" t="str">
        <f>IF($AL63="","",IFERROR(INDEX(Product_Registry!$F$2:$F$101,MATCH($AL63,Product_Registry!$A$2:$A$101,0)),""))</f>
        <v/>
      </c>
      <c r="G63" s="21" t="str">
        <f>IF($AL63="","",IFERROR(INDEX(Product_Registry!$G$2:$G$101,MATCH($AL63,Product_Registry!$A$2:$A$101,0)),""))</f>
        <v/>
      </c>
      <c r="H63" s="21" t="str">
        <f>IF($AL63="","",IFERROR(INDEX(Product_Registry!$H$2:$H$101,MATCH($AL63,Product_Registry!$A$2:$A$101,0)),""))</f>
        <v/>
      </c>
      <c r="I63" s="21" t="str">
        <f>IF($AL63="","",IFERROR(INDEX(Product_Registry!$I$2:$I$101,MATCH($AL63,Product_Registry!$A$2:$A$101,0)),""))</f>
        <v/>
      </c>
      <c r="J63" s="21" t="str">
        <f>IF($AL63="","",IFERROR(INDEX(Product_Registry!$J$2:$J$101,MATCH($AL63,Product_Registry!$A$2:$A$101,0)),""))</f>
        <v/>
      </c>
      <c r="K63" s="21" t="str">
        <f>IF($AL63="","",IFERROR(INDEX(Product_Registry!$K$2:$K$101,MATCH($AL63,Product_Registry!$A$2:$A$101,0)),""))</f>
        <v/>
      </c>
      <c r="L63" s="21" t="str">
        <f>IF($AL63="","",IFERROR(INDEX(Product_Registry!$L$2:$L$101,MATCH($AL63,Product_Registry!$A$2:$A$101,0)),""))</f>
        <v/>
      </c>
      <c r="M63" s="21" t="str">
        <f>IF($AL63="","",IFERROR(INDEX(Product_Registry!$M$2:$M$101,MATCH($AL63,Product_Registry!$A$2:$A$101,0)),""))</f>
        <v/>
      </c>
      <c r="N63" s="6" t="str">
        <f>IF($AL63="","",$E63+SUMIFS('Logic &amp; Lists'!$E$4:$E$200,'Logic &amp; Lists'!$A$4:$A$200,$AK63,'Logic &amp; Lists'!$C$4:$C$200,"Level 1 Schedule"))</f>
        <v/>
      </c>
      <c r="O63" s="6" t="str">
        <f>IF($AL63="","",$P63+SUMIFS('Logic &amp; Lists'!$E$4:$E$200,'Logic &amp; Lists'!$A$4:$A$200,$AK63,'Logic &amp; Lists'!$C$4:$C$200,"Input Frozen"))</f>
        <v/>
      </c>
      <c r="P63" s="6" t="str">
        <f>IF($AL63="","",$Q63+SUMIFS('Logic &amp; Lists'!$E$4:$E$200,'Logic &amp; Lists'!$A$4:$A$200,$AK63,'Logic &amp; Lists'!$C$4:$C$200,"Drawing Approval"))</f>
        <v/>
      </c>
      <c r="Q63" s="6" t="str">
        <f>IF($AL63="","",$S63+SUMIFS('Logic &amp; Lists'!$E$4:$E$200,'Logic &amp; Lists'!$A$4:$A$200,$AK63,'Logic &amp; Lists'!$C$4:$C$200,"BOM Pass to PR"))</f>
        <v/>
      </c>
      <c r="R63" s="6" t="str">
        <f>IF($AL63="","",$S63+SUMIFS('Logic &amp; Lists'!$E$4:$E$200,'Logic &amp; Lists'!$A$4:$A$200,$AK63,'Logic &amp; Lists'!$C$4:$C$200,"PR Schedule"))</f>
        <v/>
      </c>
      <c r="S63" s="6" t="str">
        <f>IF($AL63="","",$T63+SUMIFS('Logic &amp; Lists'!$E$4:$E$200,'Logic &amp; Lists'!$A$4:$A$200,$AK63,'Logic &amp; Lists'!$C$4:$C$200,"Components PO Plan"))</f>
        <v/>
      </c>
      <c r="T63" s="6" t="str">
        <f>IF($AL63="","",$U63+SUMIFS('Logic &amp; Lists'!$E$4:$E$200,'Logic &amp; Lists'!$A$4:$A$200,$AK63,'Logic &amp; Lists'!$C$4:$C$200,"Production Start"))</f>
        <v/>
      </c>
      <c r="U63" s="6" t="str">
        <f>IF($AL63="","",$W63+SUMIFS('Logic &amp; Lists'!$E$4:$E$200,'Logic &amp; Lists'!$A$4:$A$200,$AK63,'Logic &amp; Lists'!$C$4:$C$200,"Production Complete"))</f>
        <v/>
      </c>
      <c r="V63" s="6" t="str">
        <f>IF($AL63="","",$Y63+SUMIFS('Logic &amp; Lists'!$E$4:$E$200,'Logic &amp; Lists'!$A$4:$A$200,$AK63,'Logic &amp; Lists'!$C$4:$C$200,"NOI Date"))</f>
        <v/>
      </c>
      <c r="W63" s="6" t="str">
        <f>IF($AL63="","",$X63+SUMIFS('Logic &amp; Lists'!$E$4:$E$200,'Logic &amp; Lists'!$A$4:$A$200,$AK63,'Logic &amp; Lists'!$C$4:$C$200,"Internal Test Start"))</f>
        <v/>
      </c>
      <c r="X63" s="6" t="str">
        <f>IF($AL63="","",$Y63+SUMIFS('Logic &amp; Lists'!$E$4:$E$200,'Logic &amp; Lists'!$A$4:$A$200,$AK63,'Logic &amp; Lists'!$C$4:$C$200,"Internal Test Complete"))</f>
        <v/>
      </c>
      <c r="Y63" s="6" t="str">
        <f>IF($AL63="","",$AA63+SUMIFS('Logic &amp; Lists'!$E$4:$E$200,'Logic &amp; Lists'!$A$4:$A$200,$AK63,'Logic &amp; Lists'!$C$4:$C$200,"FAT Start"))</f>
        <v/>
      </c>
      <c r="Z63" s="6" t="str">
        <f>IF($AL63="","",$Y63+SUMIFS('Logic &amp; Lists'!$E$4:$E$200,'Logic &amp; Lists'!$A$4:$A$200,$AK63,'Logic &amp; Lists'!$C$4:$C$200,"FAT Complete"))</f>
        <v/>
      </c>
      <c r="AA63" s="6" t="str">
        <f>IF($AL63="","",$F63+SUMIFS('Logic &amp; Lists'!$E$4:$E$200,'Logic &amp; Lists'!$A$4:$A$200,$AK63,'Logic &amp; Lists'!$C$4:$C$200,"Delivery"))</f>
        <v/>
      </c>
      <c r="AB63" s="8"/>
      <c r="AC63" s="8"/>
      <c r="AD63" s="8"/>
      <c r="AE63" s="8"/>
      <c r="AF63" s="16"/>
      <c r="AG63" s="8"/>
      <c r="AH63" s="5" t="str">
        <f t="shared" si="2"/>
        <v/>
      </c>
      <c r="AI63" s="18" t="str">
        <f t="shared" ca="1" si="3"/>
        <v/>
      </c>
      <c r="AJ63" s="7"/>
      <c r="AK63" s="5" t="str">
        <f>IF($AL63="","",IF(COUNTIF('Logic &amp; Lists'!$A$4:$A$200,$C63)&gt;0,$C63,"Default"))</f>
        <v/>
      </c>
      <c r="AL63" t="str">
        <f>IF($A63&lt;&gt;"",$A63,IF($B63&lt;&gt;"",IFERROR(INDEX(Product_Registry!$A$2:$A$101,MATCH($B63,Product_Registry!$B$2:$B$101,0)),IFERROR(INDEX(Product_Registry!$A$2:$A$101,MATCH("*"&amp;$B63&amp;"*",Product_Registry!$B$2:$B$101,0)),"")),""))</f>
        <v/>
      </c>
      <c r="AM63" t="str">
        <f>IF($AL63="","",IFERROR(INDEX(Product_Registry!$B$2:$B$101,MATCH($AL63,Product_Registry!$A$2:$A$101,0)),""))</f>
        <v/>
      </c>
    </row>
    <row r="64" spans="1:39" x14ac:dyDescent="0.2">
      <c r="A64" s="27"/>
      <c r="B64" s="28"/>
      <c r="C64" s="20" t="str">
        <f>IF($AL64="","",IFERROR(INDEX(Product_Registry!$C$2:$C$101,MATCH($AL64,Product_Registry!$A$2:$A$101,0)),""))</f>
        <v/>
      </c>
      <c r="D64" s="21" t="str">
        <f>IF($AL64="","",IFERROR(INDEX(Product_Registry!$D$2:$D$101,MATCH($AL64,Product_Registry!$A$2:$A$101,0)),""))</f>
        <v/>
      </c>
      <c r="E64" s="17" t="str">
        <f>IF($AL64="","",IFERROR(INDEX(Product_Registry!$E$2:$E$101,MATCH($AL64,Product_Registry!$A$2:$A$101,0)),""))</f>
        <v/>
      </c>
      <c r="F64" s="17" t="str">
        <f>IF($AL64="","",IFERROR(INDEX(Product_Registry!$F$2:$F$101,MATCH($AL64,Product_Registry!$A$2:$A$101,0)),""))</f>
        <v/>
      </c>
      <c r="G64" s="21" t="str">
        <f>IF($AL64="","",IFERROR(INDEX(Product_Registry!$G$2:$G$101,MATCH($AL64,Product_Registry!$A$2:$A$101,0)),""))</f>
        <v/>
      </c>
      <c r="H64" s="21" t="str">
        <f>IF($AL64="","",IFERROR(INDEX(Product_Registry!$H$2:$H$101,MATCH($AL64,Product_Registry!$A$2:$A$101,0)),""))</f>
        <v/>
      </c>
      <c r="I64" s="21" t="str">
        <f>IF($AL64="","",IFERROR(INDEX(Product_Registry!$I$2:$I$101,MATCH($AL64,Product_Registry!$A$2:$A$101,0)),""))</f>
        <v/>
      </c>
      <c r="J64" s="21" t="str">
        <f>IF($AL64="","",IFERROR(INDEX(Product_Registry!$J$2:$J$101,MATCH($AL64,Product_Registry!$A$2:$A$101,0)),""))</f>
        <v/>
      </c>
      <c r="K64" s="21" t="str">
        <f>IF($AL64="","",IFERROR(INDEX(Product_Registry!$K$2:$K$101,MATCH($AL64,Product_Registry!$A$2:$A$101,0)),""))</f>
        <v/>
      </c>
      <c r="L64" s="21" t="str">
        <f>IF($AL64="","",IFERROR(INDEX(Product_Registry!$L$2:$L$101,MATCH($AL64,Product_Registry!$A$2:$A$101,0)),""))</f>
        <v/>
      </c>
      <c r="M64" s="21" t="str">
        <f>IF($AL64="","",IFERROR(INDEX(Product_Registry!$M$2:$M$101,MATCH($AL64,Product_Registry!$A$2:$A$101,0)),""))</f>
        <v/>
      </c>
      <c r="N64" s="6" t="str">
        <f>IF($AL64="","",$E64+SUMIFS('Logic &amp; Lists'!$E$4:$E$200,'Logic &amp; Lists'!$A$4:$A$200,$AK64,'Logic &amp; Lists'!$C$4:$C$200,"Level 1 Schedule"))</f>
        <v/>
      </c>
      <c r="O64" s="6" t="str">
        <f>IF($AL64="","",$P64+SUMIFS('Logic &amp; Lists'!$E$4:$E$200,'Logic &amp; Lists'!$A$4:$A$200,$AK64,'Logic &amp; Lists'!$C$4:$C$200,"Input Frozen"))</f>
        <v/>
      </c>
      <c r="P64" s="6" t="str">
        <f>IF($AL64="","",$Q64+SUMIFS('Logic &amp; Lists'!$E$4:$E$200,'Logic &amp; Lists'!$A$4:$A$200,$AK64,'Logic &amp; Lists'!$C$4:$C$200,"Drawing Approval"))</f>
        <v/>
      </c>
      <c r="Q64" s="6" t="str">
        <f>IF($AL64="","",$S64+SUMIFS('Logic &amp; Lists'!$E$4:$E$200,'Logic &amp; Lists'!$A$4:$A$200,$AK64,'Logic &amp; Lists'!$C$4:$C$200,"BOM Pass to PR"))</f>
        <v/>
      </c>
      <c r="R64" s="6" t="str">
        <f>IF($AL64="","",$S64+SUMIFS('Logic &amp; Lists'!$E$4:$E$200,'Logic &amp; Lists'!$A$4:$A$200,$AK64,'Logic &amp; Lists'!$C$4:$C$200,"PR Schedule"))</f>
        <v/>
      </c>
      <c r="S64" s="6" t="str">
        <f>IF($AL64="","",$T64+SUMIFS('Logic &amp; Lists'!$E$4:$E$200,'Logic &amp; Lists'!$A$4:$A$200,$AK64,'Logic &amp; Lists'!$C$4:$C$200,"Components PO Plan"))</f>
        <v/>
      </c>
      <c r="T64" s="6" t="str">
        <f>IF($AL64="","",$U64+SUMIFS('Logic &amp; Lists'!$E$4:$E$200,'Logic &amp; Lists'!$A$4:$A$200,$AK64,'Logic &amp; Lists'!$C$4:$C$200,"Production Start"))</f>
        <v/>
      </c>
      <c r="U64" s="6" t="str">
        <f>IF($AL64="","",$W64+SUMIFS('Logic &amp; Lists'!$E$4:$E$200,'Logic &amp; Lists'!$A$4:$A$200,$AK64,'Logic &amp; Lists'!$C$4:$C$200,"Production Complete"))</f>
        <v/>
      </c>
      <c r="V64" s="6" t="str">
        <f>IF($AL64="","",$Y64+SUMIFS('Logic &amp; Lists'!$E$4:$E$200,'Logic &amp; Lists'!$A$4:$A$200,$AK64,'Logic &amp; Lists'!$C$4:$C$200,"NOI Date"))</f>
        <v/>
      </c>
      <c r="W64" s="6" t="str">
        <f>IF($AL64="","",$X64+SUMIFS('Logic &amp; Lists'!$E$4:$E$200,'Logic &amp; Lists'!$A$4:$A$200,$AK64,'Logic &amp; Lists'!$C$4:$C$200,"Internal Test Start"))</f>
        <v/>
      </c>
      <c r="X64" s="6" t="str">
        <f>IF($AL64="","",$Y64+SUMIFS('Logic &amp; Lists'!$E$4:$E$200,'Logic &amp; Lists'!$A$4:$A$200,$AK64,'Logic &amp; Lists'!$C$4:$C$200,"Internal Test Complete"))</f>
        <v/>
      </c>
      <c r="Y64" s="6" t="str">
        <f>IF($AL64="","",$AA64+SUMIFS('Logic &amp; Lists'!$E$4:$E$200,'Logic &amp; Lists'!$A$4:$A$200,$AK64,'Logic &amp; Lists'!$C$4:$C$200,"FAT Start"))</f>
        <v/>
      </c>
      <c r="Z64" s="6" t="str">
        <f>IF($AL64="","",$Y64+SUMIFS('Logic &amp; Lists'!$E$4:$E$200,'Logic &amp; Lists'!$A$4:$A$200,$AK64,'Logic &amp; Lists'!$C$4:$C$200,"FAT Complete"))</f>
        <v/>
      </c>
      <c r="AA64" s="6" t="str">
        <f>IF($AL64="","",$F64+SUMIFS('Logic &amp; Lists'!$E$4:$E$200,'Logic &amp; Lists'!$A$4:$A$200,$AK64,'Logic &amp; Lists'!$C$4:$C$200,"Delivery"))</f>
        <v/>
      </c>
      <c r="AB64" s="8"/>
      <c r="AC64" s="8"/>
      <c r="AD64" s="8"/>
      <c r="AE64" s="8"/>
      <c r="AF64" s="16"/>
      <c r="AG64" s="8"/>
      <c r="AH64" s="5" t="str">
        <f t="shared" si="2"/>
        <v/>
      </c>
      <c r="AI64" s="18" t="str">
        <f t="shared" ca="1" si="3"/>
        <v/>
      </c>
      <c r="AJ64" s="7"/>
      <c r="AK64" s="5" t="str">
        <f>IF($AL64="","",IF(COUNTIF('Logic &amp; Lists'!$A$4:$A$200,$C64)&gt;0,$C64,"Default"))</f>
        <v/>
      </c>
      <c r="AL64" t="str">
        <f>IF($A64&lt;&gt;"",$A64,IF($B64&lt;&gt;"",IFERROR(INDEX(Product_Registry!$A$2:$A$101,MATCH($B64,Product_Registry!$B$2:$B$101,0)),IFERROR(INDEX(Product_Registry!$A$2:$A$101,MATCH("*"&amp;$B64&amp;"*",Product_Registry!$B$2:$B$101,0)),"")),""))</f>
        <v/>
      </c>
      <c r="AM64" t="str">
        <f>IF($AL64="","",IFERROR(INDEX(Product_Registry!$B$2:$B$101,MATCH($AL64,Product_Registry!$A$2:$A$101,0)),""))</f>
        <v/>
      </c>
    </row>
    <row r="65" spans="1:39" x14ac:dyDescent="0.2">
      <c r="A65" s="27"/>
      <c r="B65" s="28"/>
      <c r="C65" s="20" t="str">
        <f>IF($AL65="","",IFERROR(INDEX(Product_Registry!$C$2:$C$101,MATCH($AL65,Product_Registry!$A$2:$A$101,0)),""))</f>
        <v/>
      </c>
      <c r="D65" s="21" t="str">
        <f>IF($AL65="","",IFERROR(INDEX(Product_Registry!$D$2:$D$101,MATCH($AL65,Product_Registry!$A$2:$A$101,0)),""))</f>
        <v/>
      </c>
      <c r="E65" s="17" t="str">
        <f>IF($AL65="","",IFERROR(INDEX(Product_Registry!$E$2:$E$101,MATCH($AL65,Product_Registry!$A$2:$A$101,0)),""))</f>
        <v/>
      </c>
      <c r="F65" s="17" t="str">
        <f>IF($AL65="","",IFERROR(INDEX(Product_Registry!$F$2:$F$101,MATCH($AL65,Product_Registry!$A$2:$A$101,0)),""))</f>
        <v/>
      </c>
      <c r="G65" s="21" t="str">
        <f>IF($AL65="","",IFERROR(INDEX(Product_Registry!$G$2:$G$101,MATCH($AL65,Product_Registry!$A$2:$A$101,0)),""))</f>
        <v/>
      </c>
      <c r="H65" s="21" t="str">
        <f>IF($AL65="","",IFERROR(INDEX(Product_Registry!$H$2:$H$101,MATCH($AL65,Product_Registry!$A$2:$A$101,0)),""))</f>
        <v/>
      </c>
      <c r="I65" s="21" t="str">
        <f>IF($AL65="","",IFERROR(INDEX(Product_Registry!$I$2:$I$101,MATCH($AL65,Product_Registry!$A$2:$A$101,0)),""))</f>
        <v/>
      </c>
      <c r="J65" s="21" t="str">
        <f>IF($AL65="","",IFERROR(INDEX(Product_Registry!$J$2:$J$101,MATCH($AL65,Product_Registry!$A$2:$A$101,0)),""))</f>
        <v/>
      </c>
      <c r="K65" s="21" t="str">
        <f>IF($AL65="","",IFERROR(INDEX(Product_Registry!$K$2:$K$101,MATCH($AL65,Product_Registry!$A$2:$A$101,0)),""))</f>
        <v/>
      </c>
      <c r="L65" s="21" t="str">
        <f>IF($AL65="","",IFERROR(INDEX(Product_Registry!$L$2:$L$101,MATCH($AL65,Product_Registry!$A$2:$A$101,0)),""))</f>
        <v/>
      </c>
      <c r="M65" s="21" t="str">
        <f>IF($AL65="","",IFERROR(INDEX(Product_Registry!$M$2:$M$101,MATCH($AL65,Product_Registry!$A$2:$A$101,0)),""))</f>
        <v/>
      </c>
      <c r="N65" s="6" t="str">
        <f>IF($AL65="","",$E65+SUMIFS('Logic &amp; Lists'!$E$4:$E$200,'Logic &amp; Lists'!$A$4:$A$200,$AK65,'Logic &amp; Lists'!$C$4:$C$200,"Level 1 Schedule"))</f>
        <v/>
      </c>
      <c r="O65" s="6" t="str">
        <f>IF($AL65="","",$P65+SUMIFS('Logic &amp; Lists'!$E$4:$E$200,'Logic &amp; Lists'!$A$4:$A$200,$AK65,'Logic &amp; Lists'!$C$4:$C$200,"Input Frozen"))</f>
        <v/>
      </c>
      <c r="P65" s="6" t="str">
        <f>IF($AL65="","",$Q65+SUMIFS('Logic &amp; Lists'!$E$4:$E$200,'Logic &amp; Lists'!$A$4:$A$200,$AK65,'Logic &amp; Lists'!$C$4:$C$200,"Drawing Approval"))</f>
        <v/>
      </c>
      <c r="Q65" s="6" t="str">
        <f>IF($AL65="","",$S65+SUMIFS('Logic &amp; Lists'!$E$4:$E$200,'Logic &amp; Lists'!$A$4:$A$200,$AK65,'Logic &amp; Lists'!$C$4:$C$200,"BOM Pass to PR"))</f>
        <v/>
      </c>
      <c r="R65" s="6" t="str">
        <f>IF($AL65="","",$S65+SUMIFS('Logic &amp; Lists'!$E$4:$E$200,'Logic &amp; Lists'!$A$4:$A$200,$AK65,'Logic &amp; Lists'!$C$4:$C$200,"PR Schedule"))</f>
        <v/>
      </c>
      <c r="S65" s="6" t="str">
        <f>IF($AL65="","",$T65+SUMIFS('Logic &amp; Lists'!$E$4:$E$200,'Logic &amp; Lists'!$A$4:$A$200,$AK65,'Logic &amp; Lists'!$C$4:$C$200,"Components PO Plan"))</f>
        <v/>
      </c>
      <c r="T65" s="6" t="str">
        <f>IF($AL65="","",$U65+SUMIFS('Logic &amp; Lists'!$E$4:$E$200,'Logic &amp; Lists'!$A$4:$A$200,$AK65,'Logic &amp; Lists'!$C$4:$C$200,"Production Start"))</f>
        <v/>
      </c>
      <c r="U65" s="6" t="str">
        <f>IF($AL65="","",$W65+SUMIFS('Logic &amp; Lists'!$E$4:$E$200,'Logic &amp; Lists'!$A$4:$A$200,$AK65,'Logic &amp; Lists'!$C$4:$C$200,"Production Complete"))</f>
        <v/>
      </c>
      <c r="V65" s="6" t="str">
        <f>IF($AL65="","",$Y65+SUMIFS('Logic &amp; Lists'!$E$4:$E$200,'Logic &amp; Lists'!$A$4:$A$200,$AK65,'Logic &amp; Lists'!$C$4:$C$200,"NOI Date"))</f>
        <v/>
      </c>
      <c r="W65" s="6" t="str">
        <f>IF($AL65="","",$X65+SUMIFS('Logic &amp; Lists'!$E$4:$E$200,'Logic &amp; Lists'!$A$4:$A$200,$AK65,'Logic &amp; Lists'!$C$4:$C$200,"Internal Test Start"))</f>
        <v/>
      </c>
      <c r="X65" s="6" t="str">
        <f>IF($AL65="","",$Y65+SUMIFS('Logic &amp; Lists'!$E$4:$E$200,'Logic &amp; Lists'!$A$4:$A$200,$AK65,'Logic &amp; Lists'!$C$4:$C$200,"Internal Test Complete"))</f>
        <v/>
      </c>
      <c r="Y65" s="6" t="str">
        <f>IF($AL65="","",$AA65+SUMIFS('Logic &amp; Lists'!$E$4:$E$200,'Logic &amp; Lists'!$A$4:$A$200,$AK65,'Logic &amp; Lists'!$C$4:$C$200,"FAT Start"))</f>
        <v/>
      </c>
      <c r="Z65" s="6" t="str">
        <f>IF($AL65="","",$Y65+SUMIFS('Logic &amp; Lists'!$E$4:$E$200,'Logic &amp; Lists'!$A$4:$A$200,$AK65,'Logic &amp; Lists'!$C$4:$C$200,"FAT Complete"))</f>
        <v/>
      </c>
      <c r="AA65" s="6" t="str">
        <f>IF($AL65="","",$F65+SUMIFS('Logic &amp; Lists'!$E$4:$E$200,'Logic &amp; Lists'!$A$4:$A$200,$AK65,'Logic &amp; Lists'!$C$4:$C$200,"Delivery"))</f>
        <v/>
      </c>
      <c r="AB65" s="8"/>
      <c r="AC65" s="8"/>
      <c r="AD65" s="8"/>
      <c r="AE65" s="8"/>
      <c r="AF65" s="16"/>
      <c r="AG65" s="8"/>
      <c r="AH65" s="5" t="str">
        <f t="shared" si="2"/>
        <v/>
      </c>
      <c r="AI65" s="18" t="str">
        <f t="shared" ca="1" si="3"/>
        <v/>
      </c>
      <c r="AJ65" s="7"/>
      <c r="AK65" s="5" t="str">
        <f>IF($AL65="","",IF(COUNTIF('Logic &amp; Lists'!$A$4:$A$200,$C65)&gt;0,$C65,"Default"))</f>
        <v/>
      </c>
      <c r="AL65" t="str">
        <f>IF($A65&lt;&gt;"",$A65,IF($B65&lt;&gt;"",IFERROR(INDEX(Product_Registry!$A$2:$A$101,MATCH($B65,Product_Registry!$B$2:$B$101,0)),IFERROR(INDEX(Product_Registry!$A$2:$A$101,MATCH("*"&amp;$B65&amp;"*",Product_Registry!$B$2:$B$101,0)),"")),""))</f>
        <v/>
      </c>
      <c r="AM65" t="str">
        <f>IF($AL65="","",IFERROR(INDEX(Product_Registry!$B$2:$B$101,MATCH($AL65,Product_Registry!$A$2:$A$101,0)),""))</f>
        <v/>
      </c>
    </row>
    <row r="66" spans="1:39" x14ac:dyDescent="0.2">
      <c r="A66" s="27"/>
      <c r="B66" s="28"/>
      <c r="C66" s="20" t="str">
        <f>IF($AL66="","",IFERROR(INDEX(Product_Registry!$C$2:$C$101,MATCH($AL66,Product_Registry!$A$2:$A$101,0)),""))</f>
        <v/>
      </c>
      <c r="D66" s="21" t="str">
        <f>IF($AL66="","",IFERROR(INDEX(Product_Registry!$D$2:$D$101,MATCH($AL66,Product_Registry!$A$2:$A$101,0)),""))</f>
        <v/>
      </c>
      <c r="E66" s="17" t="str">
        <f>IF($AL66="","",IFERROR(INDEX(Product_Registry!$E$2:$E$101,MATCH($AL66,Product_Registry!$A$2:$A$101,0)),""))</f>
        <v/>
      </c>
      <c r="F66" s="17" t="str">
        <f>IF($AL66="","",IFERROR(INDEX(Product_Registry!$F$2:$F$101,MATCH($AL66,Product_Registry!$A$2:$A$101,0)),""))</f>
        <v/>
      </c>
      <c r="G66" s="21" t="str">
        <f>IF($AL66="","",IFERROR(INDEX(Product_Registry!$G$2:$G$101,MATCH($AL66,Product_Registry!$A$2:$A$101,0)),""))</f>
        <v/>
      </c>
      <c r="H66" s="21" t="str">
        <f>IF($AL66="","",IFERROR(INDEX(Product_Registry!$H$2:$H$101,MATCH($AL66,Product_Registry!$A$2:$A$101,0)),""))</f>
        <v/>
      </c>
      <c r="I66" s="21" t="str">
        <f>IF($AL66="","",IFERROR(INDEX(Product_Registry!$I$2:$I$101,MATCH($AL66,Product_Registry!$A$2:$A$101,0)),""))</f>
        <v/>
      </c>
      <c r="J66" s="21" t="str">
        <f>IF($AL66="","",IFERROR(INDEX(Product_Registry!$J$2:$J$101,MATCH($AL66,Product_Registry!$A$2:$A$101,0)),""))</f>
        <v/>
      </c>
      <c r="K66" s="21" t="str">
        <f>IF($AL66="","",IFERROR(INDEX(Product_Registry!$K$2:$K$101,MATCH($AL66,Product_Registry!$A$2:$A$101,0)),""))</f>
        <v/>
      </c>
      <c r="L66" s="21" t="str">
        <f>IF($AL66="","",IFERROR(INDEX(Product_Registry!$L$2:$L$101,MATCH($AL66,Product_Registry!$A$2:$A$101,0)),""))</f>
        <v/>
      </c>
      <c r="M66" s="21" t="str">
        <f>IF($AL66="","",IFERROR(INDEX(Product_Registry!$M$2:$M$101,MATCH($AL66,Product_Registry!$A$2:$A$101,0)),""))</f>
        <v/>
      </c>
      <c r="N66" s="6" t="str">
        <f>IF($AL66="","",$E66+SUMIFS('Logic &amp; Lists'!$E$4:$E$200,'Logic &amp; Lists'!$A$4:$A$200,$AK66,'Logic &amp; Lists'!$C$4:$C$200,"Level 1 Schedule"))</f>
        <v/>
      </c>
      <c r="O66" s="6" t="str">
        <f>IF($AL66="","",$P66+SUMIFS('Logic &amp; Lists'!$E$4:$E$200,'Logic &amp; Lists'!$A$4:$A$200,$AK66,'Logic &amp; Lists'!$C$4:$C$200,"Input Frozen"))</f>
        <v/>
      </c>
      <c r="P66" s="6" t="str">
        <f>IF($AL66="","",$Q66+SUMIFS('Logic &amp; Lists'!$E$4:$E$200,'Logic &amp; Lists'!$A$4:$A$200,$AK66,'Logic &amp; Lists'!$C$4:$C$200,"Drawing Approval"))</f>
        <v/>
      </c>
      <c r="Q66" s="6" t="str">
        <f>IF($AL66="","",$S66+SUMIFS('Logic &amp; Lists'!$E$4:$E$200,'Logic &amp; Lists'!$A$4:$A$200,$AK66,'Logic &amp; Lists'!$C$4:$C$200,"BOM Pass to PR"))</f>
        <v/>
      </c>
      <c r="R66" s="6" t="str">
        <f>IF($AL66="","",$S66+SUMIFS('Logic &amp; Lists'!$E$4:$E$200,'Logic &amp; Lists'!$A$4:$A$200,$AK66,'Logic &amp; Lists'!$C$4:$C$200,"PR Schedule"))</f>
        <v/>
      </c>
      <c r="S66" s="6" t="str">
        <f>IF($AL66="","",$T66+SUMIFS('Logic &amp; Lists'!$E$4:$E$200,'Logic &amp; Lists'!$A$4:$A$200,$AK66,'Logic &amp; Lists'!$C$4:$C$200,"Components PO Plan"))</f>
        <v/>
      </c>
      <c r="T66" s="6" t="str">
        <f>IF($AL66="","",$U66+SUMIFS('Logic &amp; Lists'!$E$4:$E$200,'Logic &amp; Lists'!$A$4:$A$200,$AK66,'Logic &amp; Lists'!$C$4:$C$200,"Production Start"))</f>
        <v/>
      </c>
      <c r="U66" s="6" t="str">
        <f>IF($AL66="","",$W66+SUMIFS('Logic &amp; Lists'!$E$4:$E$200,'Logic &amp; Lists'!$A$4:$A$200,$AK66,'Logic &amp; Lists'!$C$4:$C$200,"Production Complete"))</f>
        <v/>
      </c>
      <c r="V66" s="6" t="str">
        <f>IF($AL66="","",$Y66+SUMIFS('Logic &amp; Lists'!$E$4:$E$200,'Logic &amp; Lists'!$A$4:$A$200,$AK66,'Logic &amp; Lists'!$C$4:$C$200,"NOI Date"))</f>
        <v/>
      </c>
      <c r="W66" s="6" t="str">
        <f>IF($AL66="","",$X66+SUMIFS('Logic &amp; Lists'!$E$4:$E$200,'Logic &amp; Lists'!$A$4:$A$200,$AK66,'Logic &amp; Lists'!$C$4:$C$200,"Internal Test Start"))</f>
        <v/>
      </c>
      <c r="X66" s="6" t="str">
        <f>IF($AL66="","",$Y66+SUMIFS('Logic &amp; Lists'!$E$4:$E$200,'Logic &amp; Lists'!$A$4:$A$200,$AK66,'Logic &amp; Lists'!$C$4:$C$200,"Internal Test Complete"))</f>
        <v/>
      </c>
      <c r="Y66" s="6" t="str">
        <f>IF($AL66="","",$AA66+SUMIFS('Logic &amp; Lists'!$E$4:$E$200,'Logic &amp; Lists'!$A$4:$A$200,$AK66,'Logic &amp; Lists'!$C$4:$C$200,"FAT Start"))</f>
        <v/>
      </c>
      <c r="Z66" s="6" t="str">
        <f>IF($AL66="","",$Y66+SUMIFS('Logic &amp; Lists'!$E$4:$E$200,'Logic &amp; Lists'!$A$4:$A$200,$AK66,'Logic &amp; Lists'!$C$4:$C$200,"FAT Complete"))</f>
        <v/>
      </c>
      <c r="AA66" s="6" t="str">
        <f>IF($AL66="","",$F66+SUMIFS('Logic &amp; Lists'!$E$4:$E$200,'Logic &amp; Lists'!$A$4:$A$200,$AK66,'Logic &amp; Lists'!$C$4:$C$200,"Delivery"))</f>
        <v/>
      </c>
      <c r="AB66" s="8"/>
      <c r="AC66" s="8"/>
      <c r="AD66" s="8"/>
      <c r="AE66" s="8"/>
      <c r="AF66" s="16"/>
      <c r="AG66" s="8"/>
      <c r="AH66" s="5" t="str">
        <f t="shared" ref="AH66:AH101" si="4">IF($AL66="","",IF($AI66&lt;0,"At Risk",IF($AI66&lt;=30,"Watch","On Track")))</f>
        <v/>
      </c>
      <c r="AI66" s="18" t="str">
        <f t="shared" ref="AI66:AI101" ca="1" si="5">IF($F66="","",$F66-TODAY())</f>
        <v/>
      </c>
      <c r="AJ66" s="7"/>
      <c r="AK66" s="5" t="str">
        <f>IF($AL66="","",IF(COUNTIF('Logic &amp; Lists'!$A$4:$A$200,$C66)&gt;0,$C66,"Default"))</f>
        <v/>
      </c>
      <c r="AL66" t="str">
        <f>IF($A66&lt;&gt;"",$A66,IF($B66&lt;&gt;"",IFERROR(INDEX(Product_Registry!$A$2:$A$101,MATCH($B66,Product_Registry!$B$2:$B$101,0)),IFERROR(INDEX(Product_Registry!$A$2:$A$101,MATCH("*"&amp;$B66&amp;"*",Product_Registry!$B$2:$B$101,0)),"")),""))</f>
        <v/>
      </c>
      <c r="AM66" t="str">
        <f>IF($AL66="","",IFERROR(INDEX(Product_Registry!$B$2:$B$101,MATCH($AL66,Product_Registry!$A$2:$A$101,0)),""))</f>
        <v/>
      </c>
    </row>
    <row r="67" spans="1:39" x14ac:dyDescent="0.2">
      <c r="A67" s="27"/>
      <c r="B67" s="28"/>
      <c r="C67" s="20" t="str">
        <f>IF($AL67="","",IFERROR(INDEX(Product_Registry!$C$2:$C$101,MATCH($AL67,Product_Registry!$A$2:$A$101,0)),""))</f>
        <v/>
      </c>
      <c r="D67" s="21" t="str">
        <f>IF($AL67="","",IFERROR(INDEX(Product_Registry!$D$2:$D$101,MATCH($AL67,Product_Registry!$A$2:$A$101,0)),""))</f>
        <v/>
      </c>
      <c r="E67" s="17" t="str">
        <f>IF($AL67="","",IFERROR(INDEX(Product_Registry!$E$2:$E$101,MATCH($AL67,Product_Registry!$A$2:$A$101,0)),""))</f>
        <v/>
      </c>
      <c r="F67" s="17" t="str">
        <f>IF($AL67="","",IFERROR(INDEX(Product_Registry!$F$2:$F$101,MATCH($AL67,Product_Registry!$A$2:$A$101,0)),""))</f>
        <v/>
      </c>
      <c r="G67" s="21" t="str">
        <f>IF($AL67="","",IFERROR(INDEX(Product_Registry!$G$2:$G$101,MATCH($AL67,Product_Registry!$A$2:$A$101,0)),""))</f>
        <v/>
      </c>
      <c r="H67" s="21" t="str">
        <f>IF($AL67="","",IFERROR(INDEX(Product_Registry!$H$2:$H$101,MATCH($AL67,Product_Registry!$A$2:$A$101,0)),""))</f>
        <v/>
      </c>
      <c r="I67" s="21" t="str">
        <f>IF($AL67="","",IFERROR(INDEX(Product_Registry!$I$2:$I$101,MATCH($AL67,Product_Registry!$A$2:$A$101,0)),""))</f>
        <v/>
      </c>
      <c r="J67" s="21" t="str">
        <f>IF($AL67="","",IFERROR(INDEX(Product_Registry!$J$2:$J$101,MATCH($AL67,Product_Registry!$A$2:$A$101,0)),""))</f>
        <v/>
      </c>
      <c r="K67" s="21" t="str">
        <f>IF($AL67="","",IFERROR(INDEX(Product_Registry!$K$2:$K$101,MATCH($AL67,Product_Registry!$A$2:$A$101,0)),""))</f>
        <v/>
      </c>
      <c r="L67" s="21" t="str">
        <f>IF($AL67="","",IFERROR(INDEX(Product_Registry!$L$2:$L$101,MATCH($AL67,Product_Registry!$A$2:$A$101,0)),""))</f>
        <v/>
      </c>
      <c r="M67" s="21" t="str">
        <f>IF($AL67="","",IFERROR(INDEX(Product_Registry!$M$2:$M$101,MATCH($AL67,Product_Registry!$A$2:$A$101,0)),""))</f>
        <v/>
      </c>
      <c r="N67" s="6" t="str">
        <f>IF($AL67="","",$E67+SUMIFS('Logic &amp; Lists'!$E$4:$E$200,'Logic &amp; Lists'!$A$4:$A$200,$AK67,'Logic &amp; Lists'!$C$4:$C$200,"Level 1 Schedule"))</f>
        <v/>
      </c>
      <c r="O67" s="6" t="str">
        <f>IF($AL67="","",$P67+SUMIFS('Logic &amp; Lists'!$E$4:$E$200,'Logic &amp; Lists'!$A$4:$A$200,$AK67,'Logic &amp; Lists'!$C$4:$C$200,"Input Frozen"))</f>
        <v/>
      </c>
      <c r="P67" s="6" t="str">
        <f>IF($AL67="","",$Q67+SUMIFS('Logic &amp; Lists'!$E$4:$E$200,'Logic &amp; Lists'!$A$4:$A$200,$AK67,'Logic &amp; Lists'!$C$4:$C$200,"Drawing Approval"))</f>
        <v/>
      </c>
      <c r="Q67" s="6" t="str">
        <f>IF($AL67="","",$S67+SUMIFS('Logic &amp; Lists'!$E$4:$E$200,'Logic &amp; Lists'!$A$4:$A$200,$AK67,'Logic &amp; Lists'!$C$4:$C$200,"BOM Pass to PR"))</f>
        <v/>
      </c>
      <c r="R67" s="6" t="str">
        <f>IF($AL67="","",$S67+SUMIFS('Logic &amp; Lists'!$E$4:$E$200,'Logic &amp; Lists'!$A$4:$A$200,$AK67,'Logic &amp; Lists'!$C$4:$C$200,"PR Schedule"))</f>
        <v/>
      </c>
      <c r="S67" s="6" t="str">
        <f>IF($AL67="","",$T67+SUMIFS('Logic &amp; Lists'!$E$4:$E$200,'Logic &amp; Lists'!$A$4:$A$200,$AK67,'Logic &amp; Lists'!$C$4:$C$200,"Components PO Plan"))</f>
        <v/>
      </c>
      <c r="T67" s="6" t="str">
        <f>IF($AL67="","",$U67+SUMIFS('Logic &amp; Lists'!$E$4:$E$200,'Logic &amp; Lists'!$A$4:$A$200,$AK67,'Logic &amp; Lists'!$C$4:$C$200,"Production Start"))</f>
        <v/>
      </c>
      <c r="U67" s="6" t="str">
        <f>IF($AL67="","",$W67+SUMIFS('Logic &amp; Lists'!$E$4:$E$200,'Logic &amp; Lists'!$A$4:$A$200,$AK67,'Logic &amp; Lists'!$C$4:$C$200,"Production Complete"))</f>
        <v/>
      </c>
      <c r="V67" s="6" t="str">
        <f>IF($AL67="","",$Y67+SUMIFS('Logic &amp; Lists'!$E$4:$E$200,'Logic &amp; Lists'!$A$4:$A$200,$AK67,'Logic &amp; Lists'!$C$4:$C$200,"NOI Date"))</f>
        <v/>
      </c>
      <c r="W67" s="6" t="str">
        <f>IF($AL67="","",$X67+SUMIFS('Logic &amp; Lists'!$E$4:$E$200,'Logic &amp; Lists'!$A$4:$A$200,$AK67,'Logic &amp; Lists'!$C$4:$C$200,"Internal Test Start"))</f>
        <v/>
      </c>
      <c r="X67" s="6" t="str">
        <f>IF($AL67="","",$Y67+SUMIFS('Logic &amp; Lists'!$E$4:$E$200,'Logic &amp; Lists'!$A$4:$A$200,$AK67,'Logic &amp; Lists'!$C$4:$C$200,"Internal Test Complete"))</f>
        <v/>
      </c>
      <c r="Y67" s="6" t="str">
        <f>IF($AL67="","",$AA67+SUMIFS('Logic &amp; Lists'!$E$4:$E$200,'Logic &amp; Lists'!$A$4:$A$200,$AK67,'Logic &amp; Lists'!$C$4:$C$200,"FAT Start"))</f>
        <v/>
      </c>
      <c r="Z67" s="6" t="str">
        <f>IF($AL67="","",$Y67+SUMIFS('Logic &amp; Lists'!$E$4:$E$200,'Logic &amp; Lists'!$A$4:$A$200,$AK67,'Logic &amp; Lists'!$C$4:$C$200,"FAT Complete"))</f>
        <v/>
      </c>
      <c r="AA67" s="6" t="str">
        <f>IF($AL67="","",$F67+SUMIFS('Logic &amp; Lists'!$E$4:$E$200,'Logic &amp; Lists'!$A$4:$A$200,$AK67,'Logic &amp; Lists'!$C$4:$C$200,"Delivery"))</f>
        <v/>
      </c>
      <c r="AB67" s="8"/>
      <c r="AC67" s="8"/>
      <c r="AD67" s="8"/>
      <c r="AE67" s="8"/>
      <c r="AF67" s="16"/>
      <c r="AG67" s="8"/>
      <c r="AH67" s="5" t="str">
        <f t="shared" si="4"/>
        <v/>
      </c>
      <c r="AI67" s="18" t="str">
        <f t="shared" ca="1" si="5"/>
        <v/>
      </c>
      <c r="AJ67" s="7"/>
      <c r="AK67" s="5" t="str">
        <f>IF($AL67="","",IF(COUNTIF('Logic &amp; Lists'!$A$4:$A$200,$C67)&gt;0,$C67,"Default"))</f>
        <v/>
      </c>
      <c r="AL67" t="str">
        <f>IF($A67&lt;&gt;"",$A67,IF($B67&lt;&gt;"",IFERROR(INDEX(Product_Registry!$A$2:$A$101,MATCH($B67,Product_Registry!$B$2:$B$101,0)),IFERROR(INDEX(Product_Registry!$A$2:$A$101,MATCH("*"&amp;$B67&amp;"*",Product_Registry!$B$2:$B$101,0)),"")),""))</f>
        <v/>
      </c>
      <c r="AM67" t="str">
        <f>IF($AL67="","",IFERROR(INDEX(Product_Registry!$B$2:$B$101,MATCH($AL67,Product_Registry!$A$2:$A$101,0)),""))</f>
        <v/>
      </c>
    </row>
    <row r="68" spans="1:39" x14ac:dyDescent="0.2">
      <c r="A68" s="27"/>
      <c r="B68" s="28"/>
      <c r="C68" s="20" t="str">
        <f>IF($AL68="","",IFERROR(INDEX(Product_Registry!$C$2:$C$101,MATCH($AL68,Product_Registry!$A$2:$A$101,0)),""))</f>
        <v/>
      </c>
      <c r="D68" s="21" t="str">
        <f>IF($AL68="","",IFERROR(INDEX(Product_Registry!$D$2:$D$101,MATCH($AL68,Product_Registry!$A$2:$A$101,0)),""))</f>
        <v/>
      </c>
      <c r="E68" s="17" t="str">
        <f>IF($AL68="","",IFERROR(INDEX(Product_Registry!$E$2:$E$101,MATCH($AL68,Product_Registry!$A$2:$A$101,0)),""))</f>
        <v/>
      </c>
      <c r="F68" s="17" t="str">
        <f>IF($AL68="","",IFERROR(INDEX(Product_Registry!$F$2:$F$101,MATCH($AL68,Product_Registry!$A$2:$A$101,0)),""))</f>
        <v/>
      </c>
      <c r="G68" s="21" t="str">
        <f>IF($AL68="","",IFERROR(INDEX(Product_Registry!$G$2:$G$101,MATCH($AL68,Product_Registry!$A$2:$A$101,0)),""))</f>
        <v/>
      </c>
      <c r="H68" s="21" t="str">
        <f>IF($AL68="","",IFERROR(INDEX(Product_Registry!$H$2:$H$101,MATCH($AL68,Product_Registry!$A$2:$A$101,0)),""))</f>
        <v/>
      </c>
      <c r="I68" s="21" t="str">
        <f>IF($AL68="","",IFERROR(INDEX(Product_Registry!$I$2:$I$101,MATCH($AL68,Product_Registry!$A$2:$A$101,0)),""))</f>
        <v/>
      </c>
      <c r="J68" s="21" t="str">
        <f>IF($AL68="","",IFERROR(INDEX(Product_Registry!$J$2:$J$101,MATCH($AL68,Product_Registry!$A$2:$A$101,0)),""))</f>
        <v/>
      </c>
      <c r="K68" s="21" t="str">
        <f>IF($AL68="","",IFERROR(INDEX(Product_Registry!$K$2:$K$101,MATCH($AL68,Product_Registry!$A$2:$A$101,0)),""))</f>
        <v/>
      </c>
      <c r="L68" s="21" t="str">
        <f>IF($AL68="","",IFERROR(INDEX(Product_Registry!$L$2:$L$101,MATCH($AL68,Product_Registry!$A$2:$A$101,0)),""))</f>
        <v/>
      </c>
      <c r="M68" s="21" t="str">
        <f>IF($AL68="","",IFERROR(INDEX(Product_Registry!$M$2:$M$101,MATCH($AL68,Product_Registry!$A$2:$A$101,0)),""))</f>
        <v/>
      </c>
      <c r="N68" s="6" t="str">
        <f>IF($AL68="","",$E68+SUMIFS('Logic &amp; Lists'!$E$4:$E$200,'Logic &amp; Lists'!$A$4:$A$200,$AK68,'Logic &amp; Lists'!$C$4:$C$200,"Level 1 Schedule"))</f>
        <v/>
      </c>
      <c r="O68" s="6" t="str">
        <f>IF($AL68="","",$P68+SUMIFS('Logic &amp; Lists'!$E$4:$E$200,'Logic &amp; Lists'!$A$4:$A$200,$AK68,'Logic &amp; Lists'!$C$4:$C$200,"Input Frozen"))</f>
        <v/>
      </c>
      <c r="P68" s="6" t="str">
        <f>IF($AL68="","",$Q68+SUMIFS('Logic &amp; Lists'!$E$4:$E$200,'Logic &amp; Lists'!$A$4:$A$200,$AK68,'Logic &amp; Lists'!$C$4:$C$200,"Drawing Approval"))</f>
        <v/>
      </c>
      <c r="Q68" s="6" t="str">
        <f>IF($AL68="","",$S68+SUMIFS('Logic &amp; Lists'!$E$4:$E$200,'Logic &amp; Lists'!$A$4:$A$200,$AK68,'Logic &amp; Lists'!$C$4:$C$200,"BOM Pass to PR"))</f>
        <v/>
      </c>
      <c r="R68" s="6" t="str">
        <f>IF($AL68="","",$S68+SUMIFS('Logic &amp; Lists'!$E$4:$E$200,'Logic &amp; Lists'!$A$4:$A$200,$AK68,'Logic &amp; Lists'!$C$4:$C$200,"PR Schedule"))</f>
        <v/>
      </c>
      <c r="S68" s="6" t="str">
        <f>IF($AL68="","",$T68+SUMIFS('Logic &amp; Lists'!$E$4:$E$200,'Logic &amp; Lists'!$A$4:$A$200,$AK68,'Logic &amp; Lists'!$C$4:$C$200,"Components PO Plan"))</f>
        <v/>
      </c>
      <c r="T68" s="6" t="str">
        <f>IF($AL68="","",$U68+SUMIFS('Logic &amp; Lists'!$E$4:$E$200,'Logic &amp; Lists'!$A$4:$A$200,$AK68,'Logic &amp; Lists'!$C$4:$C$200,"Production Start"))</f>
        <v/>
      </c>
      <c r="U68" s="6" t="str">
        <f>IF($AL68="","",$W68+SUMIFS('Logic &amp; Lists'!$E$4:$E$200,'Logic &amp; Lists'!$A$4:$A$200,$AK68,'Logic &amp; Lists'!$C$4:$C$200,"Production Complete"))</f>
        <v/>
      </c>
      <c r="V68" s="6" t="str">
        <f>IF($AL68="","",$Y68+SUMIFS('Logic &amp; Lists'!$E$4:$E$200,'Logic &amp; Lists'!$A$4:$A$200,$AK68,'Logic &amp; Lists'!$C$4:$C$200,"NOI Date"))</f>
        <v/>
      </c>
      <c r="W68" s="6" t="str">
        <f>IF($AL68="","",$X68+SUMIFS('Logic &amp; Lists'!$E$4:$E$200,'Logic &amp; Lists'!$A$4:$A$200,$AK68,'Logic &amp; Lists'!$C$4:$C$200,"Internal Test Start"))</f>
        <v/>
      </c>
      <c r="X68" s="6" t="str">
        <f>IF($AL68="","",$Y68+SUMIFS('Logic &amp; Lists'!$E$4:$E$200,'Logic &amp; Lists'!$A$4:$A$200,$AK68,'Logic &amp; Lists'!$C$4:$C$200,"Internal Test Complete"))</f>
        <v/>
      </c>
      <c r="Y68" s="6" t="str">
        <f>IF($AL68="","",$AA68+SUMIFS('Logic &amp; Lists'!$E$4:$E$200,'Logic &amp; Lists'!$A$4:$A$200,$AK68,'Logic &amp; Lists'!$C$4:$C$200,"FAT Start"))</f>
        <v/>
      </c>
      <c r="Z68" s="6" t="str">
        <f>IF($AL68="","",$Y68+SUMIFS('Logic &amp; Lists'!$E$4:$E$200,'Logic &amp; Lists'!$A$4:$A$200,$AK68,'Logic &amp; Lists'!$C$4:$C$200,"FAT Complete"))</f>
        <v/>
      </c>
      <c r="AA68" s="6" t="str">
        <f>IF($AL68="","",$F68+SUMIFS('Logic &amp; Lists'!$E$4:$E$200,'Logic &amp; Lists'!$A$4:$A$200,$AK68,'Logic &amp; Lists'!$C$4:$C$200,"Delivery"))</f>
        <v/>
      </c>
      <c r="AB68" s="8"/>
      <c r="AC68" s="8"/>
      <c r="AD68" s="8"/>
      <c r="AE68" s="8"/>
      <c r="AF68" s="16"/>
      <c r="AG68" s="8"/>
      <c r="AH68" s="5" t="str">
        <f t="shared" si="4"/>
        <v/>
      </c>
      <c r="AI68" s="18" t="str">
        <f t="shared" ca="1" si="5"/>
        <v/>
      </c>
      <c r="AJ68" s="7"/>
      <c r="AK68" s="5" t="str">
        <f>IF($AL68="","",IF(COUNTIF('Logic &amp; Lists'!$A$4:$A$200,$C68)&gt;0,$C68,"Default"))</f>
        <v/>
      </c>
      <c r="AL68" t="str">
        <f>IF($A68&lt;&gt;"",$A68,IF($B68&lt;&gt;"",IFERROR(INDEX(Product_Registry!$A$2:$A$101,MATCH($B68,Product_Registry!$B$2:$B$101,0)),IFERROR(INDEX(Product_Registry!$A$2:$A$101,MATCH("*"&amp;$B68&amp;"*",Product_Registry!$B$2:$B$101,0)),"")),""))</f>
        <v/>
      </c>
      <c r="AM68" t="str">
        <f>IF($AL68="","",IFERROR(INDEX(Product_Registry!$B$2:$B$101,MATCH($AL68,Product_Registry!$A$2:$A$101,0)),""))</f>
        <v/>
      </c>
    </row>
    <row r="69" spans="1:39" x14ac:dyDescent="0.2">
      <c r="A69" s="27"/>
      <c r="B69" s="28"/>
      <c r="C69" s="20" t="str">
        <f>IF($AL69="","",IFERROR(INDEX(Product_Registry!$C$2:$C$101,MATCH($AL69,Product_Registry!$A$2:$A$101,0)),""))</f>
        <v/>
      </c>
      <c r="D69" s="21" t="str">
        <f>IF($AL69="","",IFERROR(INDEX(Product_Registry!$D$2:$D$101,MATCH($AL69,Product_Registry!$A$2:$A$101,0)),""))</f>
        <v/>
      </c>
      <c r="E69" s="17" t="str">
        <f>IF($AL69="","",IFERROR(INDEX(Product_Registry!$E$2:$E$101,MATCH($AL69,Product_Registry!$A$2:$A$101,0)),""))</f>
        <v/>
      </c>
      <c r="F69" s="17" t="str">
        <f>IF($AL69="","",IFERROR(INDEX(Product_Registry!$F$2:$F$101,MATCH($AL69,Product_Registry!$A$2:$A$101,0)),""))</f>
        <v/>
      </c>
      <c r="G69" s="21" t="str">
        <f>IF($AL69="","",IFERROR(INDEX(Product_Registry!$G$2:$G$101,MATCH($AL69,Product_Registry!$A$2:$A$101,0)),""))</f>
        <v/>
      </c>
      <c r="H69" s="21" t="str">
        <f>IF($AL69="","",IFERROR(INDEX(Product_Registry!$H$2:$H$101,MATCH($AL69,Product_Registry!$A$2:$A$101,0)),""))</f>
        <v/>
      </c>
      <c r="I69" s="21" t="str">
        <f>IF($AL69="","",IFERROR(INDEX(Product_Registry!$I$2:$I$101,MATCH($AL69,Product_Registry!$A$2:$A$101,0)),""))</f>
        <v/>
      </c>
      <c r="J69" s="21" t="str">
        <f>IF($AL69="","",IFERROR(INDEX(Product_Registry!$J$2:$J$101,MATCH($AL69,Product_Registry!$A$2:$A$101,0)),""))</f>
        <v/>
      </c>
      <c r="K69" s="21" t="str">
        <f>IF($AL69="","",IFERROR(INDEX(Product_Registry!$K$2:$K$101,MATCH($AL69,Product_Registry!$A$2:$A$101,0)),""))</f>
        <v/>
      </c>
      <c r="L69" s="21" t="str">
        <f>IF($AL69="","",IFERROR(INDEX(Product_Registry!$L$2:$L$101,MATCH($AL69,Product_Registry!$A$2:$A$101,0)),""))</f>
        <v/>
      </c>
      <c r="M69" s="21" t="str">
        <f>IF($AL69="","",IFERROR(INDEX(Product_Registry!$M$2:$M$101,MATCH($AL69,Product_Registry!$A$2:$A$101,0)),""))</f>
        <v/>
      </c>
      <c r="N69" s="6" t="str">
        <f>IF($AL69="","",$E69+SUMIFS('Logic &amp; Lists'!$E$4:$E$200,'Logic &amp; Lists'!$A$4:$A$200,$AK69,'Logic &amp; Lists'!$C$4:$C$200,"Level 1 Schedule"))</f>
        <v/>
      </c>
      <c r="O69" s="6" t="str">
        <f>IF($AL69="","",$P69+SUMIFS('Logic &amp; Lists'!$E$4:$E$200,'Logic &amp; Lists'!$A$4:$A$200,$AK69,'Logic &amp; Lists'!$C$4:$C$200,"Input Frozen"))</f>
        <v/>
      </c>
      <c r="P69" s="6" t="str">
        <f>IF($AL69="","",$Q69+SUMIFS('Logic &amp; Lists'!$E$4:$E$200,'Logic &amp; Lists'!$A$4:$A$200,$AK69,'Logic &amp; Lists'!$C$4:$C$200,"Drawing Approval"))</f>
        <v/>
      </c>
      <c r="Q69" s="6" t="str">
        <f>IF($AL69="","",$S69+SUMIFS('Logic &amp; Lists'!$E$4:$E$200,'Logic &amp; Lists'!$A$4:$A$200,$AK69,'Logic &amp; Lists'!$C$4:$C$200,"BOM Pass to PR"))</f>
        <v/>
      </c>
      <c r="R69" s="6" t="str">
        <f>IF($AL69="","",$S69+SUMIFS('Logic &amp; Lists'!$E$4:$E$200,'Logic &amp; Lists'!$A$4:$A$200,$AK69,'Logic &amp; Lists'!$C$4:$C$200,"PR Schedule"))</f>
        <v/>
      </c>
      <c r="S69" s="6" t="str">
        <f>IF($AL69="","",$T69+SUMIFS('Logic &amp; Lists'!$E$4:$E$200,'Logic &amp; Lists'!$A$4:$A$200,$AK69,'Logic &amp; Lists'!$C$4:$C$200,"Components PO Plan"))</f>
        <v/>
      </c>
      <c r="T69" s="6" t="str">
        <f>IF($AL69="","",$U69+SUMIFS('Logic &amp; Lists'!$E$4:$E$200,'Logic &amp; Lists'!$A$4:$A$200,$AK69,'Logic &amp; Lists'!$C$4:$C$200,"Production Start"))</f>
        <v/>
      </c>
      <c r="U69" s="6" t="str">
        <f>IF($AL69="","",$W69+SUMIFS('Logic &amp; Lists'!$E$4:$E$200,'Logic &amp; Lists'!$A$4:$A$200,$AK69,'Logic &amp; Lists'!$C$4:$C$200,"Production Complete"))</f>
        <v/>
      </c>
      <c r="V69" s="6" t="str">
        <f>IF($AL69="","",$Y69+SUMIFS('Logic &amp; Lists'!$E$4:$E$200,'Logic &amp; Lists'!$A$4:$A$200,$AK69,'Logic &amp; Lists'!$C$4:$C$200,"NOI Date"))</f>
        <v/>
      </c>
      <c r="W69" s="6" t="str">
        <f>IF($AL69="","",$X69+SUMIFS('Logic &amp; Lists'!$E$4:$E$200,'Logic &amp; Lists'!$A$4:$A$200,$AK69,'Logic &amp; Lists'!$C$4:$C$200,"Internal Test Start"))</f>
        <v/>
      </c>
      <c r="X69" s="6" t="str">
        <f>IF($AL69="","",$Y69+SUMIFS('Logic &amp; Lists'!$E$4:$E$200,'Logic &amp; Lists'!$A$4:$A$200,$AK69,'Logic &amp; Lists'!$C$4:$C$200,"Internal Test Complete"))</f>
        <v/>
      </c>
      <c r="Y69" s="6" t="str">
        <f>IF($AL69="","",$AA69+SUMIFS('Logic &amp; Lists'!$E$4:$E$200,'Logic &amp; Lists'!$A$4:$A$200,$AK69,'Logic &amp; Lists'!$C$4:$C$200,"FAT Start"))</f>
        <v/>
      </c>
      <c r="Z69" s="6" t="str">
        <f>IF($AL69="","",$Y69+SUMIFS('Logic &amp; Lists'!$E$4:$E$200,'Logic &amp; Lists'!$A$4:$A$200,$AK69,'Logic &amp; Lists'!$C$4:$C$200,"FAT Complete"))</f>
        <v/>
      </c>
      <c r="AA69" s="6" t="str">
        <f>IF($AL69="","",$F69+SUMIFS('Logic &amp; Lists'!$E$4:$E$200,'Logic &amp; Lists'!$A$4:$A$200,$AK69,'Logic &amp; Lists'!$C$4:$C$200,"Delivery"))</f>
        <v/>
      </c>
      <c r="AB69" s="8"/>
      <c r="AC69" s="8"/>
      <c r="AD69" s="8"/>
      <c r="AE69" s="8"/>
      <c r="AF69" s="16"/>
      <c r="AG69" s="8"/>
      <c r="AH69" s="5" t="str">
        <f t="shared" si="4"/>
        <v/>
      </c>
      <c r="AI69" s="18" t="str">
        <f t="shared" ca="1" si="5"/>
        <v/>
      </c>
      <c r="AJ69" s="7"/>
      <c r="AK69" s="5" t="str">
        <f>IF($AL69="","",IF(COUNTIF('Logic &amp; Lists'!$A$4:$A$200,$C69)&gt;0,$C69,"Default"))</f>
        <v/>
      </c>
      <c r="AL69" t="str">
        <f>IF($A69&lt;&gt;"",$A69,IF($B69&lt;&gt;"",IFERROR(INDEX(Product_Registry!$A$2:$A$101,MATCH($B69,Product_Registry!$B$2:$B$101,0)),IFERROR(INDEX(Product_Registry!$A$2:$A$101,MATCH("*"&amp;$B69&amp;"*",Product_Registry!$B$2:$B$101,0)),"")),""))</f>
        <v/>
      </c>
      <c r="AM69" t="str">
        <f>IF($AL69="","",IFERROR(INDEX(Product_Registry!$B$2:$B$101,MATCH($AL69,Product_Registry!$A$2:$A$101,0)),""))</f>
        <v/>
      </c>
    </row>
    <row r="70" spans="1:39" x14ac:dyDescent="0.2">
      <c r="A70" s="27"/>
      <c r="B70" s="28"/>
      <c r="C70" s="20" t="str">
        <f>IF($AL70="","",IFERROR(INDEX(Product_Registry!$C$2:$C$101,MATCH($AL70,Product_Registry!$A$2:$A$101,0)),""))</f>
        <v/>
      </c>
      <c r="D70" s="21" t="str">
        <f>IF($AL70="","",IFERROR(INDEX(Product_Registry!$D$2:$D$101,MATCH($AL70,Product_Registry!$A$2:$A$101,0)),""))</f>
        <v/>
      </c>
      <c r="E70" s="17" t="str">
        <f>IF($AL70="","",IFERROR(INDEX(Product_Registry!$E$2:$E$101,MATCH($AL70,Product_Registry!$A$2:$A$101,0)),""))</f>
        <v/>
      </c>
      <c r="F70" s="17" t="str">
        <f>IF($AL70="","",IFERROR(INDEX(Product_Registry!$F$2:$F$101,MATCH($AL70,Product_Registry!$A$2:$A$101,0)),""))</f>
        <v/>
      </c>
      <c r="G70" s="21" t="str">
        <f>IF($AL70="","",IFERROR(INDEX(Product_Registry!$G$2:$G$101,MATCH($AL70,Product_Registry!$A$2:$A$101,0)),""))</f>
        <v/>
      </c>
      <c r="H70" s="21" t="str">
        <f>IF($AL70="","",IFERROR(INDEX(Product_Registry!$H$2:$H$101,MATCH($AL70,Product_Registry!$A$2:$A$101,0)),""))</f>
        <v/>
      </c>
      <c r="I70" s="21" t="str">
        <f>IF($AL70="","",IFERROR(INDEX(Product_Registry!$I$2:$I$101,MATCH($AL70,Product_Registry!$A$2:$A$101,0)),""))</f>
        <v/>
      </c>
      <c r="J70" s="21" t="str">
        <f>IF($AL70="","",IFERROR(INDEX(Product_Registry!$J$2:$J$101,MATCH($AL70,Product_Registry!$A$2:$A$101,0)),""))</f>
        <v/>
      </c>
      <c r="K70" s="21" t="str">
        <f>IF($AL70="","",IFERROR(INDEX(Product_Registry!$K$2:$K$101,MATCH($AL70,Product_Registry!$A$2:$A$101,0)),""))</f>
        <v/>
      </c>
      <c r="L70" s="21" t="str">
        <f>IF($AL70="","",IFERROR(INDEX(Product_Registry!$L$2:$L$101,MATCH($AL70,Product_Registry!$A$2:$A$101,0)),""))</f>
        <v/>
      </c>
      <c r="M70" s="21" t="str">
        <f>IF($AL70="","",IFERROR(INDEX(Product_Registry!$M$2:$M$101,MATCH($AL70,Product_Registry!$A$2:$A$101,0)),""))</f>
        <v/>
      </c>
      <c r="N70" s="6" t="str">
        <f>IF($AL70="","",$E70+SUMIFS('Logic &amp; Lists'!$E$4:$E$200,'Logic &amp; Lists'!$A$4:$A$200,$AK70,'Logic &amp; Lists'!$C$4:$C$200,"Level 1 Schedule"))</f>
        <v/>
      </c>
      <c r="O70" s="6" t="str">
        <f>IF($AL70="","",$P70+SUMIFS('Logic &amp; Lists'!$E$4:$E$200,'Logic &amp; Lists'!$A$4:$A$200,$AK70,'Logic &amp; Lists'!$C$4:$C$200,"Input Frozen"))</f>
        <v/>
      </c>
      <c r="P70" s="6" t="str">
        <f>IF($AL70="","",$Q70+SUMIFS('Logic &amp; Lists'!$E$4:$E$200,'Logic &amp; Lists'!$A$4:$A$200,$AK70,'Logic &amp; Lists'!$C$4:$C$200,"Drawing Approval"))</f>
        <v/>
      </c>
      <c r="Q70" s="6" t="str">
        <f>IF($AL70="","",$S70+SUMIFS('Logic &amp; Lists'!$E$4:$E$200,'Logic &amp; Lists'!$A$4:$A$200,$AK70,'Logic &amp; Lists'!$C$4:$C$200,"BOM Pass to PR"))</f>
        <v/>
      </c>
      <c r="R70" s="6" t="str">
        <f>IF($AL70="","",$S70+SUMIFS('Logic &amp; Lists'!$E$4:$E$200,'Logic &amp; Lists'!$A$4:$A$200,$AK70,'Logic &amp; Lists'!$C$4:$C$200,"PR Schedule"))</f>
        <v/>
      </c>
      <c r="S70" s="6" t="str">
        <f>IF($AL70="","",$T70+SUMIFS('Logic &amp; Lists'!$E$4:$E$200,'Logic &amp; Lists'!$A$4:$A$200,$AK70,'Logic &amp; Lists'!$C$4:$C$200,"Components PO Plan"))</f>
        <v/>
      </c>
      <c r="T70" s="6" t="str">
        <f>IF($AL70="","",$U70+SUMIFS('Logic &amp; Lists'!$E$4:$E$200,'Logic &amp; Lists'!$A$4:$A$200,$AK70,'Logic &amp; Lists'!$C$4:$C$200,"Production Start"))</f>
        <v/>
      </c>
      <c r="U70" s="6" t="str">
        <f>IF($AL70="","",$W70+SUMIFS('Logic &amp; Lists'!$E$4:$E$200,'Logic &amp; Lists'!$A$4:$A$200,$AK70,'Logic &amp; Lists'!$C$4:$C$200,"Production Complete"))</f>
        <v/>
      </c>
      <c r="V70" s="6" t="str">
        <f>IF($AL70="","",$Y70+SUMIFS('Logic &amp; Lists'!$E$4:$E$200,'Logic &amp; Lists'!$A$4:$A$200,$AK70,'Logic &amp; Lists'!$C$4:$C$200,"NOI Date"))</f>
        <v/>
      </c>
      <c r="W70" s="6" t="str">
        <f>IF($AL70="","",$X70+SUMIFS('Logic &amp; Lists'!$E$4:$E$200,'Logic &amp; Lists'!$A$4:$A$200,$AK70,'Logic &amp; Lists'!$C$4:$C$200,"Internal Test Start"))</f>
        <v/>
      </c>
      <c r="X70" s="6" t="str">
        <f>IF($AL70="","",$Y70+SUMIFS('Logic &amp; Lists'!$E$4:$E$200,'Logic &amp; Lists'!$A$4:$A$200,$AK70,'Logic &amp; Lists'!$C$4:$C$200,"Internal Test Complete"))</f>
        <v/>
      </c>
      <c r="Y70" s="6" t="str">
        <f>IF($AL70="","",$AA70+SUMIFS('Logic &amp; Lists'!$E$4:$E$200,'Logic &amp; Lists'!$A$4:$A$200,$AK70,'Logic &amp; Lists'!$C$4:$C$200,"FAT Start"))</f>
        <v/>
      </c>
      <c r="Z70" s="6" t="str">
        <f>IF($AL70="","",$Y70+SUMIFS('Logic &amp; Lists'!$E$4:$E$200,'Logic &amp; Lists'!$A$4:$A$200,$AK70,'Logic &amp; Lists'!$C$4:$C$200,"FAT Complete"))</f>
        <v/>
      </c>
      <c r="AA70" s="6" t="str">
        <f>IF($AL70="","",$F70+SUMIFS('Logic &amp; Lists'!$E$4:$E$200,'Logic &amp; Lists'!$A$4:$A$200,$AK70,'Logic &amp; Lists'!$C$4:$C$200,"Delivery"))</f>
        <v/>
      </c>
      <c r="AB70" s="8"/>
      <c r="AC70" s="8"/>
      <c r="AD70" s="8"/>
      <c r="AE70" s="8"/>
      <c r="AF70" s="16"/>
      <c r="AG70" s="8"/>
      <c r="AH70" s="5" t="str">
        <f t="shared" si="4"/>
        <v/>
      </c>
      <c r="AI70" s="18" t="str">
        <f t="shared" ca="1" si="5"/>
        <v/>
      </c>
      <c r="AJ70" s="7"/>
      <c r="AK70" s="5" t="str">
        <f>IF($AL70="","",IF(COUNTIF('Logic &amp; Lists'!$A$4:$A$200,$C70)&gt;0,$C70,"Default"))</f>
        <v/>
      </c>
      <c r="AL70" t="str">
        <f>IF($A70&lt;&gt;"",$A70,IF($B70&lt;&gt;"",IFERROR(INDEX(Product_Registry!$A$2:$A$101,MATCH($B70,Product_Registry!$B$2:$B$101,0)),IFERROR(INDEX(Product_Registry!$A$2:$A$101,MATCH("*"&amp;$B70&amp;"*",Product_Registry!$B$2:$B$101,0)),"")),""))</f>
        <v/>
      </c>
      <c r="AM70" t="str">
        <f>IF($AL70="","",IFERROR(INDEX(Product_Registry!$B$2:$B$101,MATCH($AL70,Product_Registry!$A$2:$A$101,0)),""))</f>
        <v/>
      </c>
    </row>
    <row r="71" spans="1:39" x14ac:dyDescent="0.2">
      <c r="A71" s="27"/>
      <c r="B71" s="28"/>
      <c r="C71" s="20" t="str">
        <f>IF($AL71="","",IFERROR(INDEX(Product_Registry!$C$2:$C$101,MATCH($AL71,Product_Registry!$A$2:$A$101,0)),""))</f>
        <v/>
      </c>
      <c r="D71" s="21" t="str">
        <f>IF($AL71="","",IFERROR(INDEX(Product_Registry!$D$2:$D$101,MATCH($AL71,Product_Registry!$A$2:$A$101,0)),""))</f>
        <v/>
      </c>
      <c r="E71" s="17" t="str">
        <f>IF($AL71="","",IFERROR(INDEX(Product_Registry!$E$2:$E$101,MATCH($AL71,Product_Registry!$A$2:$A$101,0)),""))</f>
        <v/>
      </c>
      <c r="F71" s="17" t="str">
        <f>IF($AL71="","",IFERROR(INDEX(Product_Registry!$F$2:$F$101,MATCH($AL71,Product_Registry!$A$2:$A$101,0)),""))</f>
        <v/>
      </c>
      <c r="G71" s="21" t="str">
        <f>IF($AL71="","",IFERROR(INDEX(Product_Registry!$G$2:$G$101,MATCH($AL71,Product_Registry!$A$2:$A$101,0)),""))</f>
        <v/>
      </c>
      <c r="H71" s="21" t="str">
        <f>IF($AL71="","",IFERROR(INDEX(Product_Registry!$H$2:$H$101,MATCH($AL71,Product_Registry!$A$2:$A$101,0)),""))</f>
        <v/>
      </c>
      <c r="I71" s="21" t="str">
        <f>IF($AL71="","",IFERROR(INDEX(Product_Registry!$I$2:$I$101,MATCH($AL71,Product_Registry!$A$2:$A$101,0)),""))</f>
        <v/>
      </c>
      <c r="J71" s="21" t="str">
        <f>IF($AL71="","",IFERROR(INDEX(Product_Registry!$J$2:$J$101,MATCH($AL71,Product_Registry!$A$2:$A$101,0)),""))</f>
        <v/>
      </c>
      <c r="K71" s="21" t="str">
        <f>IF($AL71="","",IFERROR(INDEX(Product_Registry!$K$2:$K$101,MATCH($AL71,Product_Registry!$A$2:$A$101,0)),""))</f>
        <v/>
      </c>
      <c r="L71" s="21" t="str">
        <f>IF($AL71="","",IFERROR(INDEX(Product_Registry!$L$2:$L$101,MATCH($AL71,Product_Registry!$A$2:$A$101,0)),""))</f>
        <v/>
      </c>
      <c r="M71" s="21" t="str">
        <f>IF($AL71="","",IFERROR(INDEX(Product_Registry!$M$2:$M$101,MATCH($AL71,Product_Registry!$A$2:$A$101,0)),""))</f>
        <v/>
      </c>
      <c r="N71" s="6" t="str">
        <f>IF($AL71="","",$E71+SUMIFS('Logic &amp; Lists'!$E$4:$E$200,'Logic &amp; Lists'!$A$4:$A$200,$AK71,'Logic &amp; Lists'!$C$4:$C$200,"Level 1 Schedule"))</f>
        <v/>
      </c>
      <c r="O71" s="6" t="str">
        <f>IF($AL71="","",$P71+SUMIFS('Logic &amp; Lists'!$E$4:$E$200,'Logic &amp; Lists'!$A$4:$A$200,$AK71,'Logic &amp; Lists'!$C$4:$C$200,"Input Frozen"))</f>
        <v/>
      </c>
      <c r="P71" s="6" t="str">
        <f>IF($AL71="","",$Q71+SUMIFS('Logic &amp; Lists'!$E$4:$E$200,'Logic &amp; Lists'!$A$4:$A$200,$AK71,'Logic &amp; Lists'!$C$4:$C$200,"Drawing Approval"))</f>
        <v/>
      </c>
      <c r="Q71" s="6" t="str">
        <f>IF($AL71="","",$S71+SUMIFS('Logic &amp; Lists'!$E$4:$E$200,'Logic &amp; Lists'!$A$4:$A$200,$AK71,'Logic &amp; Lists'!$C$4:$C$200,"BOM Pass to PR"))</f>
        <v/>
      </c>
      <c r="R71" s="6" t="str">
        <f>IF($AL71="","",$S71+SUMIFS('Logic &amp; Lists'!$E$4:$E$200,'Logic &amp; Lists'!$A$4:$A$200,$AK71,'Logic &amp; Lists'!$C$4:$C$200,"PR Schedule"))</f>
        <v/>
      </c>
      <c r="S71" s="6" t="str">
        <f>IF($AL71="","",$T71+SUMIFS('Logic &amp; Lists'!$E$4:$E$200,'Logic &amp; Lists'!$A$4:$A$200,$AK71,'Logic &amp; Lists'!$C$4:$C$200,"Components PO Plan"))</f>
        <v/>
      </c>
      <c r="T71" s="6" t="str">
        <f>IF($AL71="","",$U71+SUMIFS('Logic &amp; Lists'!$E$4:$E$200,'Logic &amp; Lists'!$A$4:$A$200,$AK71,'Logic &amp; Lists'!$C$4:$C$200,"Production Start"))</f>
        <v/>
      </c>
      <c r="U71" s="6" t="str">
        <f>IF($AL71="","",$W71+SUMIFS('Logic &amp; Lists'!$E$4:$E$200,'Logic &amp; Lists'!$A$4:$A$200,$AK71,'Logic &amp; Lists'!$C$4:$C$200,"Production Complete"))</f>
        <v/>
      </c>
      <c r="V71" s="6" t="str">
        <f>IF($AL71="","",$Y71+SUMIFS('Logic &amp; Lists'!$E$4:$E$200,'Logic &amp; Lists'!$A$4:$A$200,$AK71,'Logic &amp; Lists'!$C$4:$C$200,"NOI Date"))</f>
        <v/>
      </c>
      <c r="W71" s="6" t="str">
        <f>IF($AL71="","",$X71+SUMIFS('Logic &amp; Lists'!$E$4:$E$200,'Logic &amp; Lists'!$A$4:$A$200,$AK71,'Logic &amp; Lists'!$C$4:$C$200,"Internal Test Start"))</f>
        <v/>
      </c>
      <c r="X71" s="6" t="str">
        <f>IF($AL71="","",$Y71+SUMIFS('Logic &amp; Lists'!$E$4:$E$200,'Logic &amp; Lists'!$A$4:$A$200,$AK71,'Logic &amp; Lists'!$C$4:$C$200,"Internal Test Complete"))</f>
        <v/>
      </c>
      <c r="Y71" s="6" t="str">
        <f>IF($AL71="","",$AA71+SUMIFS('Logic &amp; Lists'!$E$4:$E$200,'Logic &amp; Lists'!$A$4:$A$200,$AK71,'Logic &amp; Lists'!$C$4:$C$200,"FAT Start"))</f>
        <v/>
      </c>
      <c r="Z71" s="6" t="str">
        <f>IF($AL71="","",$Y71+SUMIFS('Logic &amp; Lists'!$E$4:$E$200,'Logic &amp; Lists'!$A$4:$A$200,$AK71,'Logic &amp; Lists'!$C$4:$C$200,"FAT Complete"))</f>
        <v/>
      </c>
      <c r="AA71" s="6" t="str">
        <f>IF($AL71="","",$F71+SUMIFS('Logic &amp; Lists'!$E$4:$E$200,'Logic &amp; Lists'!$A$4:$A$200,$AK71,'Logic &amp; Lists'!$C$4:$C$200,"Delivery"))</f>
        <v/>
      </c>
      <c r="AB71" s="8"/>
      <c r="AC71" s="8"/>
      <c r="AD71" s="8"/>
      <c r="AE71" s="8"/>
      <c r="AF71" s="16"/>
      <c r="AG71" s="8"/>
      <c r="AH71" s="5" t="str">
        <f t="shared" si="4"/>
        <v/>
      </c>
      <c r="AI71" s="18" t="str">
        <f t="shared" ca="1" si="5"/>
        <v/>
      </c>
      <c r="AJ71" s="7"/>
      <c r="AK71" s="5" t="str">
        <f>IF($AL71="","",IF(COUNTIF('Logic &amp; Lists'!$A$4:$A$200,$C71)&gt;0,$C71,"Default"))</f>
        <v/>
      </c>
      <c r="AL71" t="str">
        <f>IF($A71&lt;&gt;"",$A71,IF($B71&lt;&gt;"",IFERROR(INDEX(Product_Registry!$A$2:$A$101,MATCH($B71,Product_Registry!$B$2:$B$101,0)),IFERROR(INDEX(Product_Registry!$A$2:$A$101,MATCH("*"&amp;$B71&amp;"*",Product_Registry!$B$2:$B$101,0)),"")),""))</f>
        <v/>
      </c>
      <c r="AM71" t="str">
        <f>IF($AL71="","",IFERROR(INDEX(Product_Registry!$B$2:$B$101,MATCH($AL71,Product_Registry!$A$2:$A$101,0)),""))</f>
        <v/>
      </c>
    </row>
    <row r="72" spans="1:39" x14ac:dyDescent="0.2">
      <c r="A72" s="27"/>
      <c r="B72" s="28"/>
      <c r="C72" s="20" t="str">
        <f>IF($AL72="","",IFERROR(INDEX(Product_Registry!$C$2:$C$101,MATCH($AL72,Product_Registry!$A$2:$A$101,0)),""))</f>
        <v/>
      </c>
      <c r="D72" s="21" t="str">
        <f>IF($AL72="","",IFERROR(INDEX(Product_Registry!$D$2:$D$101,MATCH($AL72,Product_Registry!$A$2:$A$101,0)),""))</f>
        <v/>
      </c>
      <c r="E72" s="17" t="str">
        <f>IF($AL72="","",IFERROR(INDEX(Product_Registry!$E$2:$E$101,MATCH($AL72,Product_Registry!$A$2:$A$101,0)),""))</f>
        <v/>
      </c>
      <c r="F72" s="17" t="str">
        <f>IF($AL72="","",IFERROR(INDEX(Product_Registry!$F$2:$F$101,MATCH($AL72,Product_Registry!$A$2:$A$101,0)),""))</f>
        <v/>
      </c>
      <c r="G72" s="21" t="str">
        <f>IF($AL72="","",IFERROR(INDEX(Product_Registry!$G$2:$G$101,MATCH($AL72,Product_Registry!$A$2:$A$101,0)),""))</f>
        <v/>
      </c>
      <c r="H72" s="21" t="str">
        <f>IF($AL72="","",IFERROR(INDEX(Product_Registry!$H$2:$H$101,MATCH($AL72,Product_Registry!$A$2:$A$101,0)),""))</f>
        <v/>
      </c>
      <c r="I72" s="21" t="str">
        <f>IF($AL72="","",IFERROR(INDEX(Product_Registry!$I$2:$I$101,MATCH($AL72,Product_Registry!$A$2:$A$101,0)),""))</f>
        <v/>
      </c>
      <c r="J72" s="21" t="str">
        <f>IF($AL72="","",IFERROR(INDEX(Product_Registry!$J$2:$J$101,MATCH($AL72,Product_Registry!$A$2:$A$101,0)),""))</f>
        <v/>
      </c>
      <c r="K72" s="21" t="str">
        <f>IF($AL72="","",IFERROR(INDEX(Product_Registry!$K$2:$K$101,MATCH($AL72,Product_Registry!$A$2:$A$101,0)),""))</f>
        <v/>
      </c>
      <c r="L72" s="21" t="str">
        <f>IF($AL72="","",IFERROR(INDEX(Product_Registry!$L$2:$L$101,MATCH($AL72,Product_Registry!$A$2:$A$101,0)),""))</f>
        <v/>
      </c>
      <c r="M72" s="21" t="str">
        <f>IF($AL72="","",IFERROR(INDEX(Product_Registry!$M$2:$M$101,MATCH($AL72,Product_Registry!$A$2:$A$101,0)),""))</f>
        <v/>
      </c>
      <c r="N72" s="6" t="str">
        <f>IF($AL72="","",$E72+SUMIFS('Logic &amp; Lists'!$E$4:$E$200,'Logic &amp; Lists'!$A$4:$A$200,$AK72,'Logic &amp; Lists'!$C$4:$C$200,"Level 1 Schedule"))</f>
        <v/>
      </c>
      <c r="O72" s="6" t="str">
        <f>IF($AL72="","",$P72+SUMIFS('Logic &amp; Lists'!$E$4:$E$200,'Logic &amp; Lists'!$A$4:$A$200,$AK72,'Logic &amp; Lists'!$C$4:$C$200,"Input Frozen"))</f>
        <v/>
      </c>
      <c r="P72" s="6" t="str">
        <f>IF($AL72="","",$Q72+SUMIFS('Logic &amp; Lists'!$E$4:$E$200,'Logic &amp; Lists'!$A$4:$A$200,$AK72,'Logic &amp; Lists'!$C$4:$C$200,"Drawing Approval"))</f>
        <v/>
      </c>
      <c r="Q72" s="6" t="str">
        <f>IF($AL72="","",$S72+SUMIFS('Logic &amp; Lists'!$E$4:$E$200,'Logic &amp; Lists'!$A$4:$A$200,$AK72,'Logic &amp; Lists'!$C$4:$C$200,"BOM Pass to PR"))</f>
        <v/>
      </c>
      <c r="R72" s="6" t="str">
        <f>IF($AL72="","",$S72+SUMIFS('Logic &amp; Lists'!$E$4:$E$200,'Logic &amp; Lists'!$A$4:$A$200,$AK72,'Logic &amp; Lists'!$C$4:$C$200,"PR Schedule"))</f>
        <v/>
      </c>
      <c r="S72" s="6" t="str">
        <f>IF($AL72="","",$T72+SUMIFS('Logic &amp; Lists'!$E$4:$E$200,'Logic &amp; Lists'!$A$4:$A$200,$AK72,'Logic &amp; Lists'!$C$4:$C$200,"Components PO Plan"))</f>
        <v/>
      </c>
      <c r="T72" s="6" t="str">
        <f>IF($AL72="","",$U72+SUMIFS('Logic &amp; Lists'!$E$4:$E$200,'Logic &amp; Lists'!$A$4:$A$200,$AK72,'Logic &amp; Lists'!$C$4:$C$200,"Production Start"))</f>
        <v/>
      </c>
      <c r="U72" s="6" t="str">
        <f>IF($AL72="","",$W72+SUMIFS('Logic &amp; Lists'!$E$4:$E$200,'Logic &amp; Lists'!$A$4:$A$200,$AK72,'Logic &amp; Lists'!$C$4:$C$200,"Production Complete"))</f>
        <v/>
      </c>
      <c r="V72" s="6" t="str">
        <f>IF($AL72="","",$Y72+SUMIFS('Logic &amp; Lists'!$E$4:$E$200,'Logic &amp; Lists'!$A$4:$A$200,$AK72,'Logic &amp; Lists'!$C$4:$C$200,"NOI Date"))</f>
        <v/>
      </c>
      <c r="W72" s="6" t="str">
        <f>IF($AL72="","",$X72+SUMIFS('Logic &amp; Lists'!$E$4:$E$200,'Logic &amp; Lists'!$A$4:$A$200,$AK72,'Logic &amp; Lists'!$C$4:$C$200,"Internal Test Start"))</f>
        <v/>
      </c>
      <c r="X72" s="6" t="str">
        <f>IF($AL72="","",$Y72+SUMIFS('Logic &amp; Lists'!$E$4:$E$200,'Logic &amp; Lists'!$A$4:$A$200,$AK72,'Logic &amp; Lists'!$C$4:$C$200,"Internal Test Complete"))</f>
        <v/>
      </c>
      <c r="Y72" s="6" t="str">
        <f>IF($AL72="","",$AA72+SUMIFS('Logic &amp; Lists'!$E$4:$E$200,'Logic &amp; Lists'!$A$4:$A$200,$AK72,'Logic &amp; Lists'!$C$4:$C$200,"FAT Start"))</f>
        <v/>
      </c>
      <c r="Z72" s="6" t="str">
        <f>IF($AL72="","",$Y72+SUMIFS('Logic &amp; Lists'!$E$4:$E$200,'Logic &amp; Lists'!$A$4:$A$200,$AK72,'Logic &amp; Lists'!$C$4:$C$200,"FAT Complete"))</f>
        <v/>
      </c>
      <c r="AA72" s="6" t="str">
        <f>IF($AL72="","",$F72+SUMIFS('Logic &amp; Lists'!$E$4:$E$200,'Logic &amp; Lists'!$A$4:$A$200,$AK72,'Logic &amp; Lists'!$C$4:$C$200,"Delivery"))</f>
        <v/>
      </c>
      <c r="AB72" s="8"/>
      <c r="AC72" s="8"/>
      <c r="AD72" s="8"/>
      <c r="AE72" s="8"/>
      <c r="AF72" s="16"/>
      <c r="AG72" s="8"/>
      <c r="AH72" s="5" t="str">
        <f t="shared" si="4"/>
        <v/>
      </c>
      <c r="AI72" s="18" t="str">
        <f t="shared" ca="1" si="5"/>
        <v/>
      </c>
      <c r="AJ72" s="7"/>
      <c r="AK72" s="5" t="str">
        <f>IF($AL72="","",IF(COUNTIF('Logic &amp; Lists'!$A$4:$A$200,$C72)&gt;0,$C72,"Default"))</f>
        <v/>
      </c>
      <c r="AL72" t="str">
        <f>IF($A72&lt;&gt;"",$A72,IF($B72&lt;&gt;"",IFERROR(INDEX(Product_Registry!$A$2:$A$101,MATCH($B72,Product_Registry!$B$2:$B$101,0)),IFERROR(INDEX(Product_Registry!$A$2:$A$101,MATCH("*"&amp;$B72&amp;"*",Product_Registry!$B$2:$B$101,0)),"")),""))</f>
        <v/>
      </c>
      <c r="AM72" t="str">
        <f>IF($AL72="","",IFERROR(INDEX(Product_Registry!$B$2:$B$101,MATCH($AL72,Product_Registry!$A$2:$A$101,0)),""))</f>
        <v/>
      </c>
    </row>
    <row r="73" spans="1:39" x14ac:dyDescent="0.2">
      <c r="A73" s="27"/>
      <c r="B73" s="28"/>
      <c r="C73" s="20" t="str">
        <f>IF($AL73="","",IFERROR(INDEX(Product_Registry!$C$2:$C$101,MATCH($AL73,Product_Registry!$A$2:$A$101,0)),""))</f>
        <v/>
      </c>
      <c r="D73" s="21" t="str">
        <f>IF($AL73="","",IFERROR(INDEX(Product_Registry!$D$2:$D$101,MATCH($AL73,Product_Registry!$A$2:$A$101,0)),""))</f>
        <v/>
      </c>
      <c r="E73" s="17" t="str">
        <f>IF($AL73="","",IFERROR(INDEX(Product_Registry!$E$2:$E$101,MATCH($AL73,Product_Registry!$A$2:$A$101,0)),""))</f>
        <v/>
      </c>
      <c r="F73" s="17" t="str">
        <f>IF($AL73="","",IFERROR(INDEX(Product_Registry!$F$2:$F$101,MATCH($AL73,Product_Registry!$A$2:$A$101,0)),""))</f>
        <v/>
      </c>
      <c r="G73" s="21" t="str">
        <f>IF($AL73="","",IFERROR(INDEX(Product_Registry!$G$2:$G$101,MATCH($AL73,Product_Registry!$A$2:$A$101,0)),""))</f>
        <v/>
      </c>
      <c r="H73" s="21" t="str">
        <f>IF($AL73="","",IFERROR(INDEX(Product_Registry!$H$2:$H$101,MATCH($AL73,Product_Registry!$A$2:$A$101,0)),""))</f>
        <v/>
      </c>
      <c r="I73" s="21" t="str">
        <f>IF($AL73="","",IFERROR(INDEX(Product_Registry!$I$2:$I$101,MATCH($AL73,Product_Registry!$A$2:$A$101,0)),""))</f>
        <v/>
      </c>
      <c r="J73" s="21" t="str">
        <f>IF($AL73="","",IFERROR(INDEX(Product_Registry!$J$2:$J$101,MATCH($AL73,Product_Registry!$A$2:$A$101,0)),""))</f>
        <v/>
      </c>
      <c r="K73" s="21" t="str">
        <f>IF($AL73="","",IFERROR(INDEX(Product_Registry!$K$2:$K$101,MATCH($AL73,Product_Registry!$A$2:$A$101,0)),""))</f>
        <v/>
      </c>
      <c r="L73" s="21" t="str">
        <f>IF($AL73="","",IFERROR(INDEX(Product_Registry!$L$2:$L$101,MATCH($AL73,Product_Registry!$A$2:$A$101,0)),""))</f>
        <v/>
      </c>
      <c r="M73" s="21" t="str">
        <f>IF($AL73="","",IFERROR(INDEX(Product_Registry!$M$2:$M$101,MATCH($AL73,Product_Registry!$A$2:$A$101,0)),""))</f>
        <v/>
      </c>
      <c r="N73" s="6" t="str">
        <f>IF($AL73="","",$E73+SUMIFS('Logic &amp; Lists'!$E$4:$E$200,'Logic &amp; Lists'!$A$4:$A$200,$AK73,'Logic &amp; Lists'!$C$4:$C$200,"Level 1 Schedule"))</f>
        <v/>
      </c>
      <c r="O73" s="6" t="str">
        <f>IF($AL73="","",$P73+SUMIFS('Logic &amp; Lists'!$E$4:$E$200,'Logic &amp; Lists'!$A$4:$A$200,$AK73,'Logic &amp; Lists'!$C$4:$C$200,"Input Frozen"))</f>
        <v/>
      </c>
      <c r="P73" s="6" t="str">
        <f>IF($AL73="","",$Q73+SUMIFS('Logic &amp; Lists'!$E$4:$E$200,'Logic &amp; Lists'!$A$4:$A$200,$AK73,'Logic &amp; Lists'!$C$4:$C$200,"Drawing Approval"))</f>
        <v/>
      </c>
      <c r="Q73" s="6" t="str">
        <f>IF($AL73="","",$S73+SUMIFS('Logic &amp; Lists'!$E$4:$E$200,'Logic &amp; Lists'!$A$4:$A$200,$AK73,'Logic &amp; Lists'!$C$4:$C$200,"BOM Pass to PR"))</f>
        <v/>
      </c>
      <c r="R73" s="6" t="str">
        <f>IF($AL73="","",$S73+SUMIFS('Logic &amp; Lists'!$E$4:$E$200,'Logic &amp; Lists'!$A$4:$A$200,$AK73,'Logic &amp; Lists'!$C$4:$C$200,"PR Schedule"))</f>
        <v/>
      </c>
      <c r="S73" s="6" t="str">
        <f>IF($AL73="","",$T73+SUMIFS('Logic &amp; Lists'!$E$4:$E$200,'Logic &amp; Lists'!$A$4:$A$200,$AK73,'Logic &amp; Lists'!$C$4:$C$200,"Components PO Plan"))</f>
        <v/>
      </c>
      <c r="T73" s="6" t="str">
        <f>IF($AL73="","",$U73+SUMIFS('Logic &amp; Lists'!$E$4:$E$200,'Logic &amp; Lists'!$A$4:$A$200,$AK73,'Logic &amp; Lists'!$C$4:$C$200,"Production Start"))</f>
        <v/>
      </c>
      <c r="U73" s="6" t="str">
        <f>IF($AL73="","",$W73+SUMIFS('Logic &amp; Lists'!$E$4:$E$200,'Logic &amp; Lists'!$A$4:$A$200,$AK73,'Logic &amp; Lists'!$C$4:$C$200,"Production Complete"))</f>
        <v/>
      </c>
      <c r="V73" s="6" t="str">
        <f>IF($AL73="","",$Y73+SUMIFS('Logic &amp; Lists'!$E$4:$E$200,'Logic &amp; Lists'!$A$4:$A$200,$AK73,'Logic &amp; Lists'!$C$4:$C$200,"NOI Date"))</f>
        <v/>
      </c>
      <c r="W73" s="6" t="str">
        <f>IF($AL73="","",$X73+SUMIFS('Logic &amp; Lists'!$E$4:$E$200,'Logic &amp; Lists'!$A$4:$A$200,$AK73,'Logic &amp; Lists'!$C$4:$C$200,"Internal Test Start"))</f>
        <v/>
      </c>
      <c r="X73" s="6" t="str">
        <f>IF($AL73="","",$Y73+SUMIFS('Logic &amp; Lists'!$E$4:$E$200,'Logic &amp; Lists'!$A$4:$A$200,$AK73,'Logic &amp; Lists'!$C$4:$C$200,"Internal Test Complete"))</f>
        <v/>
      </c>
      <c r="Y73" s="6" t="str">
        <f>IF($AL73="","",$AA73+SUMIFS('Logic &amp; Lists'!$E$4:$E$200,'Logic &amp; Lists'!$A$4:$A$200,$AK73,'Logic &amp; Lists'!$C$4:$C$200,"FAT Start"))</f>
        <v/>
      </c>
      <c r="Z73" s="6" t="str">
        <f>IF($AL73="","",$Y73+SUMIFS('Logic &amp; Lists'!$E$4:$E$200,'Logic &amp; Lists'!$A$4:$A$200,$AK73,'Logic &amp; Lists'!$C$4:$C$200,"FAT Complete"))</f>
        <v/>
      </c>
      <c r="AA73" s="6" t="str">
        <f>IF($AL73="","",$F73+SUMIFS('Logic &amp; Lists'!$E$4:$E$200,'Logic &amp; Lists'!$A$4:$A$200,$AK73,'Logic &amp; Lists'!$C$4:$C$200,"Delivery"))</f>
        <v/>
      </c>
      <c r="AB73" s="8"/>
      <c r="AC73" s="8"/>
      <c r="AD73" s="8"/>
      <c r="AE73" s="8"/>
      <c r="AF73" s="16"/>
      <c r="AG73" s="8"/>
      <c r="AH73" s="5" t="str">
        <f t="shared" si="4"/>
        <v/>
      </c>
      <c r="AI73" s="18" t="str">
        <f t="shared" ca="1" si="5"/>
        <v/>
      </c>
      <c r="AJ73" s="7"/>
      <c r="AK73" s="5" t="str">
        <f>IF($AL73="","",IF(COUNTIF('Logic &amp; Lists'!$A$4:$A$200,$C73)&gt;0,$C73,"Default"))</f>
        <v/>
      </c>
      <c r="AL73" t="str">
        <f>IF($A73&lt;&gt;"",$A73,IF($B73&lt;&gt;"",IFERROR(INDEX(Product_Registry!$A$2:$A$101,MATCH($B73,Product_Registry!$B$2:$B$101,0)),IFERROR(INDEX(Product_Registry!$A$2:$A$101,MATCH("*"&amp;$B73&amp;"*",Product_Registry!$B$2:$B$101,0)),"")),""))</f>
        <v/>
      </c>
      <c r="AM73" t="str">
        <f>IF($AL73="","",IFERROR(INDEX(Product_Registry!$B$2:$B$101,MATCH($AL73,Product_Registry!$A$2:$A$101,0)),""))</f>
        <v/>
      </c>
    </row>
    <row r="74" spans="1:39" x14ac:dyDescent="0.2">
      <c r="A74" s="27"/>
      <c r="B74" s="28"/>
      <c r="C74" s="20" t="str">
        <f>IF($AL74="","",IFERROR(INDEX(Product_Registry!$C$2:$C$101,MATCH($AL74,Product_Registry!$A$2:$A$101,0)),""))</f>
        <v/>
      </c>
      <c r="D74" s="21" t="str">
        <f>IF($AL74="","",IFERROR(INDEX(Product_Registry!$D$2:$D$101,MATCH($AL74,Product_Registry!$A$2:$A$101,0)),""))</f>
        <v/>
      </c>
      <c r="E74" s="17" t="str">
        <f>IF($AL74="","",IFERROR(INDEX(Product_Registry!$E$2:$E$101,MATCH($AL74,Product_Registry!$A$2:$A$101,0)),""))</f>
        <v/>
      </c>
      <c r="F74" s="17" t="str">
        <f>IF($AL74="","",IFERROR(INDEX(Product_Registry!$F$2:$F$101,MATCH($AL74,Product_Registry!$A$2:$A$101,0)),""))</f>
        <v/>
      </c>
      <c r="G74" s="21" t="str">
        <f>IF($AL74="","",IFERROR(INDEX(Product_Registry!$G$2:$G$101,MATCH($AL74,Product_Registry!$A$2:$A$101,0)),""))</f>
        <v/>
      </c>
      <c r="H74" s="21" t="str">
        <f>IF($AL74="","",IFERROR(INDEX(Product_Registry!$H$2:$H$101,MATCH($AL74,Product_Registry!$A$2:$A$101,0)),""))</f>
        <v/>
      </c>
      <c r="I74" s="21" t="str">
        <f>IF($AL74="","",IFERROR(INDEX(Product_Registry!$I$2:$I$101,MATCH($AL74,Product_Registry!$A$2:$A$101,0)),""))</f>
        <v/>
      </c>
      <c r="J74" s="21" t="str">
        <f>IF($AL74="","",IFERROR(INDEX(Product_Registry!$J$2:$J$101,MATCH($AL74,Product_Registry!$A$2:$A$101,0)),""))</f>
        <v/>
      </c>
      <c r="K74" s="21" t="str">
        <f>IF($AL74="","",IFERROR(INDEX(Product_Registry!$K$2:$K$101,MATCH($AL74,Product_Registry!$A$2:$A$101,0)),""))</f>
        <v/>
      </c>
      <c r="L74" s="21" t="str">
        <f>IF($AL74="","",IFERROR(INDEX(Product_Registry!$L$2:$L$101,MATCH($AL74,Product_Registry!$A$2:$A$101,0)),""))</f>
        <v/>
      </c>
      <c r="M74" s="21" t="str">
        <f>IF($AL74="","",IFERROR(INDEX(Product_Registry!$M$2:$M$101,MATCH($AL74,Product_Registry!$A$2:$A$101,0)),""))</f>
        <v/>
      </c>
      <c r="N74" s="6" t="str">
        <f>IF($AL74="","",$E74+SUMIFS('Logic &amp; Lists'!$E$4:$E$200,'Logic &amp; Lists'!$A$4:$A$200,$AK74,'Logic &amp; Lists'!$C$4:$C$200,"Level 1 Schedule"))</f>
        <v/>
      </c>
      <c r="O74" s="6" t="str">
        <f>IF($AL74="","",$P74+SUMIFS('Logic &amp; Lists'!$E$4:$E$200,'Logic &amp; Lists'!$A$4:$A$200,$AK74,'Logic &amp; Lists'!$C$4:$C$200,"Input Frozen"))</f>
        <v/>
      </c>
      <c r="P74" s="6" t="str">
        <f>IF($AL74="","",$Q74+SUMIFS('Logic &amp; Lists'!$E$4:$E$200,'Logic &amp; Lists'!$A$4:$A$200,$AK74,'Logic &amp; Lists'!$C$4:$C$200,"Drawing Approval"))</f>
        <v/>
      </c>
      <c r="Q74" s="6" t="str">
        <f>IF($AL74="","",$S74+SUMIFS('Logic &amp; Lists'!$E$4:$E$200,'Logic &amp; Lists'!$A$4:$A$200,$AK74,'Logic &amp; Lists'!$C$4:$C$200,"BOM Pass to PR"))</f>
        <v/>
      </c>
      <c r="R74" s="6" t="str">
        <f>IF($AL74="","",$S74+SUMIFS('Logic &amp; Lists'!$E$4:$E$200,'Logic &amp; Lists'!$A$4:$A$200,$AK74,'Logic &amp; Lists'!$C$4:$C$200,"PR Schedule"))</f>
        <v/>
      </c>
      <c r="S74" s="6" t="str">
        <f>IF($AL74="","",$T74+SUMIFS('Logic &amp; Lists'!$E$4:$E$200,'Logic &amp; Lists'!$A$4:$A$200,$AK74,'Logic &amp; Lists'!$C$4:$C$200,"Components PO Plan"))</f>
        <v/>
      </c>
      <c r="T74" s="6" t="str">
        <f>IF($AL74="","",$U74+SUMIFS('Logic &amp; Lists'!$E$4:$E$200,'Logic &amp; Lists'!$A$4:$A$200,$AK74,'Logic &amp; Lists'!$C$4:$C$200,"Production Start"))</f>
        <v/>
      </c>
      <c r="U74" s="6" t="str">
        <f>IF($AL74="","",$W74+SUMIFS('Logic &amp; Lists'!$E$4:$E$200,'Logic &amp; Lists'!$A$4:$A$200,$AK74,'Logic &amp; Lists'!$C$4:$C$200,"Production Complete"))</f>
        <v/>
      </c>
      <c r="V74" s="6" t="str">
        <f>IF($AL74="","",$Y74+SUMIFS('Logic &amp; Lists'!$E$4:$E$200,'Logic &amp; Lists'!$A$4:$A$200,$AK74,'Logic &amp; Lists'!$C$4:$C$200,"NOI Date"))</f>
        <v/>
      </c>
      <c r="W74" s="6" t="str">
        <f>IF($AL74="","",$X74+SUMIFS('Logic &amp; Lists'!$E$4:$E$200,'Logic &amp; Lists'!$A$4:$A$200,$AK74,'Logic &amp; Lists'!$C$4:$C$200,"Internal Test Start"))</f>
        <v/>
      </c>
      <c r="X74" s="6" t="str">
        <f>IF($AL74="","",$Y74+SUMIFS('Logic &amp; Lists'!$E$4:$E$200,'Logic &amp; Lists'!$A$4:$A$200,$AK74,'Logic &amp; Lists'!$C$4:$C$200,"Internal Test Complete"))</f>
        <v/>
      </c>
      <c r="Y74" s="6" t="str">
        <f>IF($AL74="","",$AA74+SUMIFS('Logic &amp; Lists'!$E$4:$E$200,'Logic &amp; Lists'!$A$4:$A$200,$AK74,'Logic &amp; Lists'!$C$4:$C$200,"FAT Start"))</f>
        <v/>
      </c>
      <c r="Z74" s="6" t="str">
        <f>IF($AL74="","",$Y74+SUMIFS('Logic &amp; Lists'!$E$4:$E$200,'Logic &amp; Lists'!$A$4:$A$200,$AK74,'Logic &amp; Lists'!$C$4:$C$200,"FAT Complete"))</f>
        <v/>
      </c>
      <c r="AA74" s="6" t="str">
        <f>IF($AL74="","",$F74+SUMIFS('Logic &amp; Lists'!$E$4:$E$200,'Logic &amp; Lists'!$A$4:$A$200,$AK74,'Logic &amp; Lists'!$C$4:$C$200,"Delivery"))</f>
        <v/>
      </c>
      <c r="AB74" s="8"/>
      <c r="AC74" s="8"/>
      <c r="AD74" s="8"/>
      <c r="AE74" s="8"/>
      <c r="AF74" s="16"/>
      <c r="AG74" s="8"/>
      <c r="AH74" s="5" t="str">
        <f t="shared" si="4"/>
        <v/>
      </c>
      <c r="AI74" s="18" t="str">
        <f t="shared" ca="1" si="5"/>
        <v/>
      </c>
      <c r="AJ74" s="7"/>
      <c r="AK74" s="5" t="str">
        <f>IF($AL74="","",IF(COUNTIF('Logic &amp; Lists'!$A$4:$A$200,$C74)&gt;0,$C74,"Default"))</f>
        <v/>
      </c>
      <c r="AL74" t="str">
        <f>IF($A74&lt;&gt;"",$A74,IF($B74&lt;&gt;"",IFERROR(INDEX(Product_Registry!$A$2:$A$101,MATCH($B74,Product_Registry!$B$2:$B$101,0)),IFERROR(INDEX(Product_Registry!$A$2:$A$101,MATCH("*"&amp;$B74&amp;"*",Product_Registry!$B$2:$B$101,0)),"")),""))</f>
        <v/>
      </c>
      <c r="AM74" t="str">
        <f>IF($AL74="","",IFERROR(INDEX(Product_Registry!$B$2:$B$101,MATCH($AL74,Product_Registry!$A$2:$A$101,0)),""))</f>
        <v/>
      </c>
    </row>
    <row r="75" spans="1:39" x14ac:dyDescent="0.2">
      <c r="A75" s="27"/>
      <c r="B75" s="28"/>
      <c r="C75" s="20" t="str">
        <f>IF($AL75="","",IFERROR(INDEX(Product_Registry!$C$2:$C$101,MATCH($AL75,Product_Registry!$A$2:$A$101,0)),""))</f>
        <v/>
      </c>
      <c r="D75" s="21" t="str">
        <f>IF($AL75="","",IFERROR(INDEX(Product_Registry!$D$2:$D$101,MATCH($AL75,Product_Registry!$A$2:$A$101,0)),""))</f>
        <v/>
      </c>
      <c r="E75" s="17" t="str">
        <f>IF($AL75="","",IFERROR(INDEX(Product_Registry!$E$2:$E$101,MATCH($AL75,Product_Registry!$A$2:$A$101,0)),""))</f>
        <v/>
      </c>
      <c r="F75" s="17" t="str">
        <f>IF($AL75="","",IFERROR(INDEX(Product_Registry!$F$2:$F$101,MATCH($AL75,Product_Registry!$A$2:$A$101,0)),""))</f>
        <v/>
      </c>
      <c r="G75" s="21" t="str">
        <f>IF($AL75="","",IFERROR(INDEX(Product_Registry!$G$2:$G$101,MATCH($AL75,Product_Registry!$A$2:$A$101,0)),""))</f>
        <v/>
      </c>
      <c r="H75" s="21" t="str">
        <f>IF($AL75="","",IFERROR(INDEX(Product_Registry!$H$2:$H$101,MATCH($AL75,Product_Registry!$A$2:$A$101,0)),""))</f>
        <v/>
      </c>
      <c r="I75" s="21" t="str">
        <f>IF($AL75="","",IFERROR(INDEX(Product_Registry!$I$2:$I$101,MATCH($AL75,Product_Registry!$A$2:$A$101,0)),""))</f>
        <v/>
      </c>
      <c r="J75" s="21" t="str">
        <f>IF($AL75="","",IFERROR(INDEX(Product_Registry!$J$2:$J$101,MATCH($AL75,Product_Registry!$A$2:$A$101,0)),""))</f>
        <v/>
      </c>
      <c r="K75" s="21" t="str">
        <f>IF($AL75="","",IFERROR(INDEX(Product_Registry!$K$2:$K$101,MATCH($AL75,Product_Registry!$A$2:$A$101,0)),""))</f>
        <v/>
      </c>
      <c r="L75" s="21" t="str">
        <f>IF($AL75="","",IFERROR(INDEX(Product_Registry!$L$2:$L$101,MATCH($AL75,Product_Registry!$A$2:$A$101,0)),""))</f>
        <v/>
      </c>
      <c r="M75" s="21" t="str">
        <f>IF($AL75="","",IFERROR(INDEX(Product_Registry!$M$2:$M$101,MATCH($AL75,Product_Registry!$A$2:$A$101,0)),""))</f>
        <v/>
      </c>
      <c r="N75" s="6" t="str">
        <f>IF($AL75="","",$E75+SUMIFS('Logic &amp; Lists'!$E$4:$E$200,'Logic &amp; Lists'!$A$4:$A$200,$AK75,'Logic &amp; Lists'!$C$4:$C$200,"Level 1 Schedule"))</f>
        <v/>
      </c>
      <c r="O75" s="6" t="str">
        <f>IF($AL75="","",$P75+SUMIFS('Logic &amp; Lists'!$E$4:$E$200,'Logic &amp; Lists'!$A$4:$A$200,$AK75,'Logic &amp; Lists'!$C$4:$C$200,"Input Frozen"))</f>
        <v/>
      </c>
      <c r="P75" s="6" t="str">
        <f>IF($AL75="","",$Q75+SUMIFS('Logic &amp; Lists'!$E$4:$E$200,'Logic &amp; Lists'!$A$4:$A$200,$AK75,'Logic &amp; Lists'!$C$4:$C$200,"Drawing Approval"))</f>
        <v/>
      </c>
      <c r="Q75" s="6" t="str">
        <f>IF($AL75="","",$S75+SUMIFS('Logic &amp; Lists'!$E$4:$E$200,'Logic &amp; Lists'!$A$4:$A$200,$AK75,'Logic &amp; Lists'!$C$4:$C$200,"BOM Pass to PR"))</f>
        <v/>
      </c>
      <c r="R75" s="6" t="str">
        <f>IF($AL75="","",$S75+SUMIFS('Logic &amp; Lists'!$E$4:$E$200,'Logic &amp; Lists'!$A$4:$A$200,$AK75,'Logic &amp; Lists'!$C$4:$C$200,"PR Schedule"))</f>
        <v/>
      </c>
      <c r="S75" s="6" t="str">
        <f>IF($AL75="","",$T75+SUMIFS('Logic &amp; Lists'!$E$4:$E$200,'Logic &amp; Lists'!$A$4:$A$200,$AK75,'Logic &amp; Lists'!$C$4:$C$200,"Components PO Plan"))</f>
        <v/>
      </c>
      <c r="T75" s="6" t="str">
        <f>IF($AL75="","",$U75+SUMIFS('Logic &amp; Lists'!$E$4:$E$200,'Logic &amp; Lists'!$A$4:$A$200,$AK75,'Logic &amp; Lists'!$C$4:$C$200,"Production Start"))</f>
        <v/>
      </c>
      <c r="U75" s="6" t="str">
        <f>IF($AL75="","",$W75+SUMIFS('Logic &amp; Lists'!$E$4:$E$200,'Logic &amp; Lists'!$A$4:$A$200,$AK75,'Logic &amp; Lists'!$C$4:$C$200,"Production Complete"))</f>
        <v/>
      </c>
      <c r="V75" s="6" t="str">
        <f>IF($AL75="","",$Y75+SUMIFS('Logic &amp; Lists'!$E$4:$E$200,'Logic &amp; Lists'!$A$4:$A$200,$AK75,'Logic &amp; Lists'!$C$4:$C$200,"NOI Date"))</f>
        <v/>
      </c>
      <c r="W75" s="6" t="str">
        <f>IF($AL75="","",$X75+SUMIFS('Logic &amp; Lists'!$E$4:$E$200,'Logic &amp; Lists'!$A$4:$A$200,$AK75,'Logic &amp; Lists'!$C$4:$C$200,"Internal Test Start"))</f>
        <v/>
      </c>
      <c r="X75" s="6" t="str">
        <f>IF($AL75="","",$Y75+SUMIFS('Logic &amp; Lists'!$E$4:$E$200,'Logic &amp; Lists'!$A$4:$A$200,$AK75,'Logic &amp; Lists'!$C$4:$C$200,"Internal Test Complete"))</f>
        <v/>
      </c>
      <c r="Y75" s="6" t="str">
        <f>IF($AL75="","",$AA75+SUMIFS('Logic &amp; Lists'!$E$4:$E$200,'Logic &amp; Lists'!$A$4:$A$200,$AK75,'Logic &amp; Lists'!$C$4:$C$200,"FAT Start"))</f>
        <v/>
      </c>
      <c r="Z75" s="6" t="str">
        <f>IF($AL75="","",$Y75+SUMIFS('Logic &amp; Lists'!$E$4:$E$200,'Logic &amp; Lists'!$A$4:$A$200,$AK75,'Logic &amp; Lists'!$C$4:$C$200,"FAT Complete"))</f>
        <v/>
      </c>
      <c r="AA75" s="6" t="str">
        <f>IF($AL75="","",$F75+SUMIFS('Logic &amp; Lists'!$E$4:$E$200,'Logic &amp; Lists'!$A$4:$A$200,$AK75,'Logic &amp; Lists'!$C$4:$C$200,"Delivery"))</f>
        <v/>
      </c>
      <c r="AB75" s="8"/>
      <c r="AC75" s="8"/>
      <c r="AD75" s="8"/>
      <c r="AE75" s="8"/>
      <c r="AF75" s="16"/>
      <c r="AG75" s="8"/>
      <c r="AH75" s="5" t="str">
        <f t="shared" si="4"/>
        <v/>
      </c>
      <c r="AI75" s="18" t="str">
        <f t="shared" ca="1" si="5"/>
        <v/>
      </c>
      <c r="AJ75" s="7"/>
      <c r="AK75" s="5" t="str">
        <f>IF($AL75="","",IF(COUNTIF('Logic &amp; Lists'!$A$4:$A$200,$C75)&gt;0,$C75,"Default"))</f>
        <v/>
      </c>
      <c r="AL75" t="str">
        <f>IF($A75&lt;&gt;"",$A75,IF($B75&lt;&gt;"",IFERROR(INDEX(Product_Registry!$A$2:$A$101,MATCH($B75,Product_Registry!$B$2:$B$101,0)),IFERROR(INDEX(Product_Registry!$A$2:$A$101,MATCH("*"&amp;$B75&amp;"*",Product_Registry!$B$2:$B$101,0)),"")),""))</f>
        <v/>
      </c>
      <c r="AM75" t="str">
        <f>IF($AL75="","",IFERROR(INDEX(Product_Registry!$B$2:$B$101,MATCH($AL75,Product_Registry!$A$2:$A$101,0)),""))</f>
        <v/>
      </c>
    </row>
    <row r="76" spans="1:39" x14ac:dyDescent="0.2">
      <c r="A76" s="27"/>
      <c r="B76" s="28"/>
      <c r="C76" s="20" t="str">
        <f>IF($AL76="","",IFERROR(INDEX(Product_Registry!$C$2:$C$101,MATCH($AL76,Product_Registry!$A$2:$A$101,0)),""))</f>
        <v/>
      </c>
      <c r="D76" s="21" t="str">
        <f>IF($AL76="","",IFERROR(INDEX(Product_Registry!$D$2:$D$101,MATCH($AL76,Product_Registry!$A$2:$A$101,0)),""))</f>
        <v/>
      </c>
      <c r="E76" s="17" t="str">
        <f>IF($AL76="","",IFERROR(INDEX(Product_Registry!$E$2:$E$101,MATCH($AL76,Product_Registry!$A$2:$A$101,0)),""))</f>
        <v/>
      </c>
      <c r="F76" s="17" t="str">
        <f>IF($AL76="","",IFERROR(INDEX(Product_Registry!$F$2:$F$101,MATCH($AL76,Product_Registry!$A$2:$A$101,0)),""))</f>
        <v/>
      </c>
      <c r="G76" s="21" t="str">
        <f>IF($AL76="","",IFERROR(INDEX(Product_Registry!$G$2:$G$101,MATCH($AL76,Product_Registry!$A$2:$A$101,0)),""))</f>
        <v/>
      </c>
      <c r="H76" s="21" t="str">
        <f>IF($AL76="","",IFERROR(INDEX(Product_Registry!$H$2:$H$101,MATCH($AL76,Product_Registry!$A$2:$A$101,0)),""))</f>
        <v/>
      </c>
      <c r="I76" s="21" t="str">
        <f>IF($AL76="","",IFERROR(INDEX(Product_Registry!$I$2:$I$101,MATCH($AL76,Product_Registry!$A$2:$A$101,0)),""))</f>
        <v/>
      </c>
      <c r="J76" s="21" t="str">
        <f>IF($AL76="","",IFERROR(INDEX(Product_Registry!$J$2:$J$101,MATCH($AL76,Product_Registry!$A$2:$A$101,0)),""))</f>
        <v/>
      </c>
      <c r="K76" s="21" t="str">
        <f>IF($AL76="","",IFERROR(INDEX(Product_Registry!$K$2:$K$101,MATCH($AL76,Product_Registry!$A$2:$A$101,0)),""))</f>
        <v/>
      </c>
      <c r="L76" s="21" t="str">
        <f>IF($AL76="","",IFERROR(INDEX(Product_Registry!$L$2:$L$101,MATCH($AL76,Product_Registry!$A$2:$A$101,0)),""))</f>
        <v/>
      </c>
      <c r="M76" s="21" t="str">
        <f>IF($AL76="","",IFERROR(INDEX(Product_Registry!$M$2:$M$101,MATCH($AL76,Product_Registry!$A$2:$A$101,0)),""))</f>
        <v/>
      </c>
      <c r="N76" s="6" t="str">
        <f>IF($AL76="","",$E76+SUMIFS('Logic &amp; Lists'!$E$4:$E$200,'Logic &amp; Lists'!$A$4:$A$200,$AK76,'Logic &amp; Lists'!$C$4:$C$200,"Level 1 Schedule"))</f>
        <v/>
      </c>
      <c r="O76" s="6" t="str">
        <f>IF($AL76="","",$P76+SUMIFS('Logic &amp; Lists'!$E$4:$E$200,'Logic &amp; Lists'!$A$4:$A$200,$AK76,'Logic &amp; Lists'!$C$4:$C$200,"Input Frozen"))</f>
        <v/>
      </c>
      <c r="P76" s="6" t="str">
        <f>IF($AL76="","",$Q76+SUMIFS('Logic &amp; Lists'!$E$4:$E$200,'Logic &amp; Lists'!$A$4:$A$200,$AK76,'Logic &amp; Lists'!$C$4:$C$200,"Drawing Approval"))</f>
        <v/>
      </c>
      <c r="Q76" s="6" t="str">
        <f>IF($AL76="","",$S76+SUMIFS('Logic &amp; Lists'!$E$4:$E$200,'Logic &amp; Lists'!$A$4:$A$200,$AK76,'Logic &amp; Lists'!$C$4:$C$200,"BOM Pass to PR"))</f>
        <v/>
      </c>
      <c r="R76" s="6" t="str">
        <f>IF($AL76="","",$S76+SUMIFS('Logic &amp; Lists'!$E$4:$E$200,'Logic &amp; Lists'!$A$4:$A$200,$AK76,'Logic &amp; Lists'!$C$4:$C$200,"PR Schedule"))</f>
        <v/>
      </c>
      <c r="S76" s="6" t="str">
        <f>IF($AL76="","",$T76+SUMIFS('Logic &amp; Lists'!$E$4:$E$200,'Logic &amp; Lists'!$A$4:$A$200,$AK76,'Logic &amp; Lists'!$C$4:$C$200,"Components PO Plan"))</f>
        <v/>
      </c>
      <c r="T76" s="6" t="str">
        <f>IF($AL76="","",$U76+SUMIFS('Logic &amp; Lists'!$E$4:$E$200,'Logic &amp; Lists'!$A$4:$A$200,$AK76,'Logic &amp; Lists'!$C$4:$C$200,"Production Start"))</f>
        <v/>
      </c>
      <c r="U76" s="6" t="str">
        <f>IF($AL76="","",$W76+SUMIFS('Logic &amp; Lists'!$E$4:$E$200,'Logic &amp; Lists'!$A$4:$A$200,$AK76,'Logic &amp; Lists'!$C$4:$C$200,"Production Complete"))</f>
        <v/>
      </c>
      <c r="V76" s="6" t="str">
        <f>IF($AL76="","",$Y76+SUMIFS('Logic &amp; Lists'!$E$4:$E$200,'Logic &amp; Lists'!$A$4:$A$200,$AK76,'Logic &amp; Lists'!$C$4:$C$200,"NOI Date"))</f>
        <v/>
      </c>
      <c r="W76" s="6" t="str">
        <f>IF($AL76="","",$X76+SUMIFS('Logic &amp; Lists'!$E$4:$E$200,'Logic &amp; Lists'!$A$4:$A$200,$AK76,'Logic &amp; Lists'!$C$4:$C$200,"Internal Test Start"))</f>
        <v/>
      </c>
      <c r="X76" s="6" t="str">
        <f>IF($AL76="","",$Y76+SUMIFS('Logic &amp; Lists'!$E$4:$E$200,'Logic &amp; Lists'!$A$4:$A$200,$AK76,'Logic &amp; Lists'!$C$4:$C$200,"Internal Test Complete"))</f>
        <v/>
      </c>
      <c r="Y76" s="6" t="str">
        <f>IF($AL76="","",$AA76+SUMIFS('Logic &amp; Lists'!$E$4:$E$200,'Logic &amp; Lists'!$A$4:$A$200,$AK76,'Logic &amp; Lists'!$C$4:$C$200,"FAT Start"))</f>
        <v/>
      </c>
      <c r="Z76" s="6" t="str">
        <f>IF($AL76="","",$Y76+SUMIFS('Logic &amp; Lists'!$E$4:$E$200,'Logic &amp; Lists'!$A$4:$A$200,$AK76,'Logic &amp; Lists'!$C$4:$C$200,"FAT Complete"))</f>
        <v/>
      </c>
      <c r="AA76" s="6" t="str">
        <f>IF($AL76="","",$F76+SUMIFS('Logic &amp; Lists'!$E$4:$E$200,'Logic &amp; Lists'!$A$4:$A$200,$AK76,'Logic &amp; Lists'!$C$4:$C$200,"Delivery"))</f>
        <v/>
      </c>
      <c r="AB76" s="8"/>
      <c r="AC76" s="8"/>
      <c r="AD76" s="8"/>
      <c r="AE76" s="8"/>
      <c r="AF76" s="16"/>
      <c r="AG76" s="8"/>
      <c r="AH76" s="5" t="str">
        <f t="shared" si="4"/>
        <v/>
      </c>
      <c r="AI76" s="18" t="str">
        <f t="shared" ca="1" si="5"/>
        <v/>
      </c>
      <c r="AJ76" s="7"/>
      <c r="AK76" s="5" t="str">
        <f>IF($AL76="","",IF(COUNTIF('Logic &amp; Lists'!$A$4:$A$200,$C76)&gt;0,$C76,"Default"))</f>
        <v/>
      </c>
      <c r="AL76" t="str">
        <f>IF($A76&lt;&gt;"",$A76,IF($B76&lt;&gt;"",IFERROR(INDEX(Product_Registry!$A$2:$A$101,MATCH($B76,Product_Registry!$B$2:$B$101,0)),IFERROR(INDEX(Product_Registry!$A$2:$A$101,MATCH("*"&amp;$B76&amp;"*",Product_Registry!$B$2:$B$101,0)),"")),""))</f>
        <v/>
      </c>
      <c r="AM76" t="str">
        <f>IF($AL76="","",IFERROR(INDEX(Product_Registry!$B$2:$B$101,MATCH($AL76,Product_Registry!$A$2:$A$101,0)),""))</f>
        <v/>
      </c>
    </row>
    <row r="77" spans="1:39" x14ac:dyDescent="0.2">
      <c r="A77" s="27"/>
      <c r="B77" s="28"/>
      <c r="C77" s="20" t="str">
        <f>IF($AL77="","",IFERROR(INDEX(Product_Registry!$C$2:$C$101,MATCH($AL77,Product_Registry!$A$2:$A$101,0)),""))</f>
        <v/>
      </c>
      <c r="D77" s="21" t="str">
        <f>IF($AL77="","",IFERROR(INDEX(Product_Registry!$D$2:$D$101,MATCH($AL77,Product_Registry!$A$2:$A$101,0)),""))</f>
        <v/>
      </c>
      <c r="E77" s="17" t="str">
        <f>IF($AL77="","",IFERROR(INDEX(Product_Registry!$E$2:$E$101,MATCH($AL77,Product_Registry!$A$2:$A$101,0)),""))</f>
        <v/>
      </c>
      <c r="F77" s="17" t="str">
        <f>IF($AL77="","",IFERROR(INDEX(Product_Registry!$F$2:$F$101,MATCH($AL77,Product_Registry!$A$2:$A$101,0)),""))</f>
        <v/>
      </c>
      <c r="G77" s="21" t="str">
        <f>IF($AL77="","",IFERROR(INDEX(Product_Registry!$G$2:$G$101,MATCH($AL77,Product_Registry!$A$2:$A$101,0)),""))</f>
        <v/>
      </c>
      <c r="H77" s="21" t="str">
        <f>IF($AL77="","",IFERROR(INDEX(Product_Registry!$H$2:$H$101,MATCH($AL77,Product_Registry!$A$2:$A$101,0)),""))</f>
        <v/>
      </c>
      <c r="I77" s="21" t="str">
        <f>IF($AL77="","",IFERROR(INDEX(Product_Registry!$I$2:$I$101,MATCH($AL77,Product_Registry!$A$2:$A$101,0)),""))</f>
        <v/>
      </c>
      <c r="J77" s="21" t="str">
        <f>IF($AL77="","",IFERROR(INDEX(Product_Registry!$J$2:$J$101,MATCH($AL77,Product_Registry!$A$2:$A$101,0)),""))</f>
        <v/>
      </c>
      <c r="K77" s="21" t="str">
        <f>IF($AL77="","",IFERROR(INDEX(Product_Registry!$K$2:$K$101,MATCH($AL77,Product_Registry!$A$2:$A$101,0)),""))</f>
        <v/>
      </c>
      <c r="L77" s="21" t="str">
        <f>IF($AL77="","",IFERROR(INDEX(Product_Registry!$L$2:$L$101,MATCH($AL77,Product_Registry!$A$2:$A$101,0)),""))</f>
        <v/>
      </c>
      <c r="M77" s="21" t="str">
        <f>IF($AL77="","",IFERROR(INDEX(Product_Registry!$M$2:$M$101,MATCH($AL77,Product_Registry!$A$2:$A$101,0)),""))</f>
        <v/>
      </c>
      <c r="N77" s="6" t="str">
        <f>IF($AL77="","",$E77+SUMIFS('Logic &amp; Lists'!$E$4:$E$200,'Logic &amp; Lists'!$A$4:$A$200,$AK77,'Logic &amp; Lists'!$C$4:$C$200,"Level 1 Schedule"))</f>
        <v/>
      </c>
      <c r="O77" s="6" t="str">
        <f>IF($AL77="","",$P77+SUMIFS('Logic &amp; Lists'!$E$4:$E$200,'Logic &amp; Lists'!$A$4:$A$200,$AK77,'Logic &amp; Lists'!$C$4:$C$200,"Input Frozen"))</f>
        <v/>
      </c>
      <c r="P77" s="6" t="str">
        <f>IF($AL77="","",$Q77+SUMIFS('Logic &amp; Lists'!$E$4:$E$200,'Logic &amp; Lists'!$A$4:$A$200,$AK77,'Logic &amp; Lists'!$C$4:$C$200,"Drawing Approval"))</f>
        <v/>
      </c>
      <c r="Q77" s="6" t="str">
        <f>IF($AL77="","",$S77+SUMIFS('Logic &amp; Lists'!$E$4:$E$200,'Logic &amp; Lists'!$A$4:$A$200,$AK77,'Logic &amp; Lists'!$C$4:$C$200,"BOM Pass to PR"))</f>
        <v/>
      </c>
      <c r="R77" s="6" t="str">
        <f>IF($AL77="","",$S77+SUMIFS('Logic &amp; Lists'!$E$4:$E$200,'Logic &amp; Lists'!$A$4:$A$200,$AK77,'Logic &amp; Lists'!$C$4:$C$200,"PR Schedule"))</f>
        <v/>
      </c>
      <c r="S77" s="6" t="str">
        <f>IF($AL77="","",$T77+SUMIFS('Logic &amp; Lists'!$E$4:$E$200,'Logic &amp; Lists'!$A$4:$A$200,$AK77,'Logic &amp; Lists'!$C$4:$C$200,"Components PO Plan"))</f>
        <v/>
      </c>
      <c r="T77" s="6" t="str">
        <f>IF($AL77="","",$U77+SUMIFS('Logic &amp; Lists'!$E$4:$E$200,'Logic &amp; Lists'!$A$4:$A$200,$AK77,'Logic &amp; Lists'!$C$4:$C$200,"Production Start"))</f>
        <v/>
      </c>
      <c r="U77" s="6" t="str">
        <f>IF($AL77="","",$W77+SUMIFS('Logic &amp; Lists'!$E$4:$E$200,'Logic &amp; Lists'!$A$4:$A$200,$AK77,'Logic &amp; Lists'!$C$4:$C$200,"Production Complete"))</f>
        <v/>
      </c>
      <c r="V77" s="6" t="str">
        <f>IF($AL77="","",$Y77+SUMIFS('Logic &amp; Lists'!$E$4:$E$200,'Logic &amp; Lists'!$A$4:$A$200,$AK77,'Logic &amp; Lists'!$C$4:$C$200,"NOI Date"))</f>
        <v/>
      </c>
      <c r="W77" s="6" t="str">
        <f>IF($AL77="","",$X77+SUMIFS('Logic &amp; Lists'!$E$4:$E$200,'Logic &amp; Lists'!$A$4:$A$200,$AK77,'Logic &amp; Lists'!$C$4:$C$200,"Internal Test Start"))</f>
        <v/>
      </c>
      <c r="X77" s="6" t="str">
        <f>IF($AL77="","",$Y77+SUMIFS('Logic &amp; Lists'!$E$4:$E$200,'Logic &amp; Lists'!$A$4:$A$200,$AK77,'Logic &amp; Lists'!$C$4:$C$200,"Internal Test Complete"))</f>
        <v/>
      </c>
      <c r="Y77" s="6" t="str">
        <f>IF($AL77="","",$AA77+SUMIFS('Logic &amp; Lists'!$E$4:$E$200,'Logic &amp; Lists'!$A$4:$A$200,$AK77,'Logic &amp; Lists'!$C$4:$C$200,"FAT Start"))</f>
        <v/>
      </c>
      <c r="Z77" s="6" t="str">
        <f>IF($AL77="","",$Y77+SUMIFS('Logic &amp; Lists'!$E$4:$E$200,'Logic &amp; Lists'!$A$4:$A$200,$AK77,'Logic &amp; Lists'!$C$4:$C$200,"FAT Complete"))</f>
        <v/>
      </c>
      <c r="AA77" s="6" t="str">
        <f>IF($AL77="","",$F77+SUMIFS('Logic &amp; Lists'!$E$4:$E$200,'Logic &amp; Lists'!$A$4:$A$200,$AK77,'Logic &amp; Lists'!$C$4:$C$200,"Delivery"))</f>
        <v/>
      </c>
      <c r="AB77" s="8"/>
      <c r="AC77" s="8"/>
      <c r="AD77" s="8"/>
      <c r="AE77" s="8"/>
      <c r="AF77" s="16"/>
      <c r="AG77" s="8"/>
      <c r="AH77" s="5" t="str">
        <f t="shared" si="4"/>
        <v/>
      </c>
      <c r="AI77" s="18" t="str">
        <f t="shared" ca="1" si="5"/>
        <v/>
      </c>
      <c r="AJ77" s="7"/>
      <c r="AK77" s="5" t="str">
        <f>IF($AL77="","",IF(COUNTIF('Logic &amp; Lists'!$A$4:$A$200,$C77)&gt;0,$C77,"Default"))</f>
        <v/>
      </c>
      <c r="AL77" t="str">
        <f>IF($A77&lt;&gt;"",$A77,IF($B77&lt;&gt;"",IFERROR(INDEX(Product_Registry!$A$2:$A$101,MATCH($B77,Product_Registry!$B$2:$B$101,0)),IFERROR(INDEX(Product_Registry!$A$2:$A$101,MATCH("*"&amp;$B77&amp;"*",Product_Registry!$B$2:$B$101,0)),"")),""))</f>
        <v/>
      </c>
      <c r="AM77" t="str">
        <f>IF($AL77="","",IFERROR(INDEX(Product_Registry!$B$2:$B$101,MATCH($AL77,Product_Registry!$A$2:$A$101,0)),""))</f>
        <v/>
      </c>
    </row>
    <row r="78" spans="1:39" x14ac:dyDescent="0.2">
      <c r="A78" s="27"/>
      <c r="B78" s="28"/>
      <c r="C78" s="20" t="str">
        <f>IF($AL78="","",IFERROR(INDEX(Product_Registry!$C$2:$C$101,MATCH($AL78,Product_Registry!$A$2:$A$101,0)),""))</f>
        <v/>
      </c>
      <c r="D78" s="21" t="str">
        <f>IF($AL78="","",IFERROR(INDEX(Product_Registry!$D$2:$D$101,MATCH($AL78,Product_Registry!$A$2:$A$101,0)),""))</f>
        <v/>
      </c>
      <c r="E78" s="17" t="str">
        <f>IF($AL78="","",IFERROR(INDEX(Product_Registry!$E$2:$E$101,MATCH($AL78,Product_Registry!$A$2:$A$101,0)),""))</f>
        <v/>
      </c>
      <c r="F78" s="17" t="str">
        <f>IF($AL78="","",IFERROR(INDEX(Product_Registry!$F$2:$F$101,MATCH($AL78,Product_Registry!$A$2:$A$101,0)),""))</f>
        <v/>
      </c>
      <c r="G78" s="21" t="str">
        <f>IF($AL78="","",IFERROR(INDEX(Product_Registry!$G$2:$G$101,MATCH($AL78,Product_Registry!$A$2:$A$101,0)),""))</f>
        <v/>
      </c>
      <c r="H78" s="21" t="str">
        <f>IF($AL78="","",IFERROR(INDEX(Product_Registry!$H$2:$H$101,MATCH($AL78,Product_Registry!$A$2:$A$101,0)),""))</f>
        <v/>
      </c>
      <c r="I78" s="21" t="str">
        <f>IF($AL78="","",IFERROR(INDEX(Product_Registry!$I$2:$I$101,MATCH($AL78,Product_Registry!$A$2:$A$101,0)),""))</f>
        <v/>
      </c>
      <c r="J78" s="21" t="str">
        <f>IF($AL78="","",IFERROR(INDEX(Product_Registry!$J$2:$J$101,MATCH($AL78,Product_Registry!$A$2:$A$101,0)),""))</f>
        <v/>
      </c>
      <c r="K78" s="21" t="str">
        <f>IF($AL78="","",IFERROR(INDEX(Product_Registry!$K$2:$K$101,MATCH($AL78,Product_Registry!$A$2:$A$101,0)),""))</f>
        <v/>
      </c>
      <c r="L78" s="21" t="str">
        <f>IF($AL78="","",IFERROR(INDEX(Product_Registry!$L$2:$L$101,MATCH($AL78,Product_Registry!$A$2:$A$101,0)),""))</f>
        <v/>
      </c>
      <c r="M78" s="21" t="str">
        <f>IF($AL78="","",IFERROR(INDEX(Product_Registry!$M$2:$M$101,MATCH($AL78,Product_Registry!$A$2:$A$101,0)),""))</f>
        <v/>
      </c>
      <c r="N78" s="6" t="str">
        <f>IF($AL78="","",$E78+SUMIFS('Logic &amp; Lists'!$E$4:$E$200,'Logic &amp; Lists'!$A$4:$A$200,$AK78,'Logic &amp; Lists'!$C$4:$C$200,"Level 1 Schedule"))</f>
        <v/>
      </c>
      <c r="O78" s="6" t="str">
        <f>IF($AL78="","",$P78+SUMIFS('Logic &amp; Lists'!$E$4:$E$200,'Logic &amp; Lists'!$A$4:$A$200,$AK78,'Logic &amp; Lists'!$C$4:$C$200,"Input Frozen"))</f>
        <v/>
      </c>
      <c r="P78" s="6" t="str">
        <f>IF($AL78="","",$Q78+SUMIFS('Logic &amp; Lists'!$E$4:$E$200,'Logic &amp; Lists'!$A$4:$A$200,$AK78,'Logic &amp; Lists'!$C$4:$C$200,"Drawing Approval"))</f>
        <v/>
      </c>
      <c r="Q78" s="6" t="str">
        <f>IF($AL78="","",$S78+SUMIFS('Logic &amp; Lists'!$E$4:$E$200,'Logic &amp; Lists'!$A$4:$A$200,$AK78,'Logic &amp; Lists'!$C$4:$C$200,"BOM Pass to PR"))</f>
        <v/>
      </c>
      <c r="R78" s="6" t="str">
        <f>IF($AL78="","",$S78+SUMIFS('Logic &amp; Lists'!$E$4:$E$200,'Logic &amp; Lists'!$A$4:$A$200,$AK78,'Logic &amp; Lists'!$C$4:$C$200,"PR Schedule"))</f>
        <v/>
      </c>
      <c r="S78" s="6" t="str">
        <f>IF($AL78="","",$T78+SUMIFS('Logic &amp; Lists'!$E$4:$E$200,'Logic &amp; Lists'!$A$4:$A$200,$AK78,'Logic &amp; Lists'!$C$4:$C$200,"Components PO Plan"))</f>
        <v/>
      </c>
      <c r="T78" s="6" t="str">
        <f>IF($AL78="","",$U78+SUMIFS('Logic &amp; Lists'!$E$4:$E$200,'Logic &amp; Lists'!$A$4:$A$200,$AK78,'Logic &amp; Lists'!$C$4:$C$200,"Production Start"))</f>
        <v/>
      </c>
      <c r="U78" s="6" t="str">
        <f>IF($AL78="","",$W78+SUMIFS('Logic &amp; Lists'!$E$4:$E$200,'Logic &amp; Lists'!$A$4:$A$200,$AK78,'Logic &amp; Lists'!$C$4:$C$200,"Production Complete"))</f>
        <v/>
      </c>
      <c r="V78" s="6" t="str">
        <f>IF($AL78="","",$Y78+SUMIFS('Logic &amp; Lists'!$E$4:$E$200,'Logic &amp; Lists'!$A$4:$A$200,$AK78,'Logic &amp; Lists'!$C$4:$C$200,"NOI Date"))</f>
        <v/>
      </c>
      <c r="W78" s="6" t="str">
        <f>IF($AL78="","",$X78+SUMIFS('Logic &amp; Lists'!$E$4:$E$200,'Logic &amp; Lists'!$A$4:$A$200,$AK78,'Logic &amp; Lists'!$C$4:$C$200,"Internal Test Start"))</f>
        <v/>
      </c>
      <c r="X78" s="6" t="str">
        <f>IF($AL78="","",$Y78+SUMIFS('Logic &amp; Lists'!$E$4:$E$200,'Logic &amp; Lists'!$A$4:$A$200,$AK78,'Logic &amp; Lists'!$C$4:$C$200,"Internal Test Complete"))</f>
        <v/>
      </c>
      <c r="Y78" s="6" t="str">
        <f>IF($AL78="","",$AA78+SUMIFS('Logic &amp; Lists'!$E$4:$E$200,'Logic &amp; Lists'!$A$4:$A$200,$AK78,'Logic &amp; Lists'!$C$4:$C$200,"FAT Start"))</f>
        <v/>
      </c>
      <c r="Z78" s="6" t="str">
        <f>IF($AL78="","",$Y78+SUMIFS('Logic &amp; Lists'!$E$4:$E$200,'Logic &amp; Lists'!$A$4:$A$200,$AK78,'Logic &amp; Lists'!$C$4:$C$200,"FAT Complete"))</f>
        <v/>
      </c>
      <c r="AA78" s="6" t="str">
        <f>IF($AL78="","",$F78+SUMIFS('Logic &amp; Lists'!$E$4:$E$200,'Logic &amp; Lists'!$A$4:$A$200,$AK78,'Logic &amp; Lists'!$C$4:$C$200,"Delivery"))</f>
        <v/>
      </c>
      <c r="AB78" s="8"/>
      <c r="AC78" s="8"/>
      <c r="AD78" s="8"/>
      <c r="AE78" s="8"/>
      <c r="AF78" s="16"/>
      <c r="AG78" s="8"/>
      <c r="AH78" s="5" t="str">
        <f t="shared" si="4"/>
        <v/>
      </c>
      <c r="AI78" s="18" t="str">
        <f t="shared" ca="1" si="5"/>
        <v/>
      </c>
      <c r="AJ78" s="7"/>
      <c r="AK78" s="5" t="str">
        <f>IF($AL78="","",IF(COUNTIF('Logic &amp; Lists'!$A$4:$A$200,$C78)&gt;0,$C78,"Default"))</f>
        <v/>
      </c>
      <c r="AL78" t="str">
        <f>IF($A78&lt;&gt;"",$A78,IF($B78&lt;&gt;"",IFERROR(INDEX(Product_Registry!$A$2:$A$101,MATCH($B78,Product_Registry!$B$2:$B$101,0)),IFERROR(INDEX(Product_Registry!$A$2:$A$101,MATCH("*"&amp;$B78&amp;"*",Product_Registry!$B$2:$B$101,0)),"")),""))</f>
        <v/>
      </c>
      <c r="AM78" t="str">
        <f>IF($AL78="","",IFERROR(INDEX(Product_Registry!$B$2:$B$101,MATCH($AL78,Product_Registry!$A$2:$A$101,0)),""))</f>
        <v/>
      </c>
    </row>
    <row r="79" spans="1:39" x14ac:dyDescent="0.2">
      <c r="A79" s="27"/>
      <c r="B79" s="28"/>
      <c r="C79" s="20" t="str">
        <f>IF($AL79="","",IFERROR(INDEX(Product_Registry!$C$2:$C$101,MATCH($AL79,Product_Registry!$A$2:$A$101,0)),""))</f>
        <v/>
      </c>
      <c r="D79" s="21" t="str">
        <f>IF($AL79="","",IFERROR(INDEX(Product_Registry!$D$2:$D$101,MATCH($AL79,Product_Registry!$A$2:$A$101,0)),""))</f>
        <v/>
      </c>
      <c r="E79" s="17" t="str">
        <f>IF($AL79="","",IFERROR(INDEX(Product_Registry!$E$2:$E$101,MATCH($AL79,Product_Registry!$A$2:$A$101,0)),""))</f>
        <v/>
      </c>
      <c r="F79" s="17" t="str">
        <f>IF($AL79="","",IFERROR(INDEX(Product_Registry!$F$2:$F$101,MATCH($AL79,Product_Registry!$A$2:$A$101,0)),""))</f>
        <v/>
      </c>
      <c r="G79" s="21" t="str">
        <f>IF($AL79="","",IFERROR(INDEX(Product_Registry!$G$2:$G$101,MATCH($AL79,Product_Registry!$A$2:$A$101,0)),""))</f>
        <v/>
      </c>
      <c r="H79" s="21" t="str">
        <f>IF($AL79="","",IFERROR(INDEX(Product_Registry!$H$2:$H$101,MATCH($AL79,Product_Registry!$A$2:$A$101,0)),""))</f>
        <v/>
      </c>
      <c r="I79" s="21" t="str">
        <f>IF($AL79="","",IFERROR(INDEX(Product_Registry!$I$2:$I$101,MATCH($AL79,Product_Registry!$A$2:$A$101,0)),""))</f>
        <v/>
      </c>
      <c r="J79" s="21" t="str">
        <f>IF($AL79="","",IFERROR(INDEX(Product_Registry!$J$2:$J$101,MATCH($AL79,Product_Registry!$A$2:$A$101,0)),""))</f>
        <v/>
      </c>
      <c r="K79" s="21" t="str">
        <f>IF($AL79="","",IFERROR(INDEX(Product_Registry!$K$2:$K$101,MATCH($AL79,Product_Registry!$A$2:$A$101,0)),""))</f>
        <v/>
      </c>
      <c r="L79" s="21" t="str">
        <f>IF($AL79="","",IFERROR(INDEX(Product_Registry!$L$2:$L$101,MATCH($AL79,Product_Registry!$A$2:$A$101,0)),""))</f>
        <v/>
      </c>
      <c r="M79" s="21" t="str">
        <f>IF($AL79="","",IFERROR(INDEX(Product_Registry!$M$2:$M$101,MATCH($AL79,Product_Registry!$A$2:$A$101,0)),""))</f>
        <v/>
      </c>
      <c r="N79" s="6" t="str">
        <f>IF($AL79="","",$E79+SUMIFS('Logic &amp; Lists'!$E$4:$E$200,'Logic &amp; Lists'!$A$4:$A$200,$AK79,'Logic &amp; Lists'!$C$4:$C$200,"Level 1 Schedule"))</f>
        <v/>
      </c>
      <c r="O79" s="6" t="str">
        <f>IF($AL79="","",$P79+SUMIFS('Logic &amp; Lists'!$E$4:$E$200,'Logic &amp; Lists'!$A$4:$A$200,$AK79,'Logic &amp; Lists'!$C$4:$C$200,"Input Frozen"))</f>
        <v/>
      </c>
      <c r="P79" s="6" t="str">
        <f>IF($AL79="","",$Q79+SUMIFS('Logic &amp; Lists'!$E$4:$E$200,'Logic &amp; Lists'!$A$4:$A$200,$AK79,'Logic &amp; Lists'!$C$4:$C$200,"Drawing Approval"))</f>
        <v/>
      </c>
      <c r="Q79" s="6" t="str">
        <f>IF($AL79="","",$S79+SUMIFS('Logic &amp; Lists'!$E$4:$E$200,'Logic &amp; Lists'!$A$4:$A$200,$AK79,'Logic &amp; Lists'!$C$4:$C$200,"BOM Pass to PR"))</f>
        <v/>
      </c>
      <c r="R79" s="6" t="str">
        <f>IF($AL79="","",$S79+SUMIFS('Logic &amp; Lists'!$E$4:$E$200,'Logic &amp; Lists'!$A$4:$A$200,$AK79,'Logic &amp; Lists'!$C$4:$C$200,"PR Schedule"))</f>
        <v/>
      </c>
      <c r="S79" s="6" t="str">
        <f>IF($AL79="","",$T79+SUMIFS('Logic &amp; Lists'!$E$4:$E$200,'Logic &amp; Lists'!$A$4:$A$200,$AK79,'Logic &amp; Lists'!$C$4:$C$200,"Components PO Plan"))</f>
        <v/>
      </c>
      <c r="T79" s="6" t="str">
        <f>IF($AL79="","",$U79+SUMIFS('Logic &amp; Lists'!$E$4:$E$200,'Logic &amp; Lists'!$A$4:$A$200,$AK79,'Logic &amp; Lists'!$C$4:$C$200,"Production Start"))</f>
        <v/>
      </c>
      <c r="U79" s="6" t="str">
        <f>IF($AL79="","",$W79+SUMIFS('Logic &amp; Lists'!$E$4:$E$200,'Logic &amp; Lists'!$A$4:$A$200,$AK79,'Logic &amp; Lists'!$C$4:$C$200,"Production Complete"))</f>
        <v/>
      </c>
      <c r="V79" s="6" t="str">
        <f>IF($AL79="","",$Y79+SUMIFS('Logic &amp; Lists'!$E$4:$E$200,'Logic &amp; Lists'!$A$4:$A$200,$AK79,'Logic &amp; Lists'!$C$4:$C$200,"NOI Date"))</f>
        <v/>
      </c>
      <c r="W79" s="6" t="str">
        <f>IF($AL79="","",$X79+SUMIFS('Logic &amp; Lists'!$E$4:$E$200,'Logic &amp; Lists'!$A$4:$A$200,$AK79,'Logic &amp; Lists'!$C$4:$C$200,"Internal Test Start"))</f>
        <v/>
      </c>
      <c r="X79" s="6" t="str">
        <f>IF($AL79="","",$Y79+SUMIFS('Logic &amp; Lists'!$E$4:$E$200,'Logic &amp; Lists'!$A$4:$A$200,$AK79,'Logic &amp; Lists'!$C$4:$C$200,"Internal Test Complete"))</f>
        <v/>
      </c>
      <c r="Y79" s="6" t="str">
        <f>IF($AL79="","",$AA79+SUMIFS('Logic &amp; Lists'!$E$4:$E$200,'Logic &amp; Lists'!$A$4:$A$200,$AK79,'Logic &amp; Lists'!$C$4:$C$200,"FAT Start"))</f>
        <v/>
      </c>
      <c r="Z79" s="6" t="str">
        <f>IF($AL79="","",$Y79+SUMIFS('Logic &amp; Lists'!$E$4:$E$200,'Logic &amp; Lists'!$A$4:$A$200,$AK79,'Logic &amp; Lists'!$C$4:$C$200,"FAT Complete"))</f>
        <v/>
      </c>
      <c r="AA79" s="6" t="str">
        <f>IF($AL79="","",$F79+SUMIFS('Logic &amp; Lists'!$E$4:$E$200,'Logic &amp; Lists'!$A$4:$A$200,$AK79,'Logic &amp; Lists'!$C$4:$C$200,"Delivery"))</f>
        <v/>
      </c>
      <c r="AB79" s="8"/>
      <c r="AC79" s="8"/>
      <c r="AD79" s="8"/>
      <c r="AE79" s="8"/>
      <c r="AF79" s="16"/>
      <c r="AG79" s="8"/>
      <c r="AH79" s="5" t="str">
        <f t="shared" si="4"/>
        <v/>
      </c>
      <c r="AI79" s="18" t="str">
        <f t="shared" ca="1" si="5"/>
        <v/>
      </c>
      <c r="AJ79" s="7"/>
      <c r="AK79" s="5" t="str">
        <f>IF($AL79="","",IF(COUNTIF('Logic &amp; Lists'!$A$4:$A$200,$C79)&gt;0,$C79,"Default"))</f>
        <v/>
      </c>
      <c r="AL79" t="str">
        <f>IF($A79&lt;&gt;"",$A79,IF($B79&lt;&gt;"",IFERROR(INDEX(Product_Registry!$A$2:$A$101,MATCH($B79,Product_Registry!$B$2:$B$101,0)),IFERROR(INDEX(Product_Registry!$A$2:$A$101,MATCH("*"&amp;$B79&amp;"*",Product_Registry!$B$2:$B$101,0)),"")),""))</f>
        <v/>
      </c>
      <c r="AM79" t="str">
        <f>IF($AL79="","",IFERROR(INDEX(Product_Registry!$B$2:$B$101,MATCH($AL79,Product_Registry!$A$2:$A$101,0)),""))</f>
        <v/>
      </c>
    </row>
    <row r="80" spans="1:39" x14ac:dyDescent="0.2">
      <c r="A80" s="27"/>
      <c r="B80" s="28"/>
      <c r="C80" s="20" t="str">
        <f>IF($AL80="","",IFERROR(INDEX(Product_Registry!$C$2:$C$101,MATCH($AL80,Product_Registry!$A$2:$A$101,0)),""))</f>
        <v/>
      </c>
      <c r="D80" s="21" t="str">
        <f>IF($AL80="","",IFERROR(INDEX(Product_Registry!$D$2:$D$101,MATCH($AL80,Product_Registry!$A$2:$A$101,0)),""))</f>
        <v/>
      </c>
      <c r="E80" s="17" t="str">
        <f>IF($AL80="","",IFERROR(INDEX(Product_Registry!$E$2:$E$101,MATCH($AL80,Product_Registry!$A$2:$A$101,0)),""))</f>
        <v/>
      </c>
      <c r="F80" s="17" t="str">
        <f>IF($AL80="","",IFERROR(INDEX(Product_Registry!$F$2:$F$101,MATCH($AL80,Product_Registry!$A$2:$A$101,0)),""))</f>
        <v/>
      </c>
      <c r="G80" s="21" t="str">
        <f>IF($AL80="","",IFERROR(INDEX(Product_Registry!$G$2:$G$101,MATCH($AL80,Product_Registry!$A$2:$A$101,0)),""))</f>
        <v/>
      </c>
      <c r="H80" s="21" t="str">
        <f>IF($AL80="","",IFERROR(INDEX(Product_Registry!$H$2:$H$101,MATCH($AL80,Product_Registry!$A$2:$A$101,0)),""))</f>
        <v/>
      </c>
      <c r="I80" s="21" t="str">
        <f>IF($AL80="","",IFERROR(INDEX(Product_Registry!$I$2:$I$101,MATCH($AL80,Product_Registry!$A$2:$A$101,0)),""))</f>
        <v/>
      </c>
      <c r="J80" s="21" t="str">
        <f>IF($AL80="","",IFERROR(INDEX(Product_Registry!$J$2:$J$101,MATCH($AL80,Product_Registry!$A$2:$A$101,0)),""))</f>
        <v/>
      </c>
      <c r="K80" s="21" t="str">
        <f>IF($AL80="","",IFERROR(INDEX(Product_Registry!$K$2:$K$101,MATCH($AL80,Product_Registry!$A$2:$A$101,0)),""))</f>
        <v/>
      </c>
      <c r="L80" s="21" t="str">
        <f>IF($AL80="","",IFERROR(INDEX(Product_Registry!$L$2:$L$101,MATCH($AL80,Product_Registry!$A$2:$A$101,0)),""))</f>
        <v/>
      </c>
      <c r="M80" s="21" t="str">
        <f>IF($AL80="","",IFERROR(INDEX(Product_Registry!$M$2:$M$101,MATCH($AL80,Product_Registry!$A$2:$A$101,0)),""))</f>
        <v/>
      </c>
      <c r="N80" s="6" t="str">
        <f>IF($AL80="","",$E80+SUMIFS('Logic &amp; Lists'!$E$4:$E$200,'Logic &amp; Lists'!$A$4:$A$200,$AK80,'Logic &amp; Lists'!$C$4:$C$200,"Level 1 Schedule"))</f>
        <v/>
      </c>
      <c r="O80" s="6" t="str">
        <f>IF($AL80="","",$P80+SUMIFS('Logic &amp; Lists'!$E$4:$E$200,'Logic &amp; Lists'!$A$4:$A$200,$AK80,'Logic &amp; Lists'!$C$4:$C$200,"Input Frozen"))</f>
        <v/>
      </c>
      <c r="P80" s="6" t="str">
        <f>IF($AL80="","",$Q80+SUMIFS('Logic &amp; Lists'!$E$4:$E$200,'Logic &amp; Lists'!$A$4:$A$200,$AK80,'Logic &amp; Lists'!$C$4:$C$200,"Drawing Approval"))</f>
        <v/>
      </c>
      <c r="Q80" s="6" t="str">
        <f>IF($AL80="","",$S80+SUMIFS('Logic &amp; Lists'!$E$4:$E$200,'Logic &amp; Lists'!$A$4:$A$200,$AK80,'Logic &amp; Lists'!$C$4:$C$200,"BOM Pass to PR"))</f>
        <v/>
      </c>
      <c r="R80" s="6" t="str">
        <f>IF($AL80="","",$S80+SUMIFS('Logic &amp; Lists'!$E$4:$E$200,'Logic &amp; Lists'!$A$4:$A$200,$AK80,'Logic &amp; Lists'!$C$4:$C$200,"PR Schedule"))</f>
        <v/>
      </c>
      <c r="S80" s="6" t="str">
        <f>IF($AL80="","",$T80+SUMIFS('Logic &amp; Lists'!$E$4:$E$200,'Logic &amp; Lists'!$A$4:$A$200,$AK80,'Logic &amp; Lists'!$C$4:$C$200,"Components PO Plan"))</f>
        <v/>
      </c>
      <c r="T80" s="6" t="str">
        <f>IF($AL80="","",$U80+SUMIFS('Logic &amp; Lists'!$E$4:$E$200,'Logic &amp; Lists'!$A$4:$A$200,$AK80,'Logic &amp; Lists'!$C$4:$C$200,"Production Start"))</f>
        <v/>
      </c>
      <c r="U80" s="6" t="str">
        <f>IF($AL80="","",$W80+SUMIFS('Logic &amp; Lists'!$E$4:$E$200,'Logic &amp; Lists'!$A$4:$A$200,$AK80,'Logic &amp; Lists'!$C$4:$C$200,"Production Complete"))</f>
        <v/>
      </c>
      <c r="V80" s="6" t="str">
        <f>IF($AL80="","",$Y80+SUMIFS('Logic &amp; Lists'!$E$4:$E$200,'Logic &amp; Lists'!$A$4:$A$200,$AK80,'Logic &amp; Lists'!$C$4:$C$200,"NOI Date"))</f>
        <v/>
      </c>
      <c r="W80" s="6" t="str">
        <f>IF($AL80="","",$X80+SUMIFS('Logic &amp; Lists'!$E$4:$E$200,'Logic &amp; Lists'!$A$4:$A$200,$AK80,'Logic &amp; Lists'!$C$4:$C$200,"Internal Test Start"))</f>
        <v/>
      </c>
      <c r="X80" s="6" t="str">
        <f>IF($AL80="","",$Y80+SUMIFS('Logic &amp; Lists'!$E$4:$E$200,'Logic &amp; Lists'!$A$4:$A$200,$AK80,'Logic &amp; Lists'!$C$4:$C$200,"Internal Test Complete"))</f>
        <v/>
      </c>
      <c r="Y80" s="6" t="str">
        <f>IF($AL80="","",$AA80+SUMIFS('Logic &amp; Lists'!$E$4:$E$200,'Logic &amp; Lists'!$A$4:$A$200,$AK80,'Logic &amp; Lists'!$C$4:$C$200,"FAT Start"))</f>
        <v/>
      </c>
      <c r="Z80" s="6" t="str">
        <f>IF($AL80="","",$Y80+SUMIFS('Logic &amp; Lists'!$E$4:$E$200,'Logic &amp; Lists'!$A$4:$A$200,$AK80,'Logic &amp; Lists'!$C$4:$C$200,"FAT Complete"))</f>
        <v/>
      </c>
      <c r="AA80" s="6" t="str">
        <f>IF($AL80="","",$F80+SUMIFS('Logic &amp; Lists'!$E$4:$E$200,'Logic &amp; Lists'!$A$4:$A$200,$AK80,'Logic &amp; Lists'!$C$4:$C$200,"Delivery"))</f>
        <v/>
      </c>
      <c r="AB80" s="8"/>
      <c r="AC80" s="8"/>
      <c r="AD80" s="8"/>
      <c r="AE80" s="8"/>
      <c r="AF80" s="16"/>
      <c r="AG80" s="8"/>
      <c r="AH80" s="5" t="str">
        <f t="shared" si="4"/>
        <v/>
      </c>
      <c r="AI80" s="18" t="str">
        <f t="shared" ca="1" si="5"/>
        <v/>
      </c>
      <c r="AJ80" s="7"/>
      <c r="AK80" s="5" t="str">
        <f>IF($AL80="","",IF(COUNTIF('Logic &amp; Lists'!$A$4:$A$200,$C80)&gt;0,$C80,"Default"))</f>
        <v/>
      </c>
      <c r="AL80" t="str">
        <f>IF($A80&lt;&gt;"",$A80,IF($B80&lt;&gt;"",IFERROR(INDEX(Product_Registry!$A$2:$A$101,MATCH($B80,Product_Registry!$B$2:$B$101,0)),IFERROR(INDEX(Product_Registry!$A$2:$A$101,MATCH("*"&amp;$B80&amp;"*",Product_Registry!$B$2:$B$101,0)),"")),""))</f>
        <v/>
      </c>
      <c r="AM80" t="str">
        <f>IF($AL80="","",IFERROR(INDEX(Product_Registry!$B$2:$B$101,MATCH($AL80,Product_Registry!$A$2:$A$101,0)),""))</f>
        <v/>
      </c>
    </row>
    <row r="81" spans="1:39" x14ac:dyDescent="0.2">
      <c r="A81" s="27"/>
      <c r="B81" s="28"/>
      <c r="C81" s="20" t="str">
        <f>IF($AL81="","",IFERROR(INDEX(Product_Registry!$C$2:$C$101,MATCH($AL81,Product_Registry!$A$2:$A$101,0)),""))</f>
        <v/>
      </c>
      <c r="D81" s="21" t="str">
        <f>IF($AL81="","",IFERROR(INDEX(Product_Registry!$D$2:$D$101,MATCH($AL81,Product_Registry!$A$2:$A$101,0)),""))</f>
        <v/>
      </c>
      <c r="E81" s="17" t="str">
        <f>IF($AL81="","",IFERROR(INDEX(Product_Registry!$E$2:$E$101,MATCH($AL81,Product_Registry!$A$2:$A$101,0)),""))</f>
        <v/>
      </c>
      <c r="F81" s="17" t="str">
        <f>IF($AL81="","",IFERROR(INDEX(Product_Registry!$F$2:$F$101,MATCH($AL81,Product_Registry!$A$2:$A$101,0)),""))</f>
        <v/>
      </c>
      <c r="G81" s="21" t="str">
        <f>IF($AL81="","",IFERROR(INDEX(Product_Registry!$G$2:$G$101,MATCH($AL81,Product_Registry!$A$2:$A$101,0)),""))</f>
        <v/>
      </c>
      <c r="H81" s="21" t="str">
        <f>IF($AL81="","",IFERROR(INDEX(Product_Registry!$H$2:$H$101,MATCH($AL81,Product_Registry!$A$2:$A$101,0)),""))</f>
        <v/>
      </c>
      <c r="I81" s="21" t="str">
        <f>IF($AL81="","",IFERROR(INDEX(Product_Registry!$I$2:$I$101,MATCH($AL81,Product_Registry!$A$2:$A$101,0)),""))</f>
        <v/>
      </c>
      <c r="J81" s="21" t="str">
        <f>IF($AL81="","",IFERROR(INDEX(Product_Registry!$J$2:$J$101,MATCH($AL81,Product_Registry!$A$2:$A$101,0)),""))</f>
        <v/>
      </c>
      <c r="K81" s="21" t="str">
        <f>IF($AL81="","",IFERROR(INDEX(Product_Registry!$K$2:$K$101,MATCH($AL81,Product_Registry!$A$2:$A$101,0)),""))</f>
        <v/>
      </c>
      <c r="L81" s="21" t="str">
        <f>IF($AL81="","",IFERROR(INDEX(Product_Registry!$L$2:$L$101,MATCH($AL81,Product_Registry!$A$2:$A$101,0)),""))</f>
        <v/>
      </c>
      <c r="M81" s="21" t="str">
        <f>IF($AL81="","",IFERROR(INDEX(Product_Registry!$M$2:$M$101,MATCH($AL81,Product_Registry!$A$2:$A$101,0)),""))</f>
        <v/>
      </c>
      <c r="N81" s="6" t="str">
        <f>IF($AL81="","",$E81+SUMIFS('Logic &amp; Lists'!$E$4:$E$200,'Logic &amp; Lists'!$A$4:$A$200,$AK81,'Logic &amp; Lists'!$C$4:$C$200,"Level 1 Schedule"))</f>
        <v/>
      </c>
      <c r="O81" s="6" t="str">
        <f>IF($AL81="","",$P81+SUMIFS('Logic &amp; Lists'!$E$4:$E$200,'Logic &amp; Lists'!$A$4:$A$200,$AK81,'Logic &amp; Lists'!$C$4:$C$200,"Input Frozen"))</f>
        <v/>
      </c>
      <c r="P81" s="6" t="str">
        <f>IF($AL81="","",$Q81+SUMIFS('Logic &amp; Lists'!$E$4:$E$200,'Logic &amp; Lists'!$A$4:$A$200,$AK81,'Logic &amp; Lists'!$C$4:$C$200,"Drawing Approval"))</f>
        <v/>
      </c>
      <c r="Q81" s="6" t="str">
        <f>IF($AL81="","",$S81+SUMIFS('Logic &amp; Lists'!$E$4:$E$200,'Logic &amp; Lists'!$A$4:$A$200,$AK81,'Logic &amp; Lists'!$C$4:$C$200,"BOM Pass to PR"))</f>
        <v/>
      </c>
      <c r="R81" s="6" t="str">
        <f>IF($AL81="","",$S81+SUMIFS('Logic &amp; Lists'!$E$4:$E$200,'Logic &amp; Lists'!$A$4:$A$200,$AK81,'Logic &amp; Lists'!$C$4:$C$200,"PR Schedule"))</f>
        <v/>
      </c>
      <c r="S81" s="6" t="str">
        <f>IF($AL81="","",$T81+SUMIFS('Logic &amp; Lists'!$E$4:$E$200,'Logic &amp; Lists'!$A$4:$A$200,$AK81,'Logic &amp; Lists'!$C$4:$C$200,"Components PO Plan"))</f>
        <v/>
      </c>
      <c r="T81" s="6" t="str">
        <f>IF($AL81="","",$U81+SUMIFS('Logic &amp; Lists'!$E$4:$E$200,'Logic &amp; Lists'!$A$4:$A$200,$AK81,'Logic &amp; Lists'!$C$4:$C$200,"Production Start"))</f>
        <v/>
      </c>
      <c r="U81" s="6" t="str">
        <f>IF($AL81="","",$W81+SUMIFS('Logic &amp; Lists'!$E$4:$E$200,'Logic &amp; Lists'!$A$4:$A$200,$AK81,'Logic &amp; Lists'!$C$4:$C$200,"Production Complete"))</f>
        <v/>
      </c>
      <c r="V81" s="6" t="str">
        <f>IF($AL81="","",$Y81+SUMIFS('Logic &amp; Lists'!$E$4:$E$200,'Logic &amp; Lists'!$A$4:$A$200,$AK81,'Logic &amp; Lists'!$C$4:$C$200,"NOI Date"))</f>
        <v/>
      </c>
      <c r="W81" s="6" t="str">
        <f>IF($AL81="","",$X81+SUMIFS('Logic &amp; Lists'!$E$4:$E$200,'Logic &amp; Lists'!$A$4:$A$200,$AK81,'Logic &amp; Lists'!$C$4:$C$200,"Internal Test Start"))</f>
        <v/>
      </c>
      <c r="X81" s="6" t="str">
        <f>IF($AL81="","",$Y81+SUMIFS('Logic &amp; Lists'!$E$4:$E$200,'Logic &amp; Lists'!$A$4:$A$200,$AK81,'Logic &amp; Lists'!$C$4:$C$200,"Internal Test Complete"))</f>
        <v/>
      </c>
      <c r="Y81" s="6" t="str">
        <f>IF($AL81="","",$AA81+SUMIFS('Logic &amp; Lists'!$E$4:$E$200,'Logic &amp; Lists'!$A$4:$A$200,$AK81,'Logic &amp; Lists'!$C$4:$C$200,"FAT Start"))</f>
        <v/>
      </c>
      <c r="Z81" s="6" t="str">
        <f>IF($AL81="","",$Y81+SUMIFS('Logic &amp; Lists'!$E$4:$E$200,'Logic &amp; Lists'!$A$4:$A$200,$AK81,'Logic &amp; Lists'!$C$4:$C$200,"FAT Complete"))</f>
        <v/>
      </c>
      <c r="AA81" s="6" t="str">
        <f>IF($AL81="","",$F81+SUMIFS('Logic &amp; Lists'!$E$4:$E$200,'Logic &amp; Lists'!$A$4:$A$200,$AK81,'Logic &amp; Lists'!$C$4:$C$200,"Delivery"))</f>
        <v/>
      </c>
      <c r="AB81" s="8"/>
      <c r="AC81" s="8"/>
      <c r="AD81" s="8"/>
      <c r="AE81" s="8"/>
      <c r="AF81" s="16"/>
      <c r="AG81" s="8"/>
      <c r="AH81" s="5" t="str">
        <f t="shared" si="4"/>
        <v/>
      </c>
      <c r="AI81" s="18" t="str">
        <f t="shared" ca="1" si="5"/>
        <v/>
      </c>
      <c r="AJ81" s="7"/>
      <c r="AK81" s="5" t="str">
        <f>IF($AL81="","",IF(COUNTIF('Logic &amp; Lists'!$A$4:$A$200,$C81)&gt;0,$C81,"Default"))</f>
        <v/>
      </c>
      <c r="AL81" t="str">
        <f>IF($A81&lt;&gt;"",$A81,IF($B81&lt;&gt;"",IFERROR(INDEX(Product_Registry!$A$2:$A$101,MATCH($B81,Product_Registry!$B$2:$B$101,0)),IFERROR(INDEX(Product_Registry!$A$2:$A$101,MATCH("*"&amp;$B81&amp;"*",Product_Registry!$B$2:$B$101,0)),"")),""))</f>
        <v/>
      </c>
      <c r="AM81" t="str">
        <f>IF($AL81="","",IFERROR(INDEX(Product_Registry!$B$2:$B$101,MATCH($AL81,Product_Registry!$A$2:$A$101,0)),""))</f>
        <v/>
      </c>
    </row>
    <row r="82" spans="1:39" x14ac:dyDescent="0.2">
      <c r="A82" s="27"/>
      <c r="B82" s="28"/>
      <c r="C82" s="20" t="str">
        <f>IF($AL82="","",IFERROR(INDEX(Product_Registry!$C$2:$C$101,MATCH($AL82,Product_Registry!$A$2:$A$101,0)),""))</f>
        <v/>
      </c>
      <c r="D82" s="21" t="str">
        <f>IF($AL82="","",IFERROR(INDEX(Product_Registry!$D$2:$D$101,MATCH($AL82,Product_Registry!$A$2:$A$101,0)),""))</f>
        <v/>
      </c>
      <c r="E82" s="17" t="str">
        <f>IF($AL82="","",IFERROR(INDEX(Product_Registry!$E$2:$E$101,MATCH($AL82,Product_Registry!$A$2:$A$101,0)),""))</f>
        <v/>
      </c>
      <c r="F82" s="17" t="str">
        <f>IF($AL82="","",IFERROR(INDEX(Product_Registry!$F$2:$F$101,MATCH($AL82,Product_Registry!$A$2:$A$101,0)),""))</f>
        <v/>
      </c>
      <c r="G82" s="21" t="str">
        <f>IF($AL82="","",IFERROR(INDEX(Product_Registry!$G$2:$G$101,MATCH($AL82,Product_Registry!$A$2:$A$101,0)),""))</f>
        <v/>
      </c>
      <c r="H82" s="21" t="str">
        <f>IF($AL82="","",IFERROR(INDEX(Product_Registry!$H$2:$H$101,MATCH($AL82,Product_Registry!$A$2:$A$101,0)),""))</f>
        <v/>
      </c>
      <c r="I82" s="21" t="str">
        <f>IF($AL82="","",IFERROR(INDEX(Product_Registry!$I$2:$I$101,MATCH($AL82,Product_Registry!$A$2:$A$101,0)),""))</f>
        <v/>
      </c>
      <c r="J82" s="21" t="str">
        <f>IF($AL82="","",IFERROR(INDEX(Product_Registry!$J$2:$J$101,MATCH($AL82,Product_Registry!$A$2:$A$101,0)),""))</f>
        <v/>
      </c>
      <c r="K82" s="21" t="str">
        <f>IF($AL82="","",IFERROR(INDEX(Product_Registry!$K$2:$K$101,MATCH($AL82,Product_Registry!$A$2:$A$101,0)),""))</f>
        <v/>
      </c>
      <c r="L82" s="21" t="str">
        <f>IF($AL82="","",IFERROR(INDEX(Product_Registry!$L$2:$L$101,MATCH($AL82,Product_Registry!$A$2:$A$101,0)),""))</f>
        <v/>
      </c>
      <c r="M82" s="21" t="str">
        <f>IF($AL82="","",IFERROR(INDEX(Product_Registry!$M$2:$M$101,MATCH($AL82,Product_Registry!$A$2:$A$101,0)),""))</f>
        <v/>
      </c>
      <c r="N82" s="6" t="str">
        <f>IF($AL82="","",$E82+SUMIFS('Logic &amp; Lists'!$E$4:$E$200,'Logic &amp; Lists'!$A$4:$A$200,$AK82,'Logic &amp; Lists'!$C$4:$C$200,"Level 1 Schedule"))</f>
        <v/>
      </c>
      <c r="O82" s="6" t="str">
        <f>IF($AL82="","",$P82+SUMIFS('Logic &amp; Lists'!$E$4:$E$200,'Logic &amp; Lists'!$A$4:$A$200,$AK82,'Logic &amp; Lists'!$C$4:$C$200,"Input Frozen"))</f>
        <v/>
      </c>
      <c r="P82" s="6" t="str">
        <f>IF($AL82="","",$Q82+SUMIFS('Logic &amp; Lists'!$E$4:$E$200,'Logic &amp; Lists'!$A$4:$A$200,$AK82,'Logic &amp; Lists'!$C$4:$C$200,"Drawing Approval"))</f>
        <v/>
      </c>
      <c r="Q82" s="6" t="str">
        <f>IF($AL82="","",$S82+SUMIFS('Logic &amp; Lists'!$E$4:$E$200,'Logic &amp; Lists'!$A$4:$A$200,$AK82,'Logic &amp; Lists'!$C$4:$C$200,"BOM Pass to PR"))</f>
        <v/>
      </c>
      <c r="R82" s="6" t="str">
        <f>IF($AL82="","",$S82+SUMIFS('Logic &amp; Lists'!$E$4:$E$200,'Logic &amp; Lists'!$A$4:$A$200,$AK82,'Logic &amp; Lists'!$C$4:$C$200,"PR Schedule"))</f>
        <v/>
      </c>
      <c r="S82" s="6" t="str">
        <f>IF($AL82="","",$T82+SUMIFS('Logic &amp; Lists'!$E$4:$E$200,'Logic &amp; Lists'!$A$4:$A$200,$AK82,'Logic &amp; Lists'!$C$4:$C$200,"Components PO Plan"))</f>
        <v/>
      </c>
      <c r="T82" s="6" t="str">
        <f>IF($AL82="","",$U82+SUMIFS('Logic &amp; Lists'!$E$4:$E$200,'Logic &amp; Lists'!$A$4:$A$200,$AK82,'Logic &amp; Lists'!$C$4:$C$200,"Production Start"))</f>
        <v/>
      </c>
      <c r="U82" s="6" t="str">
        <f>IF($AL82="","",$W82+SUMIFS('Logic &amp; Lists'!$E$4:$E$200,'Logic &amp; Lists'!$A$4:$A$200,$AK82,'Logic &amp; Lists'!$C$4:$C$200,"Production Complete"))</f>
        <v/>
      </c>
      <c r="V82" s="6" t="str">
        <f>IF($AL82="","",$Y82+SUMIFS('Logic &amp; Lists'!$E$4:$E$200,'Logic &amp; Lists'!$A$4:$A$200,$AK82,'Logic &amp; Lists'!$C$4:$C$200,"NOI Date"))</f>
        <v/>
      </c>
      <c r="W82" s="6" t="str">
        <f>IF($AL82="","",$X82+SUMIFS('Logic &amp; Lists'!$E$4:$E$200,'Logic &amp; Lists'!$A$4:$A$200,$AK82,'Logic &amp; Lists'!$C$4:$C$200,"Internal Test Start"))</f>
        <v/>
      </c>
      <c r="X82" s="6" t="str">
        <f>IF($AL82="","",$Y82+SUMIFS('Logic &amp; Lists'!$E$4:$E$200,'Logic &amp; Lists'!$A$4:$A$200,$AK82,'Logic &amp; Lists'!$C$4:$C$200,"Internal Test Complete"))</f>
        <v/>
      </c>
      <c r="Y82" s="6" t="str">
        <f>IF($AL82="","",$AA82+SUMIFS('Logic &amp; Lists'!$E$4:$E$200,'Logic &amp; Lists'!$A$4:$A$200,$AK82,'Logic &amp; Lists'!$C$4:$C$200,"FAT Start"))</f>
        <v/>
      </c>
      <c r="Z82" s="6" t="str">
        <f>IF($AL82="","",$Y82+SUMIFS('Logic &amp; Lists'!$E$4:$E$200,'Logic &amp; Lists'!$A$4:$A$200,$AK82,'Logic &amp; Lists'!$C$4:$C$200,"FAT Complete"))</f>
        <v/>
      </c>
      <c r="AA82" s="6" t="str">
        <f>IF($AL82="","",$F82+SUMIFS('Logic &amp; Lists'!$E$4:$E$200,'Logic &amp; Lists'!$A$4:$A$200,$AK82,'Logic &amp; Lists'!$C$4:$C$200,"Delivery"))</f>
        <v/>
      </c>
      <c r="AB82" s="8"/>
      <c r="AC82" s="8"/>
      <c r="AD82" s="8"/>
      <c r="AE82" s="8"/>
      <c r="AF82" s="16"/>
      <c r="AG82" s="8"/>
      <c r="AH82" s="5" t="str">
        <f t="shared" si="4"/>
        <v/>
      </c>
      <c r="AI82" s="18" t="str">
        <f t="shared" ca="1" si="5"/>
        <v/>
      </c>
      <c r="AJ82" s="7"/>
      <c r="AK82" s="5" t="str">
        <f>IF($AL82="","",IF(COUNTIF('Logic &amp; Lists'!$A$4:$A$200,$C82)&gt;0,$C82,"Default"))</f>
        <v/>
      </c>
      <c r="AL82" t="str">
        <f>IF($A82&lt;&gt;"",$A82,IF($B82&lt;&gt;"",IFERROR(INDEX(Product_Registry!$A$2:$A$101,MATCH($B82,Product_Registry!$B$2:$B$101,0)),IFERROR(INDEX(Product_Registry!$A$2:$A$101,MATCH("*"&amp;$B82&amp;"*",Product_Registry!$B$2:$B$101,0)),"")),""))</f>
        <v/>
      </c>
      <c r="AM82" t="str">
        <f>IF($AL82="","",IFERROR(INDEX(Product_Registry!$B$2:$B$101,MATCH($AL82,Product_Registry!$A$2:$A$101,0)),""))</f>
        <v/>
      </c>
    </row>
    <row r="83" spans="1:39" x14ac:dyDescent="0.2">
      <c r="A83" s="27"/>
      <c r="B83" s="28"/>
      <c r="C83" s="20" t="str">
        <f>IF($AL83="","",IFERROR(INDEX(Product_Registry!$C$2:$C$101,MATCH($AL83,Product_Registry!$A$2:$A$101,0)),""))</f>
        <v/>
      </c>
      <c r="D83" s="21" t="str">
        <f>IF($AL83="","",IFERROR(INDEX(Product_Registry!$D$2:$D$101,MATCH($AL83,Product_Registry!$A$2:$A$101,0)),""))</f>
        <v/>
      </c>
      <c r="E83" s="17" t="str">
        <f>IF($AL83="","",IFERROR(INDEX(Product_Registry!$E$2:$E$101,MATCH($AL83,Product_Registry!$A$2:$A$101,0)),""))</f>
        <v/>
      </c>
      <c r="F83" s="17" t="str">
        <f>IF($AL83="","",IFERROR(INDEX(Product_Registry!$F$2:$F$101,MATCH($AL83,Product_Registry!$A$2:$A$101,0)),""))</f>
        <v/>
      </c>
      <c r="G83" s="21" t="str">
        <f>IF($AL83="","",IFERROR(INDEX(Product_Registry!$G$2:$G$101,MATCH($AL83,Product_Registry!$A$2:$A$101,0)),""))</f>
        <v/>
      </c>
      <c r="H83" s="21" t="str">
        <f>IF($AL83="","",IFERROR(INDEX(Product_Registry!$H$2:$H$101,MATCH($AL83,Product_Registry!$A$2:$A$101,0)),""))</f>
        <v/>
      </c>
      <c r="I83" s="21" t="str">
        <f>IF($AL83="","",IFERROR(INDEX(Product_Registry!$I$2:$I$101,MATCH($AL83,Product_Registry!$A$2:$A$101,0)),""))</f>
        <v/>
      </c>
      <c r="J83" s="21" t="str">
        <f>IF($AL83="","",IFERROR(INDEX(Product_Registry!$J$2:$J$101,MATCH($AL83,Product_Registry!$A$2:$A$101,0)),""))</f>
        <v/>
      </c>
      <c r="K83" s="21" t="str">
        <f>IF($AL83="","",IFERROR(INDEX(Product_Registry!$K$2:$K$101,MATCH($AL83,Product_Registry!$A$2:$A$101,0)),""))</f>
        <v/>
      </c>
      <c r="L83" s="21" t="str">
        <f>IF($AL83="","",IFERROR(INDEX(Product_Registry!$L$2:$L$101,MATCH($AL83,Product_Registry!$A$2:$A$101,0)),""))</f>
        <v/>
      </c>
      <c r="M83" s="21" t="str">
        <f>IF($AL83="","",IFERROR(INDEX(Product_Registry!$M$2:$M$101,MATCH($AL83,Product_Registry!$A$2:$A$101,0)),""))</f>
        <v/>
      </c>
      <c r="N83" s="6" t="str">
        <f>IF($AL83="","",$E83+SUMIFS('Logic &amp; Lists'!$E$4:$E$200,'Logic &amp; Lists'!$A$4:$A$200,$AK83,'Logic &amp; Lists'!$C$4:$C$200,"Level 1 Schedule"))</f>
        <v/>
      </c>
      <c r="O83" s="6" t="str">
        <f>IF($AL83="","",$P83+SUMIFS('Logic &amp; Lists'!$E$4:$E$200,'Logic &amp; Lists'!$A$4:$A$200,$AK83,'Logic &amp; Lists'!$C$4:$C$200,"Input Frozen"))</f>
        <v/>
      </c>
      <c r="P83" s="6" t="str">
        <f>IF($AL83="","",$Q83+SUMIFS('Logic &amp; Lists'!$E$4:$E$200,'Logic &amp; Lists'!$A$4:$A$200,$AK83,'Logic &amp; Lists'!$C$4:$C$200,"Drawing Approval"))</f>
        <v/>
      </c>
      <c r="Q83" s="6" t="str">
        <f>IF($AL83="","",$S83+SUMIFS('Logic &amp; Lists'!$E$4:$E$200,'Logic &amp; Lists'!$A$4:$A$200,$AK83,'Logic &amp; Lists'!$C$4:$C$200,"BOM Pass to PR"))</f>
        <v/>
      </c>
      <c r="R83" s="6" t="str">
        <f>IF($AL83="","",$S83+SUMIFS('Logic &amp; Lists'!$E$4:$E$200,'Logic &amp; Lists'!$A$4:$A$200,$AK83,'Logic &amp; Lists'!$C$4:$C$200,"PR Schedule"))</f>
        <v/>
      </c>
      <c r="S83" s="6" t="str">
        <f>IF($AL83="","",$T83+SUMIFS('Logic &amp; Lists'!$E$4:$E$200,'Logic &amp; Lists'!$A$4:$A$200,$AK83,'Logic &amp; Lists'!$C$4:$C$200,"Components PO Plan"))</f>
        <v/>
      </c>
      <c r="T83" s="6" t="str">
        <f>IF($AL83="","",$U83+SUMIFS('Logic &amp; Lists'!$E$4:$E$200,'Logic &amp; Lists'!$A$4:$A$200,$AK83,'Logic &amp; Lists'!$C$4:$C$200,"Production Start"))</f>
        <v/>
      </c>
      <c r="U83" s="6" t="str">
        <f>IF($AL83="","",$W83+SUMIFS('Logic &amp; Lists'!$E$4:$E$200,'Logic &amp; Lists'!$A$4:$A$200,$AK83,'Logic &amp; Lists'!$C$4:$C$200,"Production Complete"))</f>
        <v/>
      </c>
      <c r="V83" s="6" t="str">
        <f>IF($AL83="","",$Y83+SUMIFS('Logic &amp; Lists'!$E$4:$E$200,'Logic &amp; Lists'!$A$4:$A$200,$AK83,'Logic &amp; Lists'!$C$4:$C$200,"NOI Date"))</f>
        <v/>
      </c>
      <c r="W83" s="6" t="str">
        <f>IF($AL83="","",$X83+SUMIFS('Logic &amp; Lists'!$E$4:$E$200,'Logic &amp; Lists'!$A$4:$A$200,$AK83,'Logic &amp; Lists'!$C$4:$C$200,"Internal Test Start"))</f>
        <v/>
      </c>
      <c r="X83" s="6" t="str">
        <f>IF($AL83="","",$Y83+SUMIFS('Logic &amp; Lists'!$E$4:$E$200,'Logic &amp; Lists'!$A$4:$A$200,$AK83,'Logic &amp; Lists'!$C$4:$C$200,"Internal Test Complete"))</f>
        <v/>
      </c>
      <c r="Y83" s="6" t="str">
        <f>IF($AL83="","",$AA83+SUMIFS('Logic &amp; Lists'!$E$4:$E$200,'Logic &amp; Lists'!$A$4:$A$200,$AK83,'Logic &amp; Lists'!$C$4:$C$200,"FAT Start"))</f>
        <v/>
      </c>
      <c r="Z83" s="6" t="str">
        <f>IF($AL83="","",$Y83+SUMIFS('Logic &amp; Lists'!$E$4:$E$200,'Logic &amp; Lists'!$A$4:$A$200,$AK83,'Logic &amp; Lists'!$C$4:$C$200,"FAT Complete"))</f>
        <v/>
      </c>
      <c r="AA83" s="6" t="str">
        <f>IF($AL83="","",$F83+SUMIFS('Logic &amp; Lists'!$E$4:$E$200,'Logic &amp; Lists'!$A$4:$A$200,$AK83,'Logic &amp; Lists'!$C$4:$C$200,"Delivery"))</f>
        <v/>
      </c>
      <c r="AB83" s="8"/>
      <c r="AC83" s="8"/>
      <c r="AD83" s="8"/>
      <c r="AE83" s="8"/>
      <c r="AF83" s="16"/>
      <c r="AG83" s="8"/>
      <c r="AH83" s="5" t="str">
        <f t="shared" si="4"/>
        <v/>
      </c>
      <c r="AI83" s="18" t="str">
        <f t="shared" ca="1" si="5"/>
        <v/>
      </c>
      <c r="AJ83" s="7"/>
      <c r="AK83" s="5" t="str">
        <f>IF($AL83="","",IF(COUNTIF('Logic &amp; Lists'!$A$4:$A$200,$C83)&gt;0,$C83,"Default"))</f>
        <v/>
      </c>
      <c r="AL83" t="str">
        <f>IF($A83&lt;&gt;"",$A83,IF($B83&lt;&gt;"",IFERROR(INDEX(Product_Registry!$A$2:$A$101,MATCH($B83,Product_Registry!$B$2:$B$101,0)),IFERROR(INDEX(Product_Registry!$A$2:$A$101,MATCH("*"&amp;$B83&amp;"*",Product_Registry!$B$2:$B$101,0)),"")),""))</f>
        <v/>
      </c>
      <c r="AM83" t="str">
        <f>IF($AL83="","",IFERROR(INDEX(Product_Registry!$B$2:$B$101,MATCH($AL83,Product_Registry!$A$2:$A$101,0)),""))</f>
        <v/>
      </c>
    </row>
    <row r="84" spans="1:39" x14ac:dyDescent="0.2">
      <c r="A84" s="27"/>
      <c r="B84" s="28"/>
      <c r="C84" s="20" t="str">
        <f>IF($AL84="","",IFERROR(INDEX(Product_Registry!$C$2:$C$101,MATCH($AL84,Product_Registry!$A$2:$A$101,0)),""))</f>
        <v/>
      </c>
      <c r="D84" s="21" t="str">
        <f>IF($AL84="","",IFERROR(INDEX(Product_Registry!$D$2:$D$101,MATCH($AL84,Product_Registry!$A$2:$A$101,0)),""))</f>
        <v/>
      </c>
      <c r="E84" s="17" t="str">
        <f>IF($AL84="","",IFERROR(INDEX(Product_Registry!$E$2:$E$101,MATCH($AL84,Product_Registry!$A$2:$A$101,0)),""))</f>
        <v/>
      </c>
      <c r="F84" s="17" t="str">
        <f>IF($AL84="","",IFERROR(INDEX(Product_Registry!$F$2:$F$101,MATCH($AL84,Product_Registry!$A$2:$A$101,0)),""))</f>
        <v/>
      </c>
      <c r="G84" s="21" t="str">
        <f>IF($AL84="","",IFERROR(INDEX(Product_Registry!$G$2:$G$101,MATCH($AL84,Product_Registry!$A$2:$A$101,0)),""))</f>
        <v/>
      </c>
      <c r="H84" s="21" t="str">
        <f>IF($AL84="","",IFERROR(INDEX(Product_Registry!$H$2:$H$101,MATCH($AL84,Product_Registry!$A$2:$A$101,0)),""))</f>
        <v/>
      </c>
      <c r="I84" s="21" t="str">
        <f>IF($AL84="","",IFERROR(INDEX(Product_Registry!$I$2:$I$101,MATCH($AL84,Product_Registry!$A$2:$A$101,0)),""))</f>
        <v/>
      </c>
      <c r="J84" s="21" t="str">
        <f>IF($AL84="","",IFERROR(INDEX(Product_Registry!$J$2:$J$101,MATCH($AL84,Product_Registry!$A$2:$A$101,0)),""))</f>
        <v/>
      </c>
      <c r="K84" s="21" t="str">
        <f>IF($AL84="","",IFERROR(INDEX(Product_Registry!$K$2:$K$101,MATCH($AL84,Product_Registry!$A$2:$A$101,0)),""))</f>
        <v/>
      </c>
      <c r="L84" s="21" t="str">
        <f>IF($AL84="","",IFERROR(INDEX(Product_Registry!$L$2:$L$101,MATCH($AL84,Product_Registry!$A$2:$A$101,0)),""))</f>
        <v/>
      </c>
      <c r="M84" s="21" t="str">
        <f>IF($AL84="","",IFERROR(INDEX(Product_Registry!$M$2:$M$101,MATCH($AL84,Product_Registry!$A$2:$A$101,0)),""))</f>
        <v/>
      </c>
      <c r="N84" s="6" t="str">
        <f>IF($AL84="","",$E84+SUMIFS('Logic &amp; Lists'!$E$4:$E$200,'Logic &amp; Lists'!$A$4:$A$200,$AK84,'Logic &amp; Lists'!$C$4:$C$200,"Level 1 Schedule"))</f>
        <v/>
      </c>
      <c r="O84" s="6" t="str">
        <f>IF($AL84="","",$P84+SUMIFS('Logic &amp; Lists'!$E$4:$E$200,'Logic &amp; Lists'!$A$4:$A$200,$AK84,'Logic &amp; Lists'!$C$4:$C$200,"Input Frozen"))</f>
        <v/>
      </c>
      <c r="P84" s="6" t="str">
        <f>IF($AL84="","",$Q84+SUMIFS('Logic &amp; Lists'!$E$4:$E$200,'Logic &amp; Lists'!$A$4:$A$200,$AK84,'Logic &amp; Lists'!$C$4:$C$200,"Drawing Approval"))</f>
        <v/>
      </c>
      <c r="Q84" s="6" t="str">
        <f>IF($AL84="","",$S84+SUMIFS('Logic &amp; Lists'!$E$4:$E$200,'Logic &amp; Lists'!$A$4:$A$200,$AK84,'Logic &amp; Lists'!$C$4:$C$200,"BOM Pass to PR"))</f>
        <v/>
      </c>
      <c r="R84" s="6" t="str">
        <f>IF($AL84="","",$S84+SUMIFS('Logic &amp; Lists'!$E$4:$E$200,'Logic &amp; Lists'!$A$4:$A$200,$AK84,'Logic &amp; Lists'!$C$4:$C$200,"PR Schedule"))</f>
        <v/>
      </c>
      <c r="S84" s="6" t="str">
        <f>IF($AL84="","",$T84+SUMIFS('Logic &amp; Lists'!$E$4:$E$200,'Logic &amp; Lists'!$A$4:$A$200,$AK84,'Logic &amp; Lists'!$C$4:$C$200,"Components PO Plan"))</f>
        <v/>
      </c>
      <c r="T84" s="6" t="str">
        <f>IF($AL84="","",$U84+SUMIFS('Logic &amp; Lists'!$E$4:$E$200,'Logic &amp; Lists'!$A$4:$A$200,$AK84,'Logic &amp; Lists'!$C$4:$C$200,"Production Start"))</f>
        <v/>
      </c>
      <c r="U84" s="6" t="str">
        <f>IF($AL84="","",$W84+SUMIFS('Logic &amp; Lists'!$E$4:$E$200,'Logic &amp; Lists'!$A$4:$A$200,$AK84,'Logic &amp; Lists'!$C$4:$C$200,"Production Complete"))</f>
        <v/>
      </c>
      <c r="V84" s="6" t="str">
        <f>IF($AL84="","",$Y84+SUMIFS('Logic &amp; Lists'!$E$4:$E$200,'Logic &amp; Lists'!$A$4:$A$200,$AK84,'Logic &amp; Lists'!$C$4:$C$200,"NOI Date"))</f>
        <v/>
      </c>
      <c r="W84" s="6" t="str">
        <f>IF($AL84="","",$X84+SUMIFS('Logic &amp; Lists'!$E$4:$E$200,'Logic &amp; Lists'!$A$4:$A$200,$AK84,'Logic &amp; Lists'!$C$4:$C$200,"Internal Test Start"))</f>
        <v/>
      </c>
      <c r="X84" s="6" t="str">
        <f>IF($AL84="","",$Y84+SUMIFS('Logic &amp; Lists'!$E$4:$E$200,'Logic &amp; Lists'!$A$4:$A$200,$AK84,'Logic &amp; Lists'!$C$4:$C$200,"Internal Test Complete"))</f>
        <v/>
      </c>
      <c r="Y84" s="6" t="str">
        <f>IF($AL84="","",$AA84+SUMIFS('Logic &amp; Lists'!$E$4:$E$200,'Logic &amp; Lists'!$A$4:$A$200,$AK84,'Logic &amp; Lists'!$C$4:$C$200,"FAT Start"))</f>
        <v/>
      </c>
      <c r="Z84" s="6" t="str">
        <f>IF($AL84="","",$Y84+SUMIFS('Logic &amp; Lists'!$E$4:$E$200,'Logic &amp; Lists'!$A$4:$A$200,$AK84,'Logic &amp; Lists'!$C$4:$C$200,"FAT Complete"))</f>
        <v/>
      </c>
      <c r="AA84" s="6" t="str">
        <f>IF($AL84="","",$F84+SUMIFS('Logic &amp; Lists'!$E$4:$E$200,'Logic &amp; Lists'!$A$4:$A$200,$AK84,'Logic &amp; Lists'!$C$4:$C$200,"Delivery"))</f>
        <v/>
      </c>
      <c r="AB84" s="8"/>
      <c r="AC84" s="8"/>
      <c r="AD84" s="8"/>
      <c r="AE84" s="8"/>
      <c r="AF84" s="16"/>
      <c r="AG84" s="8"/>
      <c r="AH84" s="5" t="str">
        <f t="shared" si="4"/>
        <v/>
      </c>
      <c r="AI84" s="18" t="str">
        <f t="shared" ca="1" si="5"/>
        <v/>
      </c>
      <c r="AJ84" s="7"/>
      <c r="AK84" s="5" t="str">
        <f>IF($AL84="","",IF(COUNTIF('Logic &amp; Lists'!$A$4:$A$200,$C84)&gt;0,$C84,"Default"))</f>
        <v/>
      </c>
      <c r="AL84" t="str">
        <f>IF($A84&lt;&gt;"",$A84,IF($B84&lt;&gt;"",IFERROR(INDEX(Product_Registry!$A$2:$A$101,MATCH($B84,Product_Registry!$B$2:$B$101,0)),IFERROR(INDEX(Product_Registry!$A$2:$A$101,MATCH("*"&amp;$B84&amp;"*",Product_Registry!$B$2:$B$101,0)),"")),""))</f>
        <v/>
      </c>
      <c r="AM84" t="str">
        <f>IF($AL84="","",IFERROR(INDEX(Product_Registry!$B$2:$B$101,MATCH($AL84,Product_Registry!$A$2:$A$101,0)),""))</f>
        <v/>
      </c>
    </row>
    <row r="85" spans="1:39" x14ac:dyDescent="0.2">
      <c r="A85" s="27"/>
      <c r="B85" s="28"/>
      <c r="C85" s="20" t="str">
        <f>IF($AL85="","",IFERROR(INDEX(Product_Registry!$C$2:$C$101,MATCH($AL85,Product_Registry!$A$2:$A$101,0)),""))</f>
        <v/>
      </c>
      <c r="D85" s="21" t="str">
        <f>IF($AL85="","",IFERROR(INDEX(Product_Registry!$D$2:$D$101,MATCH($AL85,Product_Registry!$A$2:$A$101,0)),""))</f>
        <v/>
      </c>
      <c r="E85" s="17" t="str">
        <f>IF($AL85="","",IFERROR(INDEX(Product_Registry!$E$2:$E$101,MATCH($AL85,Product_Registry!$A$2:$A$101,0)),""))</f>
        <v/>
      </c>
      <c r="F85" s="17" t="str">
        <f>IF($AL85="","",IFERROR(INDEX(Product_Registry!$F$2:$F$101,MATCH($AL85,Product_Registry!$A$2:$A$101,0)),""))</f>
        <v/>
      </c>
      <c r="G85" s="21" t="str">
        <f>IF($AL85="","",IFERROR(INDEX(Product_Registry!$G$2:$G$101,MATCH($AL85,Product_Registry!$A$2:$A$101,0)),""))</f>
        <v/>
      </c>
      <c r="H85" s="21" t="str">
        <f>IF($AL85="","",IFERROR(INDEX(Product_Registry!$H$2:$H$101,MATCH($AL85,Product_Registry!$A$2:$A$101,0)),""))</f>
        <v/>
      </c>
      <c r="I85" s="21" t="str">
        <f>IF($AL85="","",IFERROR(INDEX(Product_Registry!$I$2:$I$101,MATCH($AL85,Product_Registry!$A$2:$A$101,0)),""))</f>
        <v/>
      </c>
      <c r="J85" s="21" t="str">
        <f>IF($AL85="","",IFERROR(INDEX(Product_Registry!$J$2:$J$101,MATCH($AL85,Product_Registry!$A$2:$A$101,0)),""))</f>
        <v/>
      </c>
      <c r="K85" s="21" t="str">
        <f>IF($AL85="","",IFERROR(INDEX(Product_Registry!$K$2:$K$101,MATCH($AL85,Product_Registry!$A$2:$A$101,0)),""))</f>
        <v/>
      </c>
      <c r="L85" s="21" t="str">
        <f>IF($AL85="","",IFERROR(INDEX(Product_Registry!$L$2:$L$101,MATCH($AL85,Product_Registry!$A$2:$A$101,0)),""))</f>
        <v/>
      </c>
      <c r="M85" s="21" t="str">
        <f>IF($AL85="","",IFERROR(INDEX(Product_Registry!$M$2:$M$101,MATCH($AL85,Product_Registry!$A$2:$A$101,0)),""))</f>
        <v/>
      </c>
      <c r="N85" s="6" t="str">
        <f>IF($AL85="","",$E85+SUMIFS('Logic &amp; Lists'!$E$4:$E$200,'Logic &amp; Lists'!$A$4:$A$200,$AK85,'Logic &amp; Lists'!$C$4:$C$200,"Level 1 Schedule"))</f>
        <v/>
      </c>
      <c r="O85" s="6" t="str">
        <f>IF($AL85="","",$P85+SUMIFS('Logic &amp; Lists'!$E$4:$E$200,'Logic &amp; Lists'!$A$4:$A$200,$AK85,'Logic &amp; Lists'!$C$4:$C$200,"Input Frozen"))</f>
        <v/>
      </c>
      <c r="P85" s="6" t="str">
        <f>IF($AL85="","",$Q85+SUMIFS('Logic &amp; Lists'!$E$4:$E$200,'Logic &amp; Lists'!$A$4:$A$200,$AK85,'Logic &amp; Lists'!$C$4:$C$200,"Drawing Approval"))</f>
        <v/>
      </c>
      <c r="Q85" s="6" t="str">
        <f>IF($AL85="","",$S85+SUMIFS('Logic &amp; Lists'!$E$4:$E$200,'Logic &amp; Lists'!$A$4:$A$200,$AK85,'Logic &amp; Lists'!$C$4:$C$200,"BOM Pass to PR"))</f>
        <v/>
      </c>
      <c r="R85" s="6" t="str">
        <f>IF($AL85="","",$S85+SUMIFS('Logic &amp; Lists'!$E$4:$E$200,'Logic &amp; Lists'!$A$4:$A$200,$AK85,'Logic &amp; Lists'!$C$4:$C$200,"PR Schedule"))</f>
        <v/>
      </c>
      <c r="S85" s="6" t="str">
        <f>IF($AL85="","",$T85+SUMIFS('Logic &amp; Lists'!$E$4:$E$200,'Logic &amp; Lists'!$A$4:$A$200,$AK85,'Logic &amp; Lists'!$C$4:$C$200,"Components PO Plan"))</f>
        <v/>
      </c>
      <c r="T85" s="6" t="str">
        <f>IF($AL85="","",$U85+SUMIFS('Logic &amp; Lists'!$E$4:$E$200,'Logic &amp; Lists'!$A$4:$A$200,$AK85,'Logic &amp; Lists'!$C$4:$C$200,"Production Start"))</f>
        <v/>
      </c>
      <c r="U85" s="6" t="str">
        <f>IF($AL85="","",$W85+SUMIFS('Logic &amp; Lists'!$E$4:$E$200,'Logic &amp; Lists'!$A$4:$A$200,$AK85,'Logic &amp; Lists'!$C$4:$C$200,"Production Complete"))</f>
        <v/>
      </c>
      <c r="V85" s="6" t="str">
        <f>IF($AL85="","",$Y85+SUMIFS('Logic &amp; Lists'!$E$4:$E$200,'Logic &amp; Lists'!$A$4:$A$200,$AK85,'Logic &amp; Lists'!$C$4:$C$200,"NOI Date"))</f>
        <v/>
      </c>
      <c r="W85" s="6" t="str">
        <f>IF($AL85="","",$X85+SUMIFS('Logic &amp; Lists'!$E$4:$E$200,'Logic &amp; Lists'!$A$4:$A$200,$AK85,'Logic &amp; Lists'!$C$4:$C$200,"Internal Test Start"))</f>
        <v/>
      </c>
      <c r="X85" s="6" t="str">
        <f>IF($AL85="","",$Y85+SUMIFS('Logic &amp; Lists'!$E$4:$E$200,'Logic &amp; Lists'!$A$4:$A$200,$AK85,'Logic &amp; Lists'!$C$4:$C$200,"Internal Test Complete"))</f>
        <v/>
      </c>
      <c r="Y85" s="6" t="str">
        <f>IF($AL85="","",$AA85+SUMIFS('Logic &amp; Lists'!$E$4:$E$200,'Logic &amp; Lists'!$A$4:$A$200,$AK85,'Logic &amp; Lists'!$C$4:$C$200,"FAT Start"))</f>
        <v/>
      </c>
      <c r="Z85" s="6" t="str">
        <f>IF($AL85="","",$Y85+SUMIFS('Logic &amp; Lists'!$E$4:$E$200,'Logic &amp; Lists'!$A$4:$A$200,$AK85,'Logic &amp; Lists'!$C$4:$C$200,"FAT Complete"))</f>
        <v/>
      </c>
      <c r="AA85" s="6" t="str">
        <f>IF($AL85="","",$F85+SUMIFS('Logic &amp; Lists'!$E$4:$E$200,'Logic &amp; Lists'!$A$4:$A$200,$AK85,'Logic &amp; Lists'!$C$4:$C$200,"Delivery"))</f>
        <v/>
      </c>
      <c r="AB85" s="8"/>
      <c r="AC85" s="8"/>
      <c r="AD85" s="8"/>
      <c r="AE85" s="8"/>
      <c r="AF85" s="16"/>
      <c r="AG85" s="8"/>
      <c r="AH85" s="5" t="str">
        <f t="shared" si="4"/>
        <v/>
      </c>
      <c r="AI85" s="18" t="str">
        <f t="shared" ca="1" si="5"/>
        <v/>
      </c>
      <c r="AJ85" s="7"/>
      <c r="AK85" s="5" t="str">
        <f>IF($AL85="","",IF(COUNTIF('Logic &amp; Lists'!$A$4:$A$200,$C85)&gt;0,$C85,"Default"))</f>
        <v/>
      </c>
      <c r="AL85" t="str">
        <f>IF($A85&lt;&gt;"",$A85,IF($B85&lt;&gt;"",IFERROR(INDEX(Product_Registry!$A$2:$A$101,MATCH($B85,Product_Registry!$B$2:$B$101,0)),IFERROR(INDEX(Product_Registry!$A$2:$A$101,MATCH("*"&amp;$B85&amp;"*",Product_Registry!$B$2:$B$101,0)),"")),""))</f>
        <v/>
      </c>
      <c r="AM85" t="str">
        <f>IF($AL85="","",IFERROR(INDEX(Product_Registry!$B$2:$B$101,MATCH($AL85,Product_Registry!$A$2:$A$101,0)),""))</f>
        <v/>
      </c>
    </row>
    <row r="86" spans="1:39" x14ac:dyDescent="0.2">
      <c r="A86" s="27"/>
      <c r="B86" s="28"/>
      <c r="C86" s="20" t="str">
        <f>IF($AL86="","",IFERROR(INDEX(Product_Registry!$C$2:$C$101,MATCH($AL86,Product_Registry!$A$2:$A$101,0)),""))</f>
        <v/>
      </c>
      <c r="D86" s="21" t="str">
        <f>IF($AL86="","",IFERROR(INDEX(Product_Registry!$D$2:$D$101,MATCH($AL86,Product_Registry!$A$2:$A$101,0)),""))</f>
        <v/>
      </c>
      <c r="E86" s="17" t="str">
        <f>IF($AL86="","",IFERROR(INDEX(Product_Registry!$E$2:$E$101,MATCH($AL86,Product_Registry!$A$2:$A$101,0)),""))</f>
        <v/>
      </c>
      <c r="F86" s="17" t="str">
        <f>IF($AL86="","",IFERROR(INDEX(Product_Registry!$F$2:$F$101,MATCH($AL86,Product_Registry!$A$2:$A$101,0)),""))</f>
        <v/>
      </c>
      <c r="G86" s="21" t="str">
        <f>IF($AL86="","",IFERROR(INDEX(Product_Registry!$G$2:$G$101,MATCH($AL86,Product_Registry!$A$2:$A$101,0)),""))</f>
        <v/>
      </c>
      <c r="H86" s="21" t="str">
        <f>IF($AL86="","",IFERROR(INDEX(Product_Registry!$H$2:$H$101,MATCH($AL86,Product_Registry!$A$2:$A$101,0)),""))</f>
        <v/>
      </c>
      <c r="I86" s="21" t="str">
        <f>IF($AL86="","",IFERROR(INDEX(Product_Registry!$I$2:$I$101,MATCH($AL86,Product_Registry!$A$2:$A$101,0)),""))</f>
        <v/>
      </c>
      <c r="J86" s="21" t="str">
        <f>IF($AL86="","",IFERROR(INDEX(Product_Registry!$J$2:$J$101,MATCH($AL86,Product_Registry!$A$2:$A$101,0)),""))</f>
        <v/>
      </c>
      <c r="K86" s="21" t="str">
        <f>IF($AL86="","",IFERROR(INDEX(Product_Registry!$K$2:$K$101,MATCH($AL86,Product_Registry!$A$2:$A$101,0)),""))</f>
        <v/>
      </c>
      <c r="L86" s="21" t="str">
        <f>IF($AL86="","",IFERROR(INDEX(Product_Registry!$L$2:$L$101,MATCH($AL86,Product_Registry!$A$2:$A$101,0)),""))</f>
        <v/>
      </c>
      <c r="M86" s="21" t="str">
        <f>IF($AL86="","",IFERROR(INDEX(Product_Registry!$M$2:$M$101,MATCH($AL86,Product_Registry!$A$2:$A$101,0)),""))</f>
        <v/>
      </c>
      <c r="N86" s="6" t="str">
        <f>IF($AL86="","",$E86+SUMIFS('Logic &amp; Lists'!$E$4:$E$200,'Logic &amp; Lists'!$A$4:$A$200,$AK86,'Logic &amp; Lists'!$C$4:$C$200,"Level 1 Schedule"))</f>
        <v/>
      </c>
      <c r="O86" s="6" t="str">
        <f>IF($AL86="","",$P86+SUMIFS('Logic &amp; Lists'!$E$4:$E$200,'Logic &amp; Lists'!$A$4:$A$200,$AK86,'Logic &amp; Lists'!$C$4:$C$200,"Input Frozen"))</f>
        <v/>
      </c>
      <c r="P86" s="6" t="str">
        <f>IF($AL86="","",$Q86+SUMIFS('Logic &amp; Lists'!$E$4:$E$200,'Logic &amp; Lists'!$A$4:$A$200,$AK86,'Logic &amp; Lists'!$C$4:$C$200,"Drawing Approval"))</f>
        <v/>
      </c>
      <c r="Q86" s="6" t="str">
        <f>IF($AL86="","",$S86+SUMIFS('Logic &amp; Lists'!$E$4:$E$200,'Logic &amp; Lists'!$A$4:$A$200,$AK86,'Logic &amp; Lists'!$C$4:$C$200,"BOM Pass to PR"))</f>
        <v/>
      </c>
      <c r="R86" s="6" t="str">
        <f>IF($AL86="","",$S86+SUMIFS('Logic &amp; Lists'!$E$4:$E$200,'Logic &amp; Lists'!$A$4:$A$200,$AK86,'Logic &amp; Lists'!$C$4:$C$200,"PR Schedule"))</f>
        <v/>
      </c>
      <c r="S86" s="6" t="str">
        <f>IF($AL86="","",$T86+SUMIFS('Logic &amp; Lists'!$E$4:$E$200,'Logic &amp; Lists'!$A$4:$A$200,$AK86,'Logic &amp; Lists'!$C$4:$C$200,"Components PO Plan"))</f>
        <v/>
      </c>
      <c r="T86" s="6" t="str">
        <f>IF($AL86="","",$U86+SUMIFS('Logic &amp; Lists'!$E$4:$E$200,'Logic &amp; Lists'!$A$4:$A$200,$AK86,'Logic &amp; Lists'!$C$4:$C$200,"Production Start"))</f>
        <v/>
      </c>
      <c r="U86" s="6" t="str">
        <f>IF($AL86="","",$W86+SUMIFS('Logic &amp; Lists'!$E$4:$E$200,'Logic &amp; Lists'!$A$4:$A$200,$AK86,'Logic &amp; Lists'!$C$4:$C$200,"Production Complete"))</f>
        <v/>
      </c>
      <c r="V86" s="6" t="str">
        <f>IF($AL86="","",$Y86+SUMIFS('Logic &amp; Lists'!$E$4:$E$200,'Logic &amp; Lists'!$A$4:$A$200,$AK86,'Logic &amp; Lists'!$C$4:$C$200,"NOI Date"))</f>
        <v/>
      </c>
      <c r="W86" s="6" t="str">
        <f>IF($AL86="","",$X86+SUMIFS('Logic &amp; Lists'!$E$4:$E$200,'Logic &amp; Lists'!$A$4:$A$200,$AK86,'Logic &amp; Lists'!$C$4:$C$200,"Internal Test Start"))</f>
        <v/>
      </c>
      <c r="X86" s="6" t="str">
        <f>IF($AL86="","",$Y86+SUMIFS('Logic &amp; Lists'!$E$4:$E$200,'Logic &amp; Lists'!$A$4:$A$200,$AK86,'Logic &amp; Lists'!$C$4:$C$200,"Internal Test Complete"))</f>
        <v/>
      </c>
      <c r="Y86" s="6" t="str">
        <f>IF($AL86="","",$AA86+SUMIFS('Logic &amp; Lists'!$E$4:$E$200,'Logic &amp; Lists'!$A$4:$A$200,$AK86,'Logic &amp; Lists'!$C$4:$C$200,"FAT Start"))</f>
        <v/>
      </c>
      <c r="Z86" s="6" t="str">
        <f>IF($AL86="","",$Y86+SUMIFS('Logic &amp; Lists'!$E$4:$E$200,'Logic &amp; Lists'!$A$4:$A$200,$AK86,'Logic &amp; Lists'!$C$4:$C$200,"FAT Complete"))</f>
        <v/>
      </c>
      <c r="AA86" s="6" t="str">
        <f>IF($AL86="","",$F86+SUMIFS('Logic &amp; Lists'!$E$4:$E$200,'Logic &amp; Lists'!$A$4:$A$200,$AK86,'Logic &amp; Lists'!$C$4:$C$200,"Delivery"))</f>
        <v/>
      </c>
      <c r="AB86" s="8"/>
      <c r="AC86" s="8"/>
      <c r="AD86" s="8"/>
      <c r="AE86" s="8"/>
      <c r="AF86" s="16"/>
      <c r="AG86" s="8"/>
      <c r="AH86" s="5" t="str">
        <f t="shared" si="4"/>
        <v/>
      </c>
      <c r="AI86" s="18" t="str">
        <f t="shared" ca="1" si="5"/>
        <v/>
      </c>
      <c r="AJ86" s="7"/>
      <c r="AK86" s="5" t="str">
        <f>IF($AL86="","",IF(COUNTIF('Logic &amp; Lists'!$A$4:$A$200,$C86)&gt;0,$C86,"Default"))</f>
        <v/>
      </c>
      <c r="AL86" t="str">
        <f>IF($A86&lt;&gt;"",$A86,IF($B86&lt;&gt;"",IFERROR(INDEX(Product_Registry!$A$2:$A$101,MATCH($B86,Product_Registry!$B$2:$B$101,0)),IFERROR(INDEX(Product_Registry!$A$2:$A$101,MATCH("*"&amp;$B86&amp;"*",Product_Registry!$B$2:$B$101,0)),"")),""))</f>
        <v/>
      </c>
      <c r="AM86" t="str">
        <f>IF($AL86="","",IFERROR(INDEX(Product_Registry!$B$2:$B$101,MATCH($AL86,Product_Registry!$A$2:$A$101,0)),""))</f>
        <v/>
      </c>
    </row>
    <row r="87" spans="1:39" x14ac:dyDescent="0.2">
      <c r="A87" s="27"/>
      <c r="B87" s="28"/>
      <c r="C87" s="20" t="str">
        <f>IF($AL87="","",IFERROR(INDEX(Product_Registry!$C$2:$C$101,MATCH($AL87,Product_Registry!$A$2:$A$101,0)),""))</f>
        <v/>
      </c>
      <c r="D87" s="21" t="str">
        <f>IF($AL87="","",IFERROR(INDEX(Product_Registry!$D$2:$D$101,MATCH($AL87,Product_Registry!$A$2:$A$101,0)),""))</f>
        <v/>
      </c>
      <c r="E87" s="17" t="str">
        <f>IF($AL87="","",IFERROR(INDEX(Product_Registry!$E$2:$E$101,MATCH($AL87,Product_Registry!$A$2:$A$101,0)),""))</f>
        <v/>
      </c>
      <c r="F87" s="17" t="str">
        <f>IF($AL87="","",IFERROR(INDEX(Product_Registry!$F$2:$F$101,MATCH($AL87,Product_Registry!$A$2:$A$101,0)),""))</f>
        <v/>
      </c>
      <c r="G87" s="21" t="str">
        <f>IF($AL87="","",IFERROR(INDEX(Product_Registry!$G$2:$G$101,MATCH($AL87,Product_Registry!$A$2:$A$101,0)),""))</f>
        <v/>
      </c>
      <c r="H87" s="21" t="str">
        <f>IF($AL87="","",IFERROR(INDEX(Product_Registry!$H$2:$H$101,MATCH($AL87,Product_Registry!$A$2:$A$101,0)),""))</f>
        <v/>
      </c>
      <c r="I87" s="21" t="str">
        <f>IF($AL87="","",IFERROR(INDEX(Product_Registry!$I$2:$I$101,MATCH($AL87,Product_Registry!$A$2:$A$101,0)),""))</f>
        <v/>
      </c>
      <c r="J87" s="21" t="str">
        <f>IF($AL87="","",IFERROR(INDEX(Product_Registry!$J$2:$J$101,MATCH($AL87,Product_Registry!$A$2:$A$101,0)),""))</f>
        <v/>
      </c>
      <c r="K87" s="21" t="str">
        <f>IF($AL87="","",IFERROR(INDEX(Product_Registry!$K$2:$K$101,MATCH($AL87,Product_Registry!$A$2:$A$101,0)),""))</f>
        <v/>
      </c>
      <c r="L87" s="21" t="str">
        <f>IF($AL87="","",IFERROR(INDEX(Product_Registry!$L$2:$L$101,MATCH($AL87,Product_Registry!$A$2:$A$101,0)),""))</f>
        <v/>
      </c>
      <c r="M87" s="21" t="str">
        <f>IF($AL87="","",IFERROR(INDEX(Product_Registry!$M$2:$M$101,MATCH($AL87,Product_Registry!$A$2:$A$101,0)),""))</f>
        <v/>
      </c>
      <c r="N87" s="6" t="str">
        <f>IF($AL87="","",$E87+SUMIFS('Logic &amp; Lists'!$E$4:$E$200,'Logic &amp; Lists'!$A$4:$A$200,$AK87,'Logic &amp; Lists'!$C$4:$C$200,"Level 1 Schedule"))</f>
        <v/>
      </c>
      <c r="O87" s="6" t="str">
        <f>IF($AL87="","",$P87+SUMIFS('Logic &amp; Lists'!$E$4:$E$200,'Logic &amp; Lists'!$A$4:$A$200,$AK87,'Logic &amp; Lists'!$C$4:$C$200,"Input Frozen"))</f>
        <v/>
      </c>
      <c r="P87" s="6" t="str">
        <f>IF($AL87="","",$Q87+SUMIFS('Logic &amp; Lists'!$E$4:$E$200,'Logic &amp; Lists'!$A$4:$A$200,$AK87,'Logic &amp; Lists'!$C$4:$C$200,"Drawing Approval"))</f>
        <v/>
      </c>
      <c r="Q87" s="6" t="str">
        <f>IF($AL87="","",$S87+SUMIFS('Logic &amp; Lists'!$E$4:$E$200,'Logic &amp; Lists'!$A$4:$A$200,$AK87,'Logic &amp; Lists'!$C$4:$C$200,"BOM Pass to PR"))</f>
        <v/>
      </c>
      <c r="R87" s="6" t="str">
        <f>IF($AL87="","",$S87+SUMIFS('Logic &amp; Lists'!$E$4:$E$200,'Logic &amp; Lists'!$A$4:$A$200,$AK87,'Logic &amp; Lists'!$C$4:$C$200,"PR Schedule"))</f>
        <v/>
      </c>
      <c r="S87" s="6" t="str">
        <f>IF($AL87="","",$T87+SUMIFS('Logic &amp; Lists'!$E$4:$E$200,'Logic &amp; Lists'!$A$4:$A$200,$AK87,'Logic &amp; Lists'!$C$4:$C$200,"Components PO Plan"))</f>
        <v/>
      </c>
      <c r="T87" s="6" t="str">
        <f>IF($AL87="","",$U87+SUMIFS('Logic &amp; Lists'!$E$4:$E$200,'Logic &amp; Lists'!$A$4:$A$200,$AK87,'Logic &amp; Lists'!$C$4:$C$200,"Production Start"))</f>
        <v/>
      </c>
      <c r="U87" s="6" t="str">
        <f>IF($AL87="","",$W87+SUMIFS('Logic &amp; Lists'!$E$4:$E$200,'Logic &amp; Lists'!$A$4:$A$200,$AK87,'Logic &amp; Lists'!$C$4:$C$200,"Production Complete"))</f>
        <v/>
      </c>
      <c r="V87" s="6" t="str">
        <f>IF($AL87="","",$Y87+SUMIFS('Logic &amp; Lists'!$E$4:$E$200,'Logic &amp; Lists'!$A$4:$A$200,$AK87,'Logic &amp; Lists'!$C$4:$C$200,"NOI Date"))</f>
        <v/>
      </c>
      <c r="W87" s="6" t="str">
        <f>IF($AL87="","",$X87+SUMIFS('Logic &amp; Lists'!$E$4:$E$200,'Logic &amp; Lists'!$A$4:$A$200,$AK87,'Logic &amp; Lists'!$C$4:$C$200,"Internal Test Start"))</f>
        <v/>
      </c>
      <c r="X87" s="6" t="str">
        <f>IF($AL87="","",$Y87+SUMIFS('Logic &amp; Lists'!$E$4:$E$200,'Logic &amp; Lists'!$A$4:$A$200,$AK87,'Logic &amp; Lists'!$C$4:$C$200,"Internal Test Complete"))</f>
        <v/>
      </c>
      <c r="Y87" s="6" t="str">
        <f>IF($AL87="","",$AA87+SUMIFS('Logic &amp; Lists'!$E$4:$E$200,'Logic &amp; Lists'!$A$4:$A$200,$AK87,'Logic &amp; Lists'!$C$4:$C$200,"FAT Start"))</f>
        <v/>
      </c>
      <c r="Z87" s="6" t="str">
        <f>IF($AL87="","",$Y87+SUMIFS('Logic &amp; Lists'!$E$4:$E$200,'Logic &amp; Lists'!$A$4:$A$200,$AK87,'Logic &amp; Lists'!$C$4:$C$200,"FAT Complete"))</f>
        <v/>
      </c>
      <c r="AA87" s="6" t="str">
        <f>IF($AL87="","",$F87+SUMIFS('Logic &amp; Lists'!$E$4:$E$200,'Logic &amp; Lists'!$A$4:$A$200,$AK87,'Logic &amp; Lists'!$C$4:$C$200,"Delivery"))</f>
        <v/>
      </c>
      <c r="AB87" s="8"/>
      <c r="AC87" s="8"/>
      <c r="AD87" s="8"/>
      <c r="AE87" s="8"/>
      <c r="AF87" s="16"/>
      <c r="AG87" s="8"/>
      <c r="AH87" s="5" t="str">
        <f t="shared" si="4"/>
        <v/>
      </c>
      <c r="AI87" s="18" t="str">
        <f t="shared" ca="1" si="5"/>
        <v/>
      </c>
      <c r="AJ87" s="7"/>
      <c r="AK87" s="5" t="str">
        <f>IF($AL87="","",IF(COUNTIF('Logic &amp; Lists'!$A$4:$A$200,$C87)&gt;0,$C87,"Default"))</f>
        <v/>
      </c>
      <c r="AL87" t="str">
        <f>IF($A87&lt;&gt;"",$A87,IF($B87&lt;&gt;"",IFERROR(INDEX(Product_Registry!$A$2:$A$101,MATCH($B87,Product_Registry!$B$2:$B$101,0)),IFERROR(INDEX(Product_Registry!$A$2:$A$101,MATCH("*"&amp;$B87&amp;"*",Product_Registry!$B$2:$B$101,0)),"")),""))</f>
        <v/>
      </c>
      <c r="AM87" t="str">
        <f>IF($AL87="","",IFERROR(INDEX(Product_Registry!$B$2:$B$101,MATCH($AL87,Product_Registry!$A$2:$A$101,0)),""))</f>
        <v/>
      </c>
    </row>
    <row r="88" spans="1:39" x14ac:dyDescent="0.2">
      <c r="A88" s="27"/>
      <c r="B88" s="28"/>
      <c r="C88" s="20" t="str">
        <f>IF($AL88="","",IFERROR(INDEX(Product_Registry!$C$2:$C$101,MATCH($AL88,Product_Registry!$A$2:$A$101,0)),""))</f>
        <v/>
      </c>
      <c r="D88" s="21" t="str">
        <f>IF($AL88="","",IFERROR(INDEX(Product_Registry!$D$2:$D$101,MATCH($AL88,Product_Registry!$A$2:$A$101,0)),""))</f>
        <v/>
      </c>
      <c r="E88" s="17" t="str">
        <f>IF($AL88="","",IFERROR(INDEX(Product_Registry!$E$2:$E$101,MATCH($AL88,Product_Registry!$A$2:$A$101,0)),""))</f>
        <v/>
      </c>
      <c r="F88" s="17" t="str">
        <f>IF($AL88="","",IFERROR(INDEX(Product_Registry!$F$2:$F$101,MATCH($AL88,Product_Registry!$A$2:$A$101,0)),""))</f>
        <v/>
      </c>
      <c r="G88" s="21" t="str">
        <f>IF($AL88="","",IFERROR(INDEX(Product_Registry!$G$2:$G$101,MATCH($AL88,Product_Registry!$A$2:$A$101,0)),""))</f>
        <v/>
      </c>
      <c r="H88" s="21" t="str">
        <f>IF($AL88="","",IFERROR(INDEX(Product_Registry!$H$2:$H$101,MATCH($AL88,Product_Registry!$A$2:$A$101,0)),""))</f>
        <v/>
      </c>
      <c r="I88" s="21" t="str">
        <f>IF($AL88="","",IFERROR(INDEX(Product_Registry!$I$2:$I$101,MATCH($AL88,Product_Registry!$A$2:$A$101,0)),""))</f>
        <v/>
      </c>
      <c r="J88" s="21" t="str">
        <f>IF($AL88="","",IFERROR(INDEX(Product_Registry!$J$2:$J$101,MATCH($AL88,Product_Registry!$A$2:$A$101,0)),""))</f>
        <v/>
      </c>
      <c r="K88" s="21" t="str">
        <f>IF($AL88="","",IFERROR(INDEX(Product_Registry!$K$2:$K$101,MATCH($AL88,Product_Registry!$A$2:$A$101,0)),""))</f>
        <v/>
      </c>
      <c r="L88" s="21" t="str">
        <f>IF($AL88="","",IFERROR(INDEX(Product_Registry!$L$2:$L$101,MATCH($AL88,Product_Registry!$A$2:$A$101,0)),""))</f>
        <v/>
      </c>
      <c r="M88" s="21" t="str">
        <f>IF($AL88="","",IFERROR(INDEX(Product_Registry!$M$2:$M$101,MATCH($AL88,Product_Registry!$A$2:$A$101,0)),""))</f>
        <v/>
      </c>
      <c r="N88" s="6" t="str">
        <f>IF($AL88="","",$E88+SUMIFS('Logic &amp; Lists'!$E$4:$E$200,'Logic &amp; Lists'!$A$4:$A$200,$AK88,'Logic &amp; Lists'!$C$4:$C$200,"Level 1 Schedule"))</f>
        <v/>
      </c>
      <c r="O88" s="6" t="str">
        <f>IF($AL88="","",$P88+SUMIFS('Logic &amp; Lists'!$E$4:$E$200,'Logic &amp; Lists'!$A$4:$A$200,$AK88,'Logic &amp; Lists'!$C$4:$C$200,"Input Frozen"))</f>
        <v/>
      </c>
      <c r="P88" s="6" t="str">
        <f>IF($AL88="","",$Q88+SUMIFS('Logic &amp; Lists'!$E$4:$E$200,'Logic &amp; Lists'!$A$4:$A$200,$AK88,'Logic &amp; Lists'!$C$4:$C$200,"Drawing Approval"))</f>
        <v/>
      </c>
      <c r="Q88" s="6" t="str">
        <f>IF($AL88="","",$S88+SUMIFS('Logic &amp; Lists'!$E$4:$E$200,'Logic &amp; Lists'!$A$4:$A$200,$AK88,'Logic &amp; Lists'!$C$4:$C$200,"BOM Pass to PR"))</f>
        <v/>
      </c>
      <c r="R88" s="6" t="str">
        <f>IF($AL88="","",$S88+SUMIFS('Logic &amp; Lists'!$E$4:$E$200,'Logic &amp; Lists'!$A$4:$A$200,$AK88,'Logic &amp; Lists'!$C$4:$C$200,"PR Schedule"))</f>
        <v/>
      </c>
      <c r="S88" s="6" t="str">
        <f>IF($AL88="","",$T88+SUMIFS('Logic &amp; Lists'!$E$4:$E$200,'Logic &amp; Lists'!$A$4:$A$200,$AK88,'Logic &amp; Lists'!$C$4:$C$200,"Components PO Plan"))</f>
        <v/>
      </c>
      <c r="T88" s="6" t="str">
        <f>IF($AL88="","",$U88+SUMIFS('Logic &amp; Lists'!$E$4:$E$200,'Logic &amp; Lists'!$A$4:$A$200,$AK88,'Logic &amp; Lists'!$C$4:$C$200,"Production Start"))</f>
        <v/>
      </c>
      <c r="U88" s="6" t="str">
        <f>IF($AL88="","",$W88+SUMIFS('Logic &amp; Lists'!$E$4:$E$200,'Logic &amp; Lists'!$A$4:$A$200,$AK88,'Logic &amp; Lists'!$C$4:$C$200,"Production Complete"))</f>
        <v/>
      </c>
      <c r="V88" s="6" t="str">
        <f>IF($AL88="","",$Y88+SUMIFS('Logic &amp; Lists'!$E$4:$E$200,'Logic &amp; Lists'!$A$4:$A$200,$AK88,'Logic &amp; Lists'!$C$4:$C$200,"NOI Date"))</f>
        <v/>
      </c>
      <c r="W88" s="6" t="str">
        <f>IF($AL88="","",$X88+SUMIFS('Logic &amp; Lists'!$E$4:$E$200,'Logic &amp; Lists'!$A$4:$A$200,$AK88,'Logic &amp; Lists'!$C$4:$C$200,"Internal Test Start"))</f>
        <v/>
      </c>
      <c r="X88" s="6" t="str">
        <f>IF($AL88="","",$Y88+SUMIFS('Logic &amp; Lists'!$E$4:$E$200,'Logic &amp; Lists'!$A$4:$A$200,$AK88,'Logic &amp; Lists'!$C$4:$C$200,"Internal Test Complete"))</f>
        <v/>
      </c>
      <c r="Y88" s="6" t="str">
        <f>IF($AL88="","",$AA88+SUMIFS('Logic &amp; Lists'!$E$4:$E$200,'Logic &amp; Lists'!$A$4:$A$200,$AK88,'Logic &amp; Lists'!$C$4:$C$200,"FAT Start"))</f>
        <v/>
      </c>
      <c r="Z88" s="6" t="str">
        <f>IF($AL88="","",$Y88+SUMIFS('Logic &amp; Lists'!$E$4:$E$200,'Logic &amp; Lists'!$A$4:$A$200,$AK88,'Logic &amp; Lists'!$C$4:$C$200,"FAT Complete"))</f>
        <v/>
      </c>
      <c r="AA88" s="6" t="str">
        <f>IF($AL88="","",$F88+SUMIFS('Logic &amp; Lists'!$E$4:$E$200,'Logic &amp; Lists'!$A$4:$A$200,$AK88,'Logic &amp; Lists'!$C$4:$C$200,"Delivery"))</f>
        <v/>
      </c>
      <c r="AB88" s="8"/>
      <c r="AC88" s="8"/>
      <c r="AD88" s="8"/>
      <c r="AE88" s="8"/>
      <c r="AF88" s="16"/>
      <c r="AG88" s="8"/>
      <c r="AH88" s="5" t="str">
        <f t="shared" si="4"/>
        <v/>
      </c>
      <c r="AI88" s="18" t="str">
        <f t="shared" ca="1" si="5"/>
        <v/>
      </c>
      <c r="AJ88" s="7"/>
      <c r="AK88" s="5" t="str">
        <f>IF($AL88="","",IF(COUNTIF('Logic &amp; Lists'!$A$4:$A$200,$C88)&gt;0,$C88,"Default"))</f>
        <v/>
      </c>
      <c r="AL88" t="str">
        <f>IF($A88&lt;&gt;"",$A88,IF($B88&lt;&gt;"",IFERROR(INDEX(Product_Registry!$A$2:$A$101,MATCH($B88,Product_Registry!$B$2:$B$101,0)),IFERROR(INDEX(Product_Registry!$A$2:$A$101,MATCH("*"&amp;$B88&amp;"*",Product_Registry!$B$2:$B$101,0)),"")),""))</f>
        <v/>
      </c>
      <c r="AM88" t="str">
        <f>IF($AL88="","",IFERROR(INDEX(Product_Registry!$B$2:$B$101,MATCH($AL88,Product_Registry!$A$2:$A$101,0)),""))</f>
        <v/>
      </c>
    </row>
    <row r="89" spans="1:39" x14ac:dyDescent="0.2">
      <c r="A89" s="27"/>
      <c r="B89" s="28"/>
      <c r="C89" s="20" t="str">
        <f>IF($AL89="","",IFERROR(INDEX(Product_Registry!$C$2:$C$101,MATCH($AL89,Product_Registry!$A$2:$A$101,0)),""))</f>
        <v/>
      </c>
      <c r="D89" s="21" t="str">
        <f>IF($AL89="","",IFERROR(INDEX(Product_Registry!$D$2:$D$101,MATCH($AL89,Product_Registry!$A$2:$A$101,0)),""))</f>
        <v/>
      </c>
      <c r="E89" s="17" t="str">
        <f>IF($AL89="","",IFERROR(INDEX(Product_Registry!$E$2:$E$101,MATCH($AL89,Product_Registry!$A$2:$A$101,0)),""))</f>
        <v/>
      </c>
      <c r="F89" s="17" t="str">
        <f>IF($AL89="","",IFERROR(INDEX(Product_Registry!$F$2:$F$101,MATCH($AL89,Product_Registry!$A$2:$A$101,0)),""))</f>
        <v/>
      </c>
      <c r="G89" s="21" t="str">
        <f>IF($AL89="","",IFERROR(INDEX(Product_Registry!$G$2:$G$101,MATCH($AL89,Product_Registry!$A$2:$A$101,0)),""))</f>
        <v/>
      </c>
      <c r="H89" s="21" t="str">
        <f>IF($AL89="","",IFERROR(INDEX(Product_Registry!$H$2:$H$101,MATCH($AL89,Product_Registry!$A$2:$A$101,0)),""))</f>
        <v/>
      </c>
      <c r="I89" s="21" t="str">
        <f>IF($AL89="","",IFERROR(INDEX(Product_Registry!$I$2:$I$101,MATCH($AL89,Product_Registry!$A$2:$A$101,0)),""))</f>
        <v/>
      </c>
      <c r="J89" s="21" t="str">
        <f>IF($AL89="","",IFERROR(INDEX(Product_Registry!$J$2:$J$101,MATCH($AL89,Product_Registry!$A$2:$A$101,0)),""))</f>
        <v/>
      </c>
      <c r="K89" s="21" t="str">
        <f>IF($AL89="","",IFERROR(INDEX(Product_Registry!$K$2:$K$101,MATCH($AL89,Product_Registry!$A$2:$A$101,0)),""))</f>
        <v/>
      </c>
      <c r="L89" s="21" t="str">
        <f>IF($AL89="","",IFERROR(INDEX(Product_Registry!$L$2:$L$101,MATCH($AL89,Product_Registry!$A$2:$A$101,0)),""))</f>
        <v/>
      </c>
      <c r="M89" s="21" t="str">
        <f>IF($AL89="","",IFERROR(INDEX(Product_Registry!$M$2:$M$101,MATCH($AL89,Product_Registry!$A$2:$A$101,0)),""))</f>
        <v/>
      </c>
      <c r="N89" s="6" t="str">
        <f>IF($AL89="","",$E89+SUMIFS('Logic &amp; Lists'!$E$4:$E$200,'Logic &amp; Lists'!$A$4:$A$200,$AK89,'Logic &amp; Lists'!$C$4:$C$200,"Level 1 Schedule"))</f>
        <v/>
      </c>
      <c r="O89" s="6" t="str">
        <f>IF($AL89="","",$P89+SUMIFS('Logic &amp; Lists'!$E$4:$E$200,'Logic &amp; Lists'!$A$4:$A$200,$AK89,'Logic &amp; Lists'!$C$4:$C$200,"Input Frozen"))</f>
        <v/>
      </c>
      <c r="P89" s="6" t="str">
        <f>IF($AL89="","",$Q89+SUMIFS('Logic &amp; Lists'!$E$4:$E$200,'Logic &amp; Lists'!$A$4:$A$200,$AK89,'Logic &amp; Lists'!$C$4:$C$200,"Drawing Approval"))</f>
        <v/>
      </c>
      <c r="Q89" s="6" t="str">
        <f>IF($AL89="","",$S89+SUMIFS('Logic &amp; Lists'!$E$4:$E$200,'Logic &amp; Lists'!$A$4:$A$200,$AK89,'Logic &amp; Lists'!$C$4:$C$200,"BOM Pass to PR"))</f>
        <v/>
      </c>
      <c r="R89" s="6" t="str">
        <f>IF($AL89="","",$S89+SUMIFS('Logic &amp; Lists'!$E$4:$E$200,'Logic &amp; Lists'!$A$4:$A$200,$AK89,'Logic &amp; Lists'!$C$4:$C$200,"PR Schedule"))</f>
        <v/>
      </c>
      <c r="S89" s="6" t="str">
        <f>IF($AL89="","",$T89+SUMIFS('Logic &amp; Lists'!$E$4:$E$200,'Logic &amp; Lists'!$A$4:$A$200,$AK89,'Logic &amp; Lists'!$C$4:$C$200,"Components PO Plan"))</f>
        <v/>
      </c>
      <c r="T89" s="6" t="str">
        <f>IF($AL89="","",$U89+SUMIFS('Logic &amp; Lists'!$E$4:$E$200,'Logic &amp; Lists'!$A$4:$A$200,$AK89,'Logic &amp; Lists'!$C$4:$C$200,"Production Start"))</f>
        <v/>
      </c>
      <c r="U89" s="6" t="str">
        <f>IF($AL89="","",$W89+SUMIFS('Logic &amp; Lists'!$E$4:$E$200,'Logic &amp; Lists'!$A$4:$A$200,$AK89,'Logic &amp; Lists'!$C$4:$C$200,"Production Complete"))</f>
        <v/>
      </c>
      <c r="V89" s="6" t="str">
        <f>IF($AL89="","",$Y89+SUMIFS('Logic &amp; Lists'!$E$4:$E$200,'Logic &amp; Lists'!$A$4:$A$200,$AK89,'Logic &amp; Lists'!$C$4:$C$200,"NOI Date"))</f>
        <v/>
      </c>
      <c r="W89" s="6" t="str">
        <f>IF($AL89="","",$X89+SUMIFS('Logic &amp; Lists'!$E$4:$E$200,'Logic &amp; Lists'!$A$4:$A$200,$AK89,'Logic &amp; Lists'!$C$4:$C$200,"Internal Test Start"))</f>
        <v/>
      </c>
      <c r="X89" s="6" t="str">
        <f>IF($AL89="","",$Y89+SUMIFS('Logic &amp; Lists'!$E$4:$E$200,'Logic &amp; Lists'!$A$4:$A$200,$AK89,'Logic &amp; Lists'!$C$4:$C$200,"Internal Test Complete"))</f>
        <v/>
      </c>
      <c r="Y89" s="6" t="str">
        <f>IF($AL89="","",$AA89+SUMIFS('Logic &amp; Lists'!$E$4:$E$200,'Logic &amp; Lists'!$A$4:$A$200,$AK89,'Logic &amp; Lists'!$C$4:$C$200,"FAT Start"))</f>
        <v/>
      </c>
      <c r="Z89" s="6" t="str">
        <f>IF($AL89="","",$Y89+SUMIFS('Logic &amp; Lists'!$E$4:$E$200,'Logic &amp; Lists'!$A$4:$A$200,$AK89,'Logic &amp; Lists'!$C$4:$C$200,"FAT Complete"))</f>
        <v/>
      </c>
      <c r="AA89" s="6" t="str">
        <f>IF($AL89="","",$F89+SUMIFS('Logic &amp; Lists'!$E$4:$E$200,'Logic &amp; Lists'!$A$4:$A$200,$AK89,'Logic &amp; Lists'!$C$4:$C$200,"Delivery"))</f>
        <v/>
      </c>
      <c r="AB89" s="8"/>
      <c r="AC89" s="8"/>
      <c r="AD89" s="8"/>
      <c r="AE89" s="8"/>
      <c r="AF89" s="16"/>
      <c r="AG89" s="8"/>
      <c r="AH89" s="5" t="str">
        <f t="shared" si="4"/>
        <v/>
      </c>
      <c r="AI89" s="18" t="str">
        <f t="shared" ca="1" si="5"/>
        <v/>
      </c>
      <c r="AJ89" s="7"/>
      <c r="AK89" s="5" t="str">
        <f>IF($AL89="","",IF(COUNTIF('Logic &amp; Lists'!$A$4:$A$200,$C89)&gt;0,$C89,"Default"))</f>
        <v/>
      </c>
      <c r="AL89" t="str">
        <f>IF($A89&lt;&gt;"",$A89,IF($B89&lt;&gt;"",IFERROR(INDEX(Product_Registry!$A$2:$A$101,MATCH($B89,Product_Registry!$B$2:$B$101,0)),IFERROR(INDEX(Product_Registry!$A$2:$A$101,MATCH("*"&amp;$B89&amp;"*",Product_Registry!$B$2:$B$101,0)),"")),""))</f>
        <v/>
      </c>
      <c r="AM89" t="str">
        <f>IF($AL89="","",IFERROR(INDEX(Product_Registry!$B$2:$B$101,MATCH($AL89,Product_Registry!$A$2:$A$101,0)),""))</f>
        <v/>
      </c>
    </row>
    <row r="90" spans="1:39" x14ac:dyDescent="0.2">
      <c r="A90" s="27"/>
      <c r="B90" s="28"/>
      <c r="C90" s="20" t="str">
        <f>IF($AL90="","",IFERROR(INDEX(Product_Registry!$C$2:$C$101,MATCH($AL90,Product_Registry!$A$2:$A$101,0)),""))</f>
        <v/>
      </c>
      <c r="D90" s="21" t="str">
        <f>IF($AL90="","",IFERROR(INDEX(Product_Registry!$D$2:$D$101,MATCH($AL90,Product_Registry!$A$2:$A$101,0)),""))</f>
        <v/>
      </c>
      <c r="E90" s="17" t="str">
        <f>IF($AL90="","",IFERROR(INDEX(Product_Registry!$E$2:$E$101,MATCH($AL90,Product_Registry!$A$2:$A$101,0)),""))</f>
        <v/>
      </c>
      <c r="F90" s="17" t="str">
        <f>IF($AL90="","",IFERROR(INDEX(Product_Registry!$F$2:$F$101,MATCH($AL90,Product_Registry!$A$2:$A$101,0)),""))</f>
        <v/>
      </c>
      <c r="G90" s="21" t="str">
        <f>IF($AL90="","",IFERROR(INDEX(Product_Registry!$G$2:$G$101,MATCH($AL90,Product_Registry!$A$2:$A$101,0)),""))</f>
        <v/>
      </c>
      <c r="H90" s="21" t="str">
        <f>IF($AL90="","",IFERROR(INDEX(Product_Registry!$H$2:$H$101,MATCH($AL90,Product_Registry!$A$2:$A$101,0)),""))</f>
        <v/>
      </c>
      <c r="I90" s="21" t="str">
        <f>IF($AL90="","",IFERROR(INDEX(Product_Registry!$I$2:$I$101,MATCH($AL90,Product_Registry!$A$2:$A$101,0)),""))</f>
        <v/>
      </c>
      <c r="J90" s="21" t="str">
        <f>IF($AL90="","",IFERROR(INDEX(Product_Registry!$J$2:$J$101,MATCH($AL90,Product_Registry!$A$2:$A$101,0)),""))</f>
        <v/>
      </c>
      <c r="K90" s="21" t="str">
        <f>IF($AL90="","",IFERROR(INDEX(Product_Registry!$K$2:$K$101,MATCH($AL90,Product_Registry!$A$2:$A$101,0)),""))</f>
        <v/>
      </c>
      <c r="L90" s="21" t="str">
        <f>IF($AL90="","",IFERROR(INDEX(Product_Registry!$L$2:$L$101,MATCH($AL90,Product_Registry!$A$2:$A$101,0)),""))</f>
        <v/>
      </c>
      <c r="M90" s="21" t="str">
        <f>IF($AL90="","",IFERROR(INDEX(Product_Registry!$M$2:$M$101,MATCH($AL90,Product_Registry!$A$2:$A$101,0)),""))</f>
        <v/>
      </c>
      <c r="N90" s="6" t="str">
        <f>IF($AL90="","",$E90+SUMIFS('Logic &amp; Lists'!$E$4:$E$200,'Logic &amp; Lists'!$A$4:$A$200,$AK90,'Logic &amp; Lists'!$C$4:$C$200,"Level 1 Schedule"))</f>
        <v/>
      </c>
      <c r="O90" s="6" t="str">
        <f>IF($AL90="","",$P90+SUMIFS('Logic &amp; Lists'!$E$4:$E$200,'Logic &amp; Lists'!$A$4:$A$200,$AK90,'Logic &amp; Lists'!$C$4:$C$200,"Input Frozen"))</f>
        <v/>
      </c>
      <c r="P90" s="6" t="str">
        <f>IF($AL90="","",$Q90+SUMIFS('Logic &amp; Lists'!$E$4:$E$200,'Logic &amp; Lists'!$A$4:$A$200,$AK90,'Logic &amp; Lists'!$C$4:$C$200,"Drawing Approval"))</f>
        <v/>
      </c>
      <c r="Q90" s="6" t="str">
        <f>IF($AL90="","",$S90+SUMIFS('Logic &amp; Lists'!$E$4:$E$200,'Logic &amp; Lists'!$A$4:$A$200,$AK90,'Logic &amp; Lists'!$C$4:$C$200,"BOM Pass to PR"))</f>
        <v/>
      </c>
      <c r="R90" s="6" t="str">
        <f>IF($AL90="","",$S90+SUMIFS('Logic &amp; Lists'!$E$4:$E$200,'Logic &amp; Lists'!$A$4:$A$200,$AK90,'Logic &amp; Lists'!$C$4:$C$200,"PR Schedule"))</f>
        <v/>
      </c>
      <c r="S90" s="6" t="str">
        <f>IF($AL90="","",$T90+SUMIFS('Logic &amp; Lists'!$E$4:$E$200,'Logic &amp; Lists'!$A$4:$A$200,$AK90,'Logic &amp; Lists'!$C$4:$C$200,"Components PO Plan"))</f>
        <v/>
      </c>
      <c r="T90" s="6" t="str">
        <f>IF($AL90="","",$U90+SUMIFS('Logic &amp; Lists'!$E$4:$E$200,'Logic &amp; Lists'!$A$4:$A$200,$AK90,'Logic &amp; Lists'!$C$4:$C$200,"Production Start"))</f>
        <v/>
      </c>
      <c r="U90" s="6" t="str">
        <f>IF($AL90="","",$W90+SUMIFS('Logic &amp; Lists'!$E$4:$E$200,'Logic &amp; Lists'!$A$4:$A$200,$AK90,'Logic &amp; Lists'!$C$4:$C$200,"Production Complete"))</f>
        <v/>
      </c>
      <c r="V90" s="6" t="str">
        <f>IF($AL90="","",$Y90+SUMIFS('Logic &amp; Lists'!$E$4:$E$200,'Logic &amp; Lists'!$A$4:$A$200,$AK90,'Logic &amp; Lists'!$C$4:$C$200,"NOI Date"))</f>
        <v/>
      </c>
      <c r="W90" s="6" t="str">
        <f>IF($AL90="","",$X90+SUMIFS('Logic &amp; Lists'!$E$4:$E$200,'Logic &amp; Lists'!$A$4:$A$200,$AK90,'Logic &amp; Lists'!$C$4:$C$200,"Internal Test Start"))</f>
        <v/>
      </c>
      <c r="X90" s="6" t="str">
        <f>IF($AL90="","",$Y90+SUMIFS('Logic &amp; Lists'!$E$4:$E$200,'Logic &amp; Lists'!$A$4:$A$200,$AK90,'Logic &amp; Lists'!$C$4:$C$200,"Internal Test Complete"))</f>
        <v/>
      </c>
      <c r="Y90" s="6" t="str">
        <f>IF($AL90="","",$AA90+SUMIFS('Logic &amp; Lists'!$E$4:$E$200,'Logic &amp; Lists'!$A$4:$A$200,$AK90,'Logic &amp; Lists'!$C$4:$C$200,"FAT Start"))</f>
        <v/>
      </c>
      <c r="Z90" s="6" t="str">
        <f>IF($AL90="","",$Y90+SUMIFS('Logic &amp; Lists'!$E$4:$E$200,'Logic &amp; Lists'!$A$4:$A$200,$AK90,'Logic &amp; Lists'!$C$4:$C$200,"FAT Complete"))</f>
        <v/>
      </c>
      <c r="AA90" s="6" t="str">
        <f>IF($AL90="","",$F90+SUMIFS('Logic &amp; Lists'!$E$4:$E$200,'Logic &amp; Lists'!$A$4:$A$200,$AK90,'Logic &amp; Lists'!$C$4:$C$200,"Delivery"))</f>
        <v/>
      </c>
      <c r="AB90" s="8"/>
      <c r="AC90" s="8"/>
      <c r="AD90" s="8"/>
      <c r="AE90" s="8"/>
      <c r="AF90" s="16"/>
      <c r="AG90" s="8"/>
      <c r="AH90" s="5" t="str">
        <f t="shared" si="4"/>
        <v/>
      </c>
      <c r="AI90" s="18" t="str">
        <f t="shared" ca="1" si="5"/>
        <v/>
      </c>
      <c r="AJ90" s="7"/>
      <c r="AK90" s="5" t="str">
        <f>IF($AL90="","",IF(COUNTIF('Logic &amp; Lists'!$A$4:$A$200,$C90)&gt;0,$C90,"Default"))</f>
        <v/>
      </c>
      <c r="AL90" t="str">
        <f>IF($A90&lt;&gt;"",$A90,IF($B90&lt;&gt;"",IFERROR(INDEX(Product_Registry!$A$2:$A$101,MATCH($B90,Product_Registry!$B$2:$B$101,0)),IFERROR(INDEX(Product_Registry!$A$2:$A$101,MATCH("*"&amp;$B90&amp;"*",Product_Registry!$B$2:$B$101,0)),"")),""))</f>
        <v/>
      </c>
      <c r="AM90" t="str">
        <f>IF($AL90="","",IFERROR(INDEX(Product_Registry!$B$2:$B$101,MATCH($AL90,Product_Registry!$A$2:$A$101,0)),""))</f>
        <v/>
      </c>
    </row>
    <row r="91" spans="1:39" x14ac:dyDescent="0.2">
      <c r="A91" s="27"/>
      <c r="B91" s="28"/>
      <c r="C91" s="20" t="str">
        <f>IF($AL91="","",IFERROR(INDEX(Product_Registry!$C$2:$C$101,MATCH($AL91,Product_Registry!$A$2:$A$101,0)),""))</f>
        <v/>
      </c>
      <c r="D91" s="21" t="str">
        <f>IF($AL91="","",IFERROR(INDEX(Product_Registry!$D$2:$D$101,MATCH($AL91,Product_Registry!$A$2:$A$101,0)),""))</f>
        <v/>
      </c>
      <c r="E91" s="17" t="str">
        <f>IF($AL91="","",IFERROR(INDEX(Product_Registry!$E$2:$E$101,MATCH($AL91,Product_Registry!$A$2:$A$101,0)),""))</f>
        <v/>
      </c>
      <c r="F91" s="17" t="str">
        <f>IF($AL91="","",IFERROR(INDEX(Product_Registry!$F$2:$F$101,MATCH($AL91,Product_Registry!$A$2:$A$101,0)),""))</f>
        <v/>
      </c>
      <c r="G91" s="21" t="str">
        <f>IF($AL91="","",IFERROR(INDEX(Product_Registry!$G$2:$G$101,MATCH($AL91,Product_Registry!$A$2:$A$101,0)),""))</f>
        <v/>
      </c>
      <c r="H91" s="21" t="str">
        <f>IF($AL91="","",IFERROR(INDEX(Product_Registry!$H$2:$H$101,MATCH($AL91,Product_Registry!$A$2:$A$101,0)),""))</f>
        <v/>
      </c>
      <c r="I91" s="21" t="str">
        <f>IF($AL91="","",IFERROR(INDEX(Product_Registry!$I$2:$I$101,MATCH($AL91,Product_Registry!$A$2:$A$101,0)),""))</f>
        <v/>
      </c>
      <c r="J91" s="21" t="str">
        <f>IF($AL91="","",IFERROR(INDEX(Product_Registry!$J$2:$J$101,MATCH($AL91,Product_Registry!$A$2:$A$101,0)),""))</f>
        <v/>
      </c>
      <c r="K91" s="21" t="str">
        <f>IF($AL91="","",IFERROR(INDEX(Product_Registry!$K$2:$K$101,MATCH($AL91,Product_Registry!$A$2:$A$101,0)),""))</f>
        <v/>
      </c>
      <c r="L91" s="21" t="str">
        <f>IF($AL91="","",IFERROR(INDEX(Product_Registry!$L$2:$L$101,MATCH($AL91,Product_Registry!$A$2:$A$101,0)),""))</f>
        <v/>
      </c>
      <c r="M91" s="21" t="str">
        <f>IF($AL91="","",IFERROR(INDEX(Product_Registry!$M$2:$M$101,MATCH($AL91,Product_Registry!$A$2:$A$101,0)),""))</f>
        <v/>
      </c>
      <c r="N91" s="6" t="str">
        <f>IF($AL91="","",$E91+SUMIFS('Logic &amp; Lists'!$E$4:$E$200,'Logic &amp; Lists'!$A$4:$A$200,$AK91,'Logic &amp; Lists'!$C$4:$C$200,"Level 1 Schedule"))</f>
        <v/>
      </c>
      <c r="O91" s="6" t="str">
        <f>IF($AL91="","",$P91+SUMIFS('Logic &amp; Lists'!$E$4:$E$200,'Logic &amp; Lists'!$A$4:$A$200,$AK91,'Logic &amp; Lists'!$C$4:$C$200,"Input Frozen"))</f>
        <v/>
      </c>
      <c r="P91" s="6" t="str">
        <f>IF($AL91="","",$Q91+SUMIFS('Logic &amp; Lists'!$E$4:$E$200,'Logic &amp; Lists'!$A$4:$A$200,$AK91,'Logic &amp; Lists'!$C$4:$C$200,"Drawing Approval"))</f>
        <v/>
      </c>
      <c r="Q91" s="6" t="str">
        <f>IF($AL91="","",$S91+SUMIFS('Logic &amp; Lists'!$E$4:$E$200,'Logic &amp; Lists'!$A$4:$A$200,$AK91,'Logic &amp; Lists'!$C$4:$C$200,"BOM Pass to PR"))</f>
        <v/>
      </c>
      <c r="R91" s="6" t="str">
        <f>IF($AL91="","",$S91+SUMIFS('Logic &amp; Lists'!$E$4:$E$200,'Logic &amp; Lists'!$A$4:$A$200,$AK91,'Logic &amp; Lists'!$C$4:$C$200,"PR Schedule"))</f>
        <v/>
      </c>
      <c r="S91" s="6" t="str">
        <f>IF($AL91="","",$T91+SUMIFS('Logic &amp; Lists'!$E$4:$E$200,'Logic &amp; Lists'!$A$4:$A$200,$AK91,'Logic &amp; Lists'!$C$4:$C$200,"Components PO Plan"))</f>
        <v/>
      </c>
      <c r="T91" s="6" t="str">
        <f>IF($AL91="","",$U91+SUMIFS('Logic &amp; Lists'!$E$4:$E$200,'Logic &amp; Lists'!$A$4:$A$200,$AK91,'Logic &amp; Lists'!$C$4:$C$200,"Production Start"))</f>
        <v/>
      </c>
      <c r="U91" s="6" t="str">
        <f>IF($AL91="","",$W91+SUMIFS('Logic &amp; Lists'!$E$4:$E$200,'Logic &amp; Lists'!$A$4:$A$200,$AK91,'Logic &amp; Lists'!$C$4:$C$200,"Production Complete"))</f>
        <v/>
      </c>
      <c r="V91" s="6" t="str">
        <f>IF($AL91="","",$Y91+SUMIFS('Logic &amp; Lists'!$E$4:$E$200,'Logic &amp; Lists'!$A$4:$A$200,$AK91,'Logic &amp; Lists'!$C$4:$C$200,"NOI Date"))</f>
        <v/>
      </c>
      <c r="W91" s="6" t="str">
        <f>IF($AL91="","",$X91+SUMIFS('Logic &amp; Lists'!$E$4:$E$200,'Logic &amp; Lists'!$A$4:$A$200,$AK91,'Logic &amp; Lists'!$C$4:$C$200,"Internal Test Start"))</f>
        <v/>
      </c>
      <c r="X91" s="6" t="str">
        <f>IF($AL91="","",$Y91+SUMIFS('Logic &amp; Lists'!$E$4:$E$200,'Logic &amp; Lists'!$A$4:$A$200,$AK91,'Logic &amp; Lists'!$C$4:$C$200,"Internal Test Complete"))</f>
        <v/>
      </c>
      <c r="Y91" s="6" t="str">
        <f>IF($AL91="","",$AA91+SUMIFS('Logic &amp; Lists'!$E$4:$E$200,'Logic &amp; Lists'!$A$4:$A$200,$AK91,'Logic &amp; Lists'!$C$4:$C$200,"FAT Start"))</f>
        <v/>
      </c>
      <c r="Z91" s="6" t="str">
        <f>IF($AL91="","",$Y91+SUMIFS('Logic &amp; Lists'!$E$4:$E$200,'Logic &amp; Lists'!$A$4:$A$200,$AK91,'Logic &amp; Lists'!$C$4:$C$200,"FAT Complete"))</f>
        <v/>
      </c>
      <c r="AA91" s="6" t="str">
        <f>IF($AL91="","",$F91+SUMIFS('Logic &amp; Lists'!$E$4:$E$200,'Logic &amp; Lists'!$A$4:$A$200,$AK91,'Logic &amp; Lists'!$C$4:$C$200,"Delivery"))</f>
        <v/>
      </c>
      <c r="AB91" s="8"/>
      <c r="AC91" s="8"/>
      <c r="AD91" s="8"/>
      <c r="AE91" s="8"/>
      <c r="AF91" s="16"/>
      <c r="AG91" s="8"/>
      <c r="AH91" s="5" t="str">
        <f t="shared" si="4"/>
        <v/>
      </c>
      <c r="AI91" s="18" t="str">
        <f t="shared" ca="1" si="5"/>
        <v/>
      </c>
      <c r="AJ91" s="7"/>
      <c r="AK91" s="5" t="str">
        <f>IF($AL91="","",IF(COUNTIF('Logic &amp; Lists'!$A$4:$A$200,$C91)&gt;0,$C91,"Default"))</f>
        <v/>
      </c>
      <c r="AL91" t="str">
        <f>IF($A91&lt;&gt;"",$A91,IF($B91&lt;&gt;"",IFERROR(INDEX(Product_Registry!$A$2:$A$101,MATCH($B91,Product_Registry!$B$2:$B$101,0)),IFERROR(INDEX(Product_Registry!$A$2:$A$101,MATCH("*"&amp;$B91&amp;"*",Product_Registry!$B$2:$B$101,0)),"")),""))</f>
        <v/>
      </c>
      <c r="AM91" t="str">
        <f>IF($AL91="","",IFERROR(INDEX(Product_Registry!$B$2:$B$101,MATCH($AL91,Product_Registry!$A$2:$A$101,0)),""))</f>
        <v/>
      </c>
    </row>
    <row r="92" spans="1:39" x14ac:dyDescent="0.2">
      <c r="A92" s="27"/>
      <c r="B92" s="28"/>
      <c r="C92" s="20" t="str">
        <f>IF($AL92="","",IFERROR(INDEX(Product_Registry!$C$2:$C$101,MATCH($AL92,Product_Registry!$A$2:$A$101,0)),""))</f>
        <v/>
      </c>
      <c r="D92" s="21" t="str">
        <f>IF($AL92="","",IFERROR(INDEX(Product_Registry!$D$2:$D$101,MATCH($AL92,Product_Registry!$A$2:$A$101,0)),""))</f>
        <v/>
      </c>
      <c r="E92" s="17" t="str">
        <f>IF($AL92="","",IFERROR(INDEX(Product_Registry!$E$2:$E$101,MATCH($AL92,Product_Registry!$A$2:$A$101,0)),""))</f>
        <v/>
      </c>
      <c r="F92" s="17" t="str">
        <f>IF($AL92="","",IFERROR(INDEX(Product_Registry!$F$2:$F$101,MATCH($AL92,Product_Registry!$A$2:$A$101,0)),""))</f>
        <v/>
      </c>
      <c r="G92" s="21" t="str">
        <f>IF($AL92="","",IFERROR(INDEX(Product_Registry!$G$2:$G$101,MATCH($AL92,Product_Registry!$A$2:$A$101,0)),""))</f>
        <v/>
      </c>
      <c r="H92" s="21" t="str">
        <f>IF($AL92="","",IFERROR(INDEX(Product_Registry!$H$2:$H$101,MATCH($AL92,Product_Registry!$A$2:$A$101,0)),""))</f>
        <v/>
      </c>
      <c r="I92" s="21" t="str">
        <f>IF($AL92="","",IFERROR(INDEX(Product_Registry!$I$2:$I$101,MATCH($AL92,Product_Registry!$A$2:$A$101,0)),""))</f>
        <v/>
      </c>
      <c r="J92" s="21" t="str">
        <f>IF($AL92="","",IFERROR(INDEX(Product_Registry!$J$2:$J$101,MATCH($AL92,Product_Registry!$A$2:$A$101,0)),""))</f>
        <v/>
      </c>
      <c r="K92" s="21" t="str">
        <f>IF($AL92="","",IFERROR(INDEX(Product_Registry!$K$2:$K$101,MATCH($AL92,Product_Registry!$A$2:$A$101,0)),""))</f>
        <v/>
      </c>
      <c r="L92" s="21" t="str">
        <f>IF($AL92="","",IFERROR(INDEX(Product_Registry!$L$2:$L$101,MATCH($AL92,Product_Registry!$A$2:$A$101,0)),""))</f>
        <v/>
      </c>
      <c r="M92" s="21" t="str">
        <f>IF($AL92="","",IFERROR(INDEX(Product_Registry!$M$2:$M$101,MATCH($AL92,Product_Registry!$A$2:$A$101,0)),""))</f>
        <v/>
      </c>
      <c r="N92" s="6" t="str">
        <f>IF($AL92="","",$E92+SUMIFS('Logic &amp; Lists'!$E$4:$E$200,'Logic &amp; Lists'!$A$4:$A$200,$AK92,'Logic &amp; Lists'!$C$4:$C$200,"Level 1 Schedule"))</f>
        <v/>
      </c>
      <c r="O92" s="6" t="str">
        <f>IF($AL92="","",$P92+SUMIFS('Logic &amp; Lists'!$E$4:$E$200,'Logic &amp; Lists'!$A$4:$A$200,$AK92,'Logic &amp; Lists'!$C$4:$C$200,"Input Frozen"))</f>
        <v/>
      </c>
      <c r="P92" s="6" t="str">
        <f>IF($AL92="","",$Q92+SUMIFS('Logic &amp; Lists'!$E$4:$E$200,'Logic &amp; Lists'!$A$4:$A$200,$AK92,'Logic &amp; Lists'!$C$4:$C$200,"Drawing Approval"))</f>
        <v/>
      </c>
      <c r="Q92" s="6" t="str">
        <f>IF($AL92="","",$S92+SUMIFS('Logic &amp; Lists'!$E$4:$E$200,'Logic &amp; Lists'!$A$4:$A$200,$AK92,'Logic &amp; Lists'!$C$4:$C$200,"BOM Pass to PR"))</f>
        <v/>
      </c>
      <c r="R92" s="6" t="str">
        <f>IF($AL92="","",$S92+SUMIFS('Logic &amp; Lists'!$E$4:$E$200,'Logic &amp; Lists'!$A$4:$A$200,$AK92,'Logic &amp; Lists'!$C$4:$C$200,"PR Schedule"))</f>
        <v/>
      </c>
      <c r="S92" s="6" t="str">
        <f>IF($AL92="","",$T92+SUMIFS('Logic &amp; Lists'!$E$4:$E$200,'Logic &amp; Lists'!$A$4:$A$200,$AK92,'Logic &amp; Lists'!$C$4:$C$200,"Components PO Plan"))</f>
        <v/>
      </c>
      <c r="T92" s="6" t="str">
        <f>IF($AL92="","",$U92+SUMIFS('Logic &amp; Lists'!$E$4:$E$200,'Logic &amp; Lists'!$A$4:$A$200,$AK92,'Logic &amp; Lists'!$C$4:$C$200,"Production Start"))</f>
        <v/>
      </c>
      <c r="U92" s="6" t="str">
        <f>IF($AL92="","",$W92+SUMIFS('Logic &amp; Lists'!$E$4:$E$200,'Logic &amp; Lists'!$A$4:$A$200,$AK92,'Logic &amp; Lists'!$C$4:$C$200,"Production Complete"))</f>
        <v/>
      </c>
      <c r="V92" s="6" t="str">
        <f>IF($AL92="","",$Y92+SUMIFS('Logic &amp; Lists'!$E$4:$E$200,'Logic &amp; Lists'!$A$4:$A$200,$AK92,'Logic &amp; Lists'!$C$4:$C$200,"NOI Date"))</f>
        <v/>
      </c>
      <c r="W92" s="6" t="str">
        <f>IF($AL92="","",$X92+SUMIFS('Logic &amp; Lists'!$E$4:$E$200,'Logic &amp; Lists'!$A$4:$A$200,$AK92,'Logic &amp; Lists'!$C$4:$C$200,"Internal Test Start"))</f>
        <v/>
      </c>
      <c r="X92" s="6" t="str">
        <f>IF($AL92="","",$Y92+SUMIFS('Logic &amp; Lists'!$E$4:$E$200,'Logic &amp; Lists'!$A$4:$A$200,$AK92,'Logic &amp; Lists'!$C$4:$C$200,"Internal Test Complete"))</f>
        <v/>
      </c>
      <c r="Y92" s="6" t="str">
        <f>IF($AL92="","",$AA92+SUMIFS('Logic &amp; Lists'!$E$4:$E$200,'Logic &amp; Lists'!$A$4:$A$200,$AK92,'Logic &amp; Lists'!$C$4:$C$200,"FAT Start"))</f>
        <v/>
      </c>
      <c r="Z92" s="6" t="str">
        <f>IF($AL92="","",$Y92+SUMIFS('Logic &amp; Lists'!$E$4:$E$200,'Logic &amp; Lists'!$A$4:$A$200,$AK92,'Logic &amp; Lists'!$C$4:$C$200,"FAT Complete"))</f>
        <v/>
      </c>
      <c r="AA92" s="6" t="str">
        <f>IF($AL92="","",$F92+SUMIFS('Logic &amp; Lists'!$E$4:$E$200,'Logic &amp; Lists'!$A$4:$A$200,$AK92,'Logic &amp; Lists'!$C$4:$C$200,"Delivery"))</f>
        <v/>
      </c>
      <c r="AB92" s="8"/>
      <c r="AC92" s="8"/>
      <c r="AD92" s="8"/>
      <c r="AE92" s="8"/>
      <c r="AF92" s="16"/>
      <c r="AG92" s="8"/>
      <c r="AH92" s="5" t="str">
        <f t="shared" si="4"/>
        <v/>
      </c>
      <c r="AI92" s="18" t="str">
        <f t="shared" ca="1" si="5"/>
        <v/>
      </c>
      <c r="AJ92" s="7"/>
      <c r="AK92" s="5" t="str">
        <f>IF($AL92="","",IF(COUNTIF('Logic &amp; Lists'!$A$4:$A$200,$C92)&gt;0,$C92,"Default"))</f>
        <v/>
      </c>
      <c r="AL92" t="str">
        <f>IF($A92&lt;&gt;"",$A92,IF($B92&lt;&gt;"",IFERROR(INDEX(Product_Registry!$A$2:$A$101,MATCH($B92,Product_Registry!$B$2:$B$101,0)),IFERROR(INDEX(Product_Registry!$A$2:$A$101,MATCH("*"&amp;$B92&amp;"*",Product_Registry!$B$2:$B$101,0)),"")),""))</f>
        <v/>
      </c>
      <c r="AM92" t="str">
        <f>IF($AL92="","",IFERROR(INDEX(Product_Registry!$B$2:$B$101,MATCH($AL92,Product_Registry!$A$2:$A$101,0)),""))</f>
        <v/>
      </c>
    </row>
    <row r="93" spans="1:39" x14ac:dyDescent="0.2">
      <c r="A93" s="27"/>
      <c r="B93" s="28"/>
      <c r="C93" s="20" t="str">
        <f>IF($AL93="","",IFERROR(INDEX(Product_Registry!$C$2:$C$101,MATCH($AL93,Product_Registry!$A$2:$A$101,0)),""))</f>
        <v/>
      </c>
      <c r="D93" s="21" t="str">
        <f>IF($AL93="","",IFERROR(INDEX(Product_Registry!$D$2:$D$101,MATCH($AL93,Product_Registry!$A$2:$A$101,0)),""))</f>
        <v/>
      </c>
      <c r="E93" s="17" t="str">
        <f>IF($AL93="","",IFERROR(INDEX(Product_Registry!$E$2:$E$101,MATCH($AL93,Product_Registry!$A$2:$A$101,0)),""))</f>
        <v/>
      </c>
      <c r="F93" s="17" t="str">
        <f>IF($AL93="","",IFERROR(INDEX(Product_Registry!$F$2:$F$101,MATCH($AL93,Product_Registry!$A$2:$A$101,0)),""))</f>
        <v/>
      </c>
      <c r="G93" s="21" t="str">
        <f>IF($AL93="","",IFERROR(INDEX(Product_Registry!$G$2:$G$101,MATCH($AL93,Product_Registry!$A$2:$A$101,0)),""))</f>
        <v/>
      </c>
      <c r="H93" s="21" t="str">
        <f>IF($AL93="","",IFERROR(INDEX(Product_Registry!$H$2:$H$101,MATCH($AL93,Product_Registry!$A$2:$A$101,0)),""))</f>
        <v/>
      </c>
      <c r="I93" s="21" t="str">
        <f>IF($AL93="","",IFERROR(INDEX(Product_Registry!$I$2:$I$101,MATCH($AL93,Product_Registry!$A$2:$A$101,0)),""))</f>
        <v/>
      </c>
      <c r="J93" s="21" t="str">
        <f>IF($AL93="","",IFERROR(INDEX(Product_Registry!$J$2:$J$101,MATCH($AL93,Product_Registry!$A$2:$A$101,0)),""))</f>
        <v/>
      </c>
      <c r="K93" s="21" t="str">
        <f>IF($AL93="","",IFERROR(INDEX(Product_Registry!$K$2:$K$101,MATCH($AL93,Product_Registry!$A$2:$A$101,0)),""))</f>
        <v/>
      </c>
      <c r="L93" s="21" t="str">
        <f>IF($AL93="","",IFERROR(INDEX(Product_Registry!$L$2:$L$101,MATCH($AL93,Product_Registry!$A$2:$A$101,0)),""))</f>
        <v/>
      </c>
      <c r="M93" s="21" t="str">
        <f>IF($AL93="","",IFERROR(INDEX(Product_Registry!$M$2:$M$101,MATCH($AL93,Product_Registry!$A$2:$A$101,0)),""))</f>
        <v/>
      </c>
      <c r="N93" s="6" t="str">
        <f>IF($AL93="","",$E93+SUMIFS('Logic &amp; Lists'!$E$4:$E$200,'Logic &amp; Lists'!$A$4:$A$200,$AK93,'Logic &amp; Lists'!$C$4:$C$200,"Level 1 Schedule"))</f>
        <v/>
      </c>
      <c r="O93" s="6" t="str">
        <f>IF($AL93="","",$P93+SUMIFS('Logic &amp; Lists'!$E$4:$E$200,'Logic &amp; Lists'!$A$4:$A$200,$AK93,'Logic &amp; Lists'!$C$4:$C$200,"Input Frozen"))</f>
        <v/>
      </c>
      <c r="P93" s="6" t="str">
        <f>IF($AL93="","",$Q93+SUMIFS('Logic &amp; Lists'!$E$4:$E$200,'Logic &amp; Lists'!$A$4:$A$200,$AK93,'Logic &amp; Lists'!$C$4:$C$200,"Drawing Approval"))</f>
        <v/>
      </c>
      <c r="Q93" s="6" t="str">
        <f>IF($AL93="","",$S93+SUMIFS('Logic &amp; Lists'!$E$4:$E$200,'Logic &amp; Lists'!$A$4:$A$200,$AK93,'Logic &amp; Lists'!$C$4:$C$200,"BOM Pass to PR"))</f>
        <v/>
      </c>
      <c r="R93" s="6" t="str">
        <f>IF($AL93="","",$S93+SUMIFS('Logic &amp; Lists'!$E$4:$E$200,'Logic &amp; Lists'!$A$4:$A$200,$AK93,'Logic &amp; Lists'!$C$4:$C$200,"PR Schedule"))</f>
        <v/>
      </c>
      <c r="S93" s="6" t="str">
        <f>IF($AL93="","",$T93+SUMIFS('Logic &amp; Lists'!$E$4:$E$200,'Logic &amp; Lists'!$A$4:$A$200,$AK93,'Logic &amp; Lists'!$C$4:$C$200,"Components PO Plan"))</f>
        <v/>
      </c>
      <c r="T93" s="6" t="str">
        <f>IF($AL93="","",$U93+SUMIFS('Logic &amp; Lists'!$E$4:$E$200,'Logic &amp; Lists'!$A$4:$A$200,$AK93,'Logic &amp; Lists'!$C$4:$C$200,"Production Start"))</f>
        <v/>
      </c>
      <c r="U93" s="6" t="str">
        <f>IF($AL93="","",$W93+SUMIFS('Logic &amp; Lists'!$E$4:$E$200,'Logic &amp; Lists'!$A$4:$A$200,$AK93,'Logic &amp; Lists'!$C$4:$C$200,"Production Complete"))</f>
        <v/>
      </c>
      <c r="V93" s="6" t="str">
        <f>IF($AL93="","",$Y93+SUMIFS('Logic &amp; Lists'!$E$4:$E$200,'Logic &amp; Lists'!$A$4:$A$200,$AK93,'Logic &amp; Lists'!$C$4:$C$200,"NOI Date"))</f>
        <v/>
      </c>
      <c r="W93" s="6" t="str">
        <f>IF($AL93="","",$X93+SUMIFS('Logic &amp; Lists'!$E$4:$E$200,'Logic &amp; Lists'!$A$4:$A$200,$AK93,'Logic &amp; Lists'!$C$4:$C$200,"Internal Test Start"))</f>
        <v/>
      </c>
      <c r="X93" s="6" t="str">
        <f>IF($AL93="","",$Y93+SUMIFS('Logic &amp; Lists'!$E$4:$E$200,'Logic &amp; Lists'!$A$4:$A$200,$AK93,'Logic &amp; Lists'!$C$4:$C$200,"Internal Test Complete"))</f>
        <v/>
      </c>
      <c r="Y93" s="6" t="str">
        <f>IF($AL93="","",$AA93+SUMIFS('Logic &amp; Lists'!$E$4:$E$200,'Logic &amp; Lists'!$A$4:$A$200,$AK93,'Logic &amp; Lists'!$C$4:$C$200,"FAT Start"))</f>
        <v/>
      </c>
      <c r="Z93" s="6" t="str">
        <f>IF($AL93="","",$Y93+SUMIFS('Logic &amp; Lists'!$E$4:$E$200,'Logic &amp; Lists'!$A$4:$A$200,$AK93,'Logic &amp; Lists'!$C$4:$C$200,"FAT Complete"))</f>
        <v/>
      </c>
      <c r="AA93" s="6" t="str">
        <f>IF($AL93="","",$F93+SUMIFS('Logic &amp; Lists'!$E$4:$E$200,'Logic &amp; Lists'!$A$4:$A$200,$AK93,'Logic &amp; Lists'!$C$4:$C$200,"Delivery"))</f>
        <v/>
      </c>
      <c r="AB93" s="8"/>
      <c r="AC93" s="8"/>
      <c r="AD93" s="8"/>
      <c r="AE93" s="8"/>
      <c r="AF93" s="16"/>
      <c r="AG93" s="8"/>
      <c r="AH93" s="5" t="str">
        <f t="shared" si="4"/>
        <v/>
      </c>
      <c r="AI93" s="18" t="str">
        <f t="shared" ca="1" si="5"/>
        <v/>
      </c>
      <c r="AJ93" s="7"/>
      <c r="AK93" s="5" t="str">
        <f>IF($AL93="","",IF(COUNTIF('Logic &amp; Lists'!$A$4:$A$200,$C93)&gt;0,$C93,"Default"))</f>
        <v/>
      </c>
      <c r="AL93" t="str">
        <f>IF($A93&lt;&gt;"",$A93,IF($B93&lt;&gt;"",IFERROR(INDEX(Product_Registry!$A$2:$A$101,MATCH($B93,Product_Registry!$B$2:$B$101,0)),IFERROR(INDEX(Product_Registry!$A$2:$A$101,MATCH("*"&amp;$B93&amp;"*",Product_Registry!$B$2:$B$101,0)),"")),""))</f>
        <v/>
      </c>
      <c r="AM93" t="str">
        <f>IF($AL93="","",IFERROR(INDEX(Product_Registry!$B$2:$B$101,MATCH($AL93,Product_Registry!$A$2:$A$101,0)),""))</f>
        <v/>
      </c>
    </row>
    <row r="94" spans="1:39" x14ac:dyDescent="0.2">
      <c r="A94" s="27"/>
      <c r="B94" s="28"/>
      <c r="C94" s="20" t="str">
        <f>IF($AL94="","",IFERROR(INDEX(Product_Registry!$C$2:$C$101,MATCH($AL94,Product_Registry!$A$2:$A$101,0)),""))</f>
        <v/>
      </c>
      <c r="D94" s="21" t="str">
        <f>IF($AL94="","",IFERROR(INDEX(Product_Registry!$D$2:$D$101,MATCH($AL94,Product_Registry!$A$2:$A$101,0)),""))</f>
        <v/>
      </c>
      <c r="E94" s="17" t="str">
        <f>IF($AL94="","",IFERROR(INDEX(Product_Registry!$E$2:$E$101,MATCH($AL94,Product_Registry!$A$2:$A$101,0)),""))</f>
        <v/>
      </c>
      <c r="F94" s="17" t="str">
        <f>IF($AL94="","",IFERROR(INDEX(Product_Registry!$F$2:$F$101,MATCH($AL94,Product_Registry!$A$2:$A$101,0)),""))</f>
        <v/>
      </c>
      <c r="G94" s="21" t="str">
        <f>IF($AL94="","",IFERROR(INDEX(Product_Registry!$G$2:$G$101,MATCH($AL94,Product_Registry!$A$2:$A$101,0)),""))</f>
        <v/>
      </c>
      <c r="H94" s="21" t="str">
        <f>IF($AL94="","",IFERROR(INDEX(Product_Registry!$H$2:$H$101,MATCH($AL94,Product_Registry!$A$2:$A$101,0)),""))</f>
        <v/>
      </c>
      <c r="I94" s="21" t="str">
        <f>IF($AL94="","",IFERROR(INDEX(Product_Registry!$I$2:$I$101,MATCH($AL94,Product_Registry!$A$2:$A$101,0)),""))</f>
        <v/>
      </c>
      <c r="J94" s="21" t="str">
        <f>IF($AL94="","",IFERROR(INDEX(Product_Registry!$J$2:$J$101,MATCH($AL94,Product_Registry!$A$2:$A$101,0)),""))</f>
        <v/>
      </c>
      <c r="K94" s="21" t="str">
        <f>IF($AL94="","",IFERROR(INDEX(Product_Registry!$K$2:$K$101,MATCH($AL94,Product_Registry!$A$2:$A$101,0)),""))</f>
        <v/>
      </c>
      <c r="L94" s="21" t="str">
        <f>IF($AL94="","",IFERROR(INDEX(Product_Registry!$L$2:$L$101,MATCH($AL94,Product_Registry!$A$2:$A$101,0)),""))</f>
        <v/>
      </c>
      <c r="M94" s="21" t="str">
        <f>IF($AL94="","",IFERROR(INDEX(Product_Registry!$M$2:$M$101,MATCH($AL94,Product_Registry!$A$2:$A$101,0)),""))</f>
        <v/>
      </c>
      <c r="N94" s="6" t="str">
        <f>IF($AL94="","",$E94+SUMIFS('Logic &amp; Lists'!$E$4:$E$200,'Logic &amp; Lists'!$A$4:$A$200,$AK94,'Logic &amp; Lists'!$C$4:$C$200,"Level 1 Schedule"))</f>
        <v/>
      </c>
      <c r="O94" s="6" t="str">
        <f>IF($AL94="","",$P94+SUMIFS('Logic &amp; Lists'!$E$4:$E$200,'Logic &amp; Lists'!$A$4:$A$200,$AK94,'Logic &amp; Lists'!$C$4:$C$200,"Input Frozen"))</f>
        <v/>
      </c>
      <c r="P94" s="6" t="str">
        <f>IF($AL94="","",$Q94+SUMIFS('Logic &amp; Lists'!$E$4:$E$200,'Logic &amp; Lists'!$A$4:$A$200,$AK94,'Logic &amp; Lists'!$C$4:$C$200,"Drawing Approval"))</f>
        <v/>
      </c>
      <c r="Q94" s="6" t="str">
        <f>IF($AL94="","",$S94+SUMIFS('Logic &amp; Lists'!$E$4:$E$200,'Logic &amp; Lists'!$A$4:$A$200,$AK94,'Logic &amp; Lists'!$C$4:$C$200,"BOM Pass to PR"))</f>
        <v/>
      </c>
      <c r="R94" s="6" t="str">
        <f>IF($AL94="","",$S94+SUMIFS('Logic &amp; Lists'!$E$4:$E$200,'Logic &amp; Lists'!$A$4:$A$200,$AK94,'Logic &amp; Lists'!$C$4:$C$200,"PR Schedule"))</f>
        <v/>
      </c>
      <c r="S94" s="6" t="str">
        <f>IF($AL94="","",$T94+SUMIFS('Logic &amp; Lists'!$E$4:$E$200,'Logic &amp; Lists'!$A$4:$A$200,$AK94,'Logic &amp; Lists'!$C$4:$C$200,"Components PO Plan"))</f>
        <v/>
      </c>
      <c r="T94" s="6" t="str">
        <f>IF($AL94="","",$U94+SUMIFS('Logic &amp; Lists'!$E$4:$E$200,'Logic &amp; Lists'!$A$4:$A$200,$AK94,'Logic &amp; Lists'!$C$4:$C$200,"Production Start"))</f>
        <v/>
      </c>
      <c r="U94" s="6" t="str">
        <f>IF($AL94="","",$W94+SUMIFS('Logic &amp; Lists'!$E$4:$E$200,'Logic &amp; Lists'!$A$4:$A$200,$AK94,'Logic &amp; Lists'!$C$4:$C$200,"Production Complete"))</f>
        <v/>
      </c>
      <c r="V94" s="6" t="str">
        <f>IF($AL94="","",$Y94+SUMIFS('Logic &amp; Lists'!$E$4:$E$200,'Logic &amp; Lists'!$A$4:$A$200,$AK94,'Logic &amp; Lists'!$C$4:$C$200,"NOI Date"))</f>
        <v/>
      </c>
      <c r="W94" s="6" t="str">
        <f>IF($AL94="","",$X94+SUMIFS('Logic &amp; Lists'!$E$4:$E$200,'Logic &amp; Lists'!$A$4:$A$200,$AK94,'Logic &amp; Lists'!$C$4:$C$200,"Internal Test Start"))</f>
        <v/>
      </c>
      <c r="X94" s="6" t="str">
        <f>IF($AL94="","",$Y94+SUMIFS('Logic &amp; Lists'!$E$4:$E$200,'Logic &amp; Lists'!$A$4:$A$200,$AK94,'Logic &amp; Lists'!$C$4:$C$200,"Internal Test Complete"))</f>
        <v/>
      </c>
      <c r="Y94" s="6" t="str">
        <f>IF($AL94="","",$AA94+SUMIFS('Logic &amp; Lists'!$E$4:$E$200,'Logic &amp; Lists'!$A$4:$A$200,$AK94,'Logic &amp; Lists'!$C$4:$C$200,"FAT Start"))</f>
        <v/>
      </c>
      <c r="Z94" s="6" t="str">
        <f>IF($AL94="","",$Y94+SUMIFS('Logic &amp; Lists'!$E$4:$E$200,'Logic &amp; Lists'!$A$4:$A$200,$AK94,'Logic &amp; Lists'!$C$4:$C$200,"FAT Complete"))</f>
        <v/>
      </c>
      <c r="AA94" s="6" t="str">
        <f>IF($AL94="","",$F94+SUMIFS('Logic &amp; Lists'!$E$4:$E$200,'Logic &amp; Lists'!$A$4:$A$200,$AK94,'Logic &amp; Lists'!$C$4:$C$200,"Delivery"))</f>
        <v/>
      </c>
      <c r="AB94" s="8"/>
      <c r="AC94" s="8"/>
      <c r="AD94" s="8"/>
      <c r="AE94" s="8"/>
      <c r="AF94" s="16"/>
      <c r="AG94" s="8"/>
      <c r="AH94" s="5" t="str">
        <f t="shared" si="4"/>
        <v/>
      </c>
      <c r="AI94" s="18" t="str">
        <f t="shared" ca="1" si="5"/>
        <v/>
      </c>
      <c r="AJ94" s="7"/>
      <c r="AK94" s="5" t="str">
        <f>IF($AL94="","",IF(COUNTIF('Logic &amp; Lists'!$A$4:$A$200,$C94)&gt;0,$C94,"Default"))</f>
        <v/>
      </c>
      <c r="AL94" t="str">
        <f>IF($A94&lt;&gt;"",$A94,IF($B94&lt;&gt;"",IFERROR(INDEX(Product_Registry!$A$2:$A$101,MATCH($B94,Product_Registry!$B$2:$B$101,0)),IFERROR(INDEX(Product_Registry!$A$2:$A$101,MATCH("*"&amp;$B94&amp;"*",Product_Registry!$B$2:$B$101,0)),"")),""))</f>
        <v/>
      </c>
      <c r="AM94" t="str">
        <f>IF($AL94="","",IFERROR(INDEX(Product_Registry!$B$2:$B$101,MATCH($AL94,Product_Registry!$A$2:$A$101,0)),""))</f>
        <v/>
      </c>
    </row>
    <row r="95" spans="1:39" x14ac:dyDescent="0.2">
      <c r="A95" s="27"/>
      <c r="B95" s="28"/>
      <c r="C95" s="20" t="str">
        <f>IF($AL95="","",IFERROR(INDEX(Product_Registry!$C$2:$C$101,MATCH($AL95,Product_Registry!$A$2:$A$101,0)),""))</f>
        <v/>
      </c>
      <c r="D95" s="21" t="str">
        <f>IF($AL95="","",IFERROR(INDEX(Product_Registry!$D$2:$D$101,MATCH($AL95,Product_Registry!$A$2:$A$101,0)),""))</f>
        <v/>
      </c>
      <c r="E95" s="17" t="str">
        <f>IF($AL95="","",IFERROR(INDEX(Product_Registry!$E$2:$E$101,MATCH($AL95,Product_Registry!$A$2:$A$101,0)),""))</f>
        <v/>
      </c>
      <c r="F95" s="17" t="str">
        <f>IF($AL95="","",IFERROR(INDEX(Product_Registry!$F$2:$F$101,MATCH($AL95,Product_Registry!$A$2:$A$101,0)),""))</f>
        <v/>
      </c>
      <c r="G95" s="21" t="str">
        <f>IF($AL95="","",IFERROR(INDEX(Product_Registry!$G$2:$G$101,MATCH($AL95,Product_Registry!$A$2:$A$101,0)),""))</f>
        <v/>
      </c>
      <c r="H95" s="21" t="str">
        <f>IF($AL95="","",IFERROR(INDEX(Product_Registry!$H$2:$H$101,MATCH($AL95,Product_Registry!$A$2:$A$101,0)),""))</f>
        <v/>
      </c>
      <c r="I95" s="21" t="str">
        <f>IF($AL95="","",IFERROR(INDEX(Product_Registry!$I$2:$I$101,MATCH($AL95,Product_Registry!$A$2:$A$101,0)),""))</f>
        <v/>
      </c>
      <c r="J95" s="21" t="str">
        <f>IF($AL95="","",IFERROR(INDEX(Product_Registry!$J$2:$J$101,MATCH($AL95,Product_Registry!$A$2:$A$101,0)),""))</f>
        <v/>
      </c>
      <c r="K95" s="21" t="str">
        <f>IF($AL95="","",IFERROR(INDEX(Product_Registry!$K$2:$K$101,MATCH($AL95,Product_Registry!$A$2:$A$101,0)),""))</f>
        <v/>
      </c>
      <c r="L95" s="21" t="str">
        <f>IF($AL95="","",IFERROR(INDEX(Product_Registry!$L$2:$L$101,MATCH($AL95,Product_Registry!$A$2:$A$101,0)),""))</f>
        <v/>
      </c>
      <c r="M95" s="21" t="str">
        <f>IF($AL95="","",IFERROR(INDEX(Product_Registry!$M$2:$M$101,MATCH($AL95,Product_Registry!$A$2:$A$101,0)),""))</f>
        <v/>
      </c>
      <c r="N95" s="6" t="str">
        <f>IF($AL95="","",$E95+SUMIFS('Logic &amp; Lists'!$E$4:$E$200,'Logic &amp; Lists'!$A$4:$A$200,$AK95,'Logic &amp; Lists'!$C$4:$C$200,"Level 1 Schedule"))</f>
        <v/>
      </c>
      <c r="O95" s="6" t="str">
        <f>IF($AL95="","",$P95+SUMIFS('Logic &amp; Lists'!$E$4:$E$200,'Logic &amp; Lists'!$A$4:$A$200,$AK95,'Logic &amp; Lists'!$C$4:$C$200,"Input Frozen"))</f>
        <v/>
      </c>
      <c r="P95" s="6" t="str">
        <f>IF($AL95="","",$Q95+SUMIFS('Logic &amp; Lists'!$E$4:$E$200,'Logic &amp; Lists'!$A$4:$A$200,$AK95,'Logic &amp; Lists'!$C$4:$C$200,"Drawing Approval"))</f>
        <v/>
      </c>
      <c r="Q95" s="6" t="str">
        <f>IF($AL95="","",$S95+SUMIFS('Logic &amp; Lists'!$E$4:$E$200,'Logic &amp; Lists'!$A$4:$A$200,$AK95,'Logic &amp; Lists'!$C$4:$C$200,"BOM Pass to PR"))</f>
        <v/>
      </c>
      <c r="R95" s="6" t="str">
        <f>IF($AL95="","",$S95+SUMIFS('Logic &amp; Lists'!$E$4:$E$200,'Logic &amp; Lists'!$A$4:$A$200,$AK95,'Logic &amp; Lists'!$C$4:$C$200,"PR Schedule"))</f>
        <v/>
      </c>
      <c r="S95" s="6" t="str">
        <f>IF($AL95="","",$T95+SUMIFS('Logic &amp; Lists'!$E$4:$E$200,'Logic &amp; Lists'!$A$4:$A$200,$AK95,'Logic &amp; Lists'!$C$4:$C$200,"Components PO Plan"))</f>
        <v/>
      </c>
      <c r="T95" s="6" t="str">
        <f>IF($AL95="","",$U95+SUMIFS('Logic &amp; Lists'!$E$4:$E$200,'Logic &amp; Lists'!$A$4:$A$200,$AK95,'Logic &amp; Lists'!$C$4:$C$200,"Production Start"))</f>
        <v/>
      </c>
      <c r="U95" s="6" t="str">
        <f>IF($AL95="","",$W95+SUMIFS('Logic &amp; Lists'!$E$4:$E$200,'Logic &amp; Lists'!$A$4:$A$200,$AK95,'Logic &amp; Lists'!$C$4:$C$200,"Production Complete"))</f>
        <v/>
      </c>
      <c r="V95" s="6" t="str">
        <f>IF($AL95="","",$Y95+SUMIFS('Logic &amp; Lists'!$E$4:$E$200,'Logic &amp; Lists'!$A$4:$A$200,$AK95,'Logic &amp; Lists'!$C$4:$C$200,"NOI Date"))</f>
        <v/>
      </c>
      <c r="W95" s="6" t="str">
        <f>IF($AL95="","",$X95+SUMIFS('Logic &amp; Lists'!$E$4:$E$200,'Logic &amp; Lists'!$A$4:$A$200,$AK95,'Logic &amp; Lists'!$C$4:$C$200,"Internal Test Start"))</f>
        <v/>
      </c>
      <c r="X95" s="6" t="str">
        <f>IF($AL95="","",$Y95+SUMIFS('Logic &amp; Lists'!$E$4:$E$200,'Logic &amp; Lists'!$A$4:$A$200,$AK95,'Logic &amp; Lists'!$C$4:$C$200,"Internal Test Complete"))</f>
        <v/>
      </c>
      <c r="Y95" s="6" t="str">
        <f>IF($AL95="","",$AA95+SUMIFS('Logic &amp; Lists'!$E$4:$E$200,'Logic &amp; Lists'!$A$4:$A$200,$AK95,'Logic &amp; Lists'!$C$4:$C$200,"FAT Start"))</f>
        <v/>
      </c>
      <c r="Z95" s="6" t="str">
        <f>IF($AL95="","",$Y95+SUMIFS('Logic &amp; Lists'!$E$4:$E$200,'Logic &amp; Lists'!$A$4:$A$200,$AK95,'Logic &amp; Lists'!$C$4:$C$200,"FAT Complete"))</f>
        <v/>
      </c>
      <c r="AA95" s="6" t="str">
        <f>IF($AL95="","",$F95+SUMIFS('Logic &amp; Lists'!$E$4:$E$200,'Logic &amp; Lists'!$A$4:$A$200,$AK95,'Logic &amp; Lists'!$C$4:$C$200,"Delivery"))</f>
        <v/>
      </c>
      <c r="AB95" s="8"/>
      <c r="AC95" s="8"/>
      <c r="AD95" s="8"/>
      <c r="AE95" s="8"/>
      <c r="AF95" s="16"/>
      <c r="AG95" s="8"/>
      <c r="AH95" s="5" t="str">
        <f t="shared" si="4"/>
        <v/>
      </c>
      <c r="AI95" s="18" t="str">
        <f t="shared" ca="1" si="5"/>
        <v/>
      </c>
      <c r="AJ95" s="7"/>
      <c r="AK95" s="5" t="str">
        <f>IF($AL95="","",IF(COUNTIF('Logic &amp; Lists'!$A$4:$A$200,$C95)&gt;0,$C95,"Default"))</f>
        <v/>
      </c>
      <c r="AL95" t="str">
        <f>IF($A95&lt;&gt;"",$A95,IF($B95&lt;&gt;"",IFERROR(INDEX(Product_Registry!$A$2:$A$101,MATCH($B95,Product_Registry!$B$2:$B$101,0)),IFERROR(INDEX(Product_Registry!$A$2:$A$101,MATCH("*"&amp;$B95&amp;"*",Product_Registry!$B$2:$B$101,0)),"")),""))</f>
        <v/>
      </c>
      <c r="AM95" t="str">
        <f>IF($AL95="","",IFERROR(INDEX(Product_Registry!$B$2:$B$101,MATCH($AL95,Product_Registry!$A$2:$A$101,0)),""))</f>
        <v/>
      </c>
    </row>
    <row r="96" spans="1:39" x14ac:dyDescent="0.2">
      <c r="A96" s="27"/>
      <c r="B96" s="28"/>
      <c r="C96" s="20" t="str">
        <f>IF($AL96="","",IFERROR(INDEX(Product_Registry!$C$2:$C$101,MATCH($AL96,Product_Registry!$A$2:$A$101,0)),""))</f>
        <v/>
      </c>
      <c r="D96" s="21" t="str">
        <f>IF($AL96="","",IFERROR(INDEX(Product_Registry!$D$2:$D$101,MATCH($AL96,Product_Registry!$A$2:$A$101,0)),""))</f>
        <v/>
      </c>
      <c r="E96" s="17" t="str">
        <f>IF($AL96="","",IFERROR(INDEX(Product_Registry!$E$2:$E$101,MATCH($AL96,Product_Registry!$A$2:$A$101,0)),""))</f>
        <v/>
      </c>
      <c r="F96" s="17" t="str">
        <f>IF($AL96="","",IFERROR(INDEX(Product_Registry!$F$2:$F$101,MATCH($AL96,Product_Registry!$A$2:$A$101,0)),""))</f>
        <v/>
      </c>
      <c r="G96" s="21" t="str">
        <f>IF($AL96="","",IFERROR(INDEX(Product_Registry!$G$2:$G$101,MATCH($AL96,Product_Registry!$A$2:$A$101,0)),""))</f>
        <v/>
      </c>
      <c r="H96" s="21" t="str">
        <f>IF($AL96="","",IFERROR(INDEX(Product_Registry!$H$2:$H$101,MATCH($AL96,Product_Registry!$A$2:$A$101,0)),""))</f>
        <v/>
      </c>
      <c r="I96" s="21" t="str">
        <f>IF($AL96="","",IFERROR(INDEX(Product_Registry!$I$2:$I$101,MATCH($AL96,Product_Registry!$A$2:$A$101,0)),""))</f>
        <v/>
      </c>
      <c r="J96" s="21" t="str">
        <f>IF($AL96="","",IFERROR(INDEX(Product_Registry!$J$2:$J$101,MATCH($AL96,Product_Registry!$A$2:$A$101,0)),""))</f>
        <v/>
      </c>
      <c r="K96" s="21" t="str">
        <f>IF($AL96="","",IFERROR(INDEX(Product_Registry!$K$2:$K$101,MATCH($AL96,Product_Registry!$A$2:$A$101,0)),""))</f>
        <v/>
      </c>
      <c r="L96" s="21" t="str">
        <f>IF($AL96="","",IFERROR(INDEX(Product_Registry!$L$2:$L$101,MATCH($AL96,Product_Registry!$A$2:$A$101,0)),""))</f>
        <v/>
      </c>
      <c r="M96" s="21" t="str">
        <f>IF($AL96="","",IFERROR(INDEX(Product_Registry!$M$2:$M$101,MATCH($AL96,Product_Registry!$A$2:$A$101,0)),""))</f>
        <v/>
      </c>
      <c r="N96" s="6" t="str">
        <f>IF($AL96="","",$E96+SUMIFS('Logic &amp; Lists'!$E$4:$E$200,'Logic &amp; Lists'!$A$4:$A$200,$AK96,'Logic &amp; Lists'!$C$4:$C$200,"Level 1 Schedule"))</f>
        <v/>
      </c>
      <c r="O96" s="6" t="str">
        <f>IF($AL96="","",$P96+SUMIFS('Logic &amp; Lists'!$E$4:$E$200,'Logic &amp; Lists'!$A$4:$A$200,$AK96,'Logic &amp; Lists'!$C$4:$C$200,"Input Frozen"))</f>
        <v/>
      </c>
      <c r="P96" s="6" t="str">
        <f>IF($AL96="","",$Q96+SUMIFS('Logic &amp; Lists'!$E$4:$E$200,'Logic &amp; Lists'!$A$4:$A$200,$AK96,'Logic &amp; Lists'!$C$4:$C$200,"Drawing Approval"))</f>
        <v/>
      </c>
      <c r="Q96" s="6" t="str">
        <f>IF($AL96="","",$S96+SUMIFS('Logic &amp; Lists'!$E$4:$E$200,'Logic &amp; Lists'!$A$4:$A$200,$AK96,'Logic &amp; Lists'!$C$4:$C$200,"BOM Pass to PR"))</f>
        <v/>
      </c>
      <c r="R96" s="6" t="str">
        <f>IF($AL96="","",$S96+SUMIFS('Logic &amp; Lists'!$E$4:$E$200,'Logic &amp; Lists'!$A$4:$A$200,$AK96,'Logic &amp; Lists'!$C$4:$C$200,"PR Schedule"))</f>
        <v/>
      </c>
      <c r="S96" s="6" t="str">
        <f>IF($AL96="","",$T96+SUMIFS('Logic &amp; Lists'!$E$4:$E$200,'Logic &amp; Lists'!$A$4:$A$200,$AK96,'Logic &amp; Lists'!$C$4:$C$200,"Components PO Plan"))</f>
        <v/>
      </c>
      <c r="T96" s="6" t="str">
        <f>IF($AL96="","",$U96+SUMIFS('Logic &amp; Lists'!$E$4:$E$200,'Logic &amp; Lists'!$A$4:$A$200,$AK96,'Logic &amp; Lists'!$C$4:$C$200,"Production Start"))</f>
        <v/>
      </c>
      <c r="U96" s="6" t="str">
        <f>IF($AL96="","",$W96+SUMIFS('Logic &amp; Lists'!$E$4:$E$200,'Logic &amp; Lists'!$A$4:$A$200,$AK96,'Logic &amp; Lists'!$C$4:$C$200,"Production Complete"))</f>
        <v/>
      </c>
      <c r="V96" s="6" t="str">
        <f>IF($AL96="","",$Y96+SUMIFS('Logic &amp; Lists'!$E$4:$E$200,'Logic &amp; Lists'!$A$4:$A$200,$AK96,'Logic &amp; Lists'!$C$4:$C$200,"NOI Date"))</f>
        <v/>
      </c>
      <c r="W96" s="6" t="str">
        <f>IF($AL96="","",$X96+SUMIFS('Logic &amp; Lists'!$E$4:$E$200,'Logic &amp; Lists'!$A$4:$A$200,$AK96,'Logic &amp; Lists'!$C$4:$C$200,"Internal Test Start"))</f>
        <v/>
      </c>
      <c r="X96" s="6" t="str">
        <f>IF($AL96="","",$Y96+SUMIFS('Logic &amp; Lists'!$E$4:$E$200,'Logic &amp; Lists'!$A$4:$A$200,$AK96,'Logic &amp; Lists'!$C$4:$C$200,"Internal Test Complete"))</f>
        <v/>
      </c>
      <c r="Y96" s="6" t="str">
        <f>IF($AL96="","",$AA96+SUMIFS('Logic &amp; Lists'!$E$4:$E$200,'Logic &amp; Lists'!$A$4:$A$200,$AK96,'Logic &amp; Lists'!$C$4:$C$200,"FAT Start"))</f>
        <v/>
      </c>
      <c r="Z96" s="6" t="str">
        <f>IF($AL96="","",$Y96+SUMIFS('Logic &amp; Lists'!$E$4:$E$200,'Logic &amp; Lists'!$A$4:$A$200,$AK96,'Logic &amp; Lists'!$C$4:$C$200,"FAT Complete"))</f>
        <v/>
      </c>
      <c r="AA96" s="6" t="str">
        <f>IF($AL96="","",$F96+SUMIFS('Logic &amp; Lists'!$E$4:$E$200,'Logic &amp; Lists'!$A$4:$A$200,$AK96,'Logic &amp; Lists'!$C$4:$C$200,"Delivery"))</f>
        <v/>
      </c>
      <c r="AB96" s="8"/>
      <c r="AC96" s="8"/>
      <c r="AD96" s="8"/>
      <c r="AE96" s="8"/>
      <c r="AF96" s="16"/>
      <c r="AG96" s="8"/>
      <c r="AH96" s="5" t="str">
        <f t="shared" si="4"/>
        <v/>
      </c>
      <c r="AI96" s="18" t="str">
        <f t="shared" ca="1" si="5"/>
        <v/>
      </c>
      <c r="AJ96" s="7"/>
      <c r="AK96" s="5" t="str">
        <f>IF($AL96="","",IF(COUNTIF('Logic &amp; Lists'!$A$4:$A$200,$C96)&gt;0,$C96,"Default"))</f>
        <v/>
      </c>
      <c r="AL96" t="str">
        <f>IF($A96&lt;&gt;"",$A96,IF($B96&lt;&gt;"",IFERROR(INDEX(Product_Registry!$A$2:$A$101,MATCH($B96,Product_Registry!$B$2:$B$101,0)),IFERROR(INDEX(Product_Registry!$A$2:$A$101,MATCH("*"&amp;$B96&amp;"*",Product_Registry!$B$2:$B$101,0)),"")),""))</f>
        <v/>
      </c>
      <c r="AM96" t="str">
        <f>IF($AL96="","",IFERROR(INDEX(Product_Registry!$B$2:$B$101,MATCH($AL96,Product_Registry!$A$2:$A$101,0)),""))</f>
        <v/>
      </c>
    </row>
    <row r="97" spans="1:39" x14ac:dyDescent="0.2">
      <c r="A97" s="27"/>
      <c r="B97" s="28"/>
      <c r="C97" s="20" t="str">
        <f>IF($AL97="","",IFERROR(INDEX(Product_Registry!$C$2:$C$101,MATCH($AL97,Product_Registry!$A$2:$A$101,0)),""))</f>
        <v/>
      </c>
      <c r="D97" s="21" t="str">
        <f>IF($AL97="","",IFERROR(INDEX(Product_Registry!$D$2:$D$101,MATCH($AL97,Product_Registry!$A$2:$A$101,0)),""))</f>
        <v/>
      </c>
      <c r="E97" s="17" t="str">
        <f>IF($AL97="","",IFERROR(INDEX(Product_Registry!$E$2:$E$101,MATCH($AL97,Product_Registry!$A$2:$A$101,0)),""))</f>
        <v/>
      </c>
      <c r="F97" s="17" t="str">
        <f>IF($AL97="","",IFERROR(INDEX(Product_Registry!$F$2:$F$101,MATCH($AL97,Product_Registry!$A$2:$A$101,0)),""))</f>
        <v/>
      </c>
      <c r="G97" s="21" t="str">
        <f>IF($AL97="","",IFERROR(INDEX(Product_Registry!$G$2:$G$101,MATCH($AL97,Product_Registry!$A$2:$A$101,0)),""))</f>
        <v/>
      </c>
      <c r="H97" s="21" t="str">
        <f>IF($AL97="","",IFERROR(INDEX(Product_Registry!$H$2:$H$101,MATCH($AL97,Product_Registry!$A$2:$A$101,0)),""))</f>
        <v/>
      </c>
      <c r="I97" s="21" t="str">
        <f>IF($AL97="","",IFERROR(INDEX(Product_Registry!$I$2:$I$101,MATCH($AL97,Product_Registry!$A$2:$A$101,0)),""))</f>
        <v/>
      </c>
      <c r="J97" s="21" t="str">
        <f>IF($AL97="","",IFERROR(INDEX(Product_Registry!$J$2:$J$101,MATCH($AL97,Product_Registry!$A$2:$A$101,0)),""))</f>
        <v/>
      </c>
      <c r="K97" s="21" t="str">
        <f>IF($AL97="","",IFERROR(INDEX(Product_Registry!$K$2:$K$101,MATCH($AL97,Product_Registry!$A$2:$A$101,0)),""))</f>
        <v/>
      </c>
      <c r="L97" s="21" t="str">
        <f>IF($AL97="","",IFERROR(INDEX(Product_Registry!$L$2:$L$101,MATCH($AL97,Product_Registry!$A$2:$A$101,0)),""))</f>
        <v/>
      </c>
      <c r="M97" s="21" t="str">
        <f>IF($AL97="","",IFERROR(INDEX(Product_Registry!$M$2:$M$101,MATCH($AL97,Product_Registry!$A$2:$A$101,0)),""))</f>
        <v/>
      </c>
      <c r="N97" s="6" t="str">
        <f>IF($AL97="","",$E97+SUMIFS('Logic &amp; Lists'!$E$4:$E$200,'Logic &amp; Lists'!$A$4:$A$200,$AK97,'Logic &amp; Lists'!$C$4:$C$200,"Level 1 Schedule"))</f>
        <v/>
      </c>
      <c r="O97" s="6" t="str">
        <f>IF($AL97="","",$P97+SUMIFS('Logic &amp; Lists'!$E$4:$E$200,'Logic &amp; Lists'!$A$4:$A$200,$AK97,'Logic &amp; Lists'!$C$4:$C$200,"Input Frozen"))</f>
        <v/>
      </c>
      <c r="P97" s="6" t="str">
        <f>IF($AL97="","",$Q97+SUMIFS('Logic &amp; Lists'!$E$4:$E$200,'Logic &amp; Lists'!$A$4:$A$200,$AK97,'Logic &amp; Lists'!$C$4:$C$200,"Drawing Approval"))</f>
        <v/>
      </c>
      <c r="Q97" s="6" t="str">
        <f>IF($AL97="","",$S97+SUMIFS('Logic &amp; Lists'!$E$4:$E$200,'Logic &amp; Lists'!$A$4:$A$200,$AK97,'Logic &amp; Lists'!$C$4:$C$200,"BOM Pass to PR"))</f>
        <v/>
      </c>
      <c r="R97" s="6" t="str">
        <f>IF($AL97="","",$S97+SUMIFS('Logic &amp; Lists'!$E$4:$E$200,'Logic &amp; Lists'!$A$4:$A$200,$AK97,'Logic &amp; Lists'!$C$4:$C$200,"PR Schedule"))</f>
        <v/>
      </c>
      <c r="S97" s="6" t="str">
        <f>IF($AL97="","",$T97+SUMIFS('Logic &amp; Lists'!$E$4:$E$200,'Logic &amp; Lists'!$A$4:$A$200,$AK97,'Logic &amp; Lists'!$C$4:$C$200,"Components PO Plan"))</f>
        <v/>
      </c>
      <c r="T97" s="6" t="str">
        <f>IF($AL97="","",$U97+SUMIFS('Logic &amp; Lists'!$E$4:$E$200,'Logic &amp; Lists'!$A$4:$A$200,$AK97,'Logic &amp; Lists'!$C$4:$C$200,"Production Start"))</f>
        <v/>
      </c>
      <c r="U97" s="6" t="str">
        <f>IF($AL97="","",$W97+SUMIFS('Logic &amp; Lists'!$E$4:$E$200,'Logic &amp; Lists'!$A$4:$A$200,$AK97,'Logic &amp; Lists'!$C$4:$C$200,"Production Complete"))</f>
        <v/>
      </c>
      <c r="V97" s="6" t="str">
        <f>IF($AL97="","",$Y97+SUMIFS('Logic &amp; Lists'!$E$4:$E$200,'Logic &amp; Lists'!$A$4:$A$200,$AK97,'Logic &amp; Lists'!$C$4:$C$200,"NOI Date"))</f>
        <v/>
      </c>
      <c r="W97" s="6" t="str">
        <f>IF($AL97="","",$X97+SUMIFS('Logic &amp; Lists'!$E$4:$E$200,'Logic &amp; Lists'!$A$4:$A$200,$AK97,'Logic &amp; Lists'!$C$4:$C$200,"Internal Test Start"))</f>
        <v/>
      </c>
      <c r="X97" s="6" t="str">
        <f>IF($AL97="","",$Y97+SUMIFS('Logic &amp; Lists'!$E$4:$E$200,'Logic &amp; Lists'!$A$4:$A$200,$AK97,'Logic &amp; Lists'!$C$4:$C$200,"Internal Test Complete"))</f>
        <v/>
      </c>
      <c r="Y97" s="6" t="str">
        <f>IF($AL97="","",$AA97+SUMIFS('Logic &amp; Lists'!$E$4:$E$200,'Logic &amp; Lists'!$A$4:$A$200,$AK97,'Logic &amp; Lists'!$C$4:$C$200,"FAT Start"))</f>
        <v/>
      </c>
      <c r="Z97" s="6" t="str">
        <f>IF($AL97="","",$Y97+SUMIFS('Logic &amp; Lists'!$E$4:$E$200,'Logic &amp; Lists'!$A$4:$A$200,$AK97,'Logic &amp; Lists'!$C$4:$C$200,"FAT Complete"))</f>
        <v/>
      </c>
      <c r="AA97" s="6" t="str">
        <f>IF($AL97="","",$F97+SUMIFS('Logic &amp; Lists'!$E$4:$E$200,'Logic &amp; Lists'!$A$4:$A$200,$AK97,'Logic &amp; Lists'!$C$4:$C$200,"Delivery"))</f>
        <v/>
      </c>
      <c r="AB97" s="8"/>
      <c r="AC97" s="8"/>
      <c r="AD97" s="8"/>
      <c r="AE97" s="8"/>
      <c r="AF97" s="16"/>
      <c r="AG97" s="8"/>
      <c r="AH97" s="5" t="str">
        <f t="shared" si="4"/>
        <v/>
      </c>
      <c r="AI97" s="18" t="str">
        <f t="shared" ca="1" si="5"/>
        <v/>
      </c>
      <c r="AJ97" s="7"/>
      <c r="AK97" s="5" t="str">
        <f>IF($AL97="","",IF(COUNTIF('Logic &amp; Lists'!$A$4:$A$200,$C97)&gt;0,$C97,"Default"))</f>
        <v/>
      </c>
      <c r="AL97" t="str">
        <f>IF($A97&lt;&gt;"",$A97,IF($B97&lt;&gt;"",IFERROR(INDEX(Product_Registry!$A$2:$A$101,MATCH($B97,Product_Registry!$B$2:$B$101,0)),IFERROR(INDEX(Product_Registry!$A$2:$A$101,MATCH("*"&amp;$B97&amp;"*",Product_Registry!$B$2:$B$101,0)),"")),""))</f>
        <v/>
      </c>
      <c r="AM97" t="str">
        <f>IF($AL97="","",IFERROR(INDEX(Product_Registry!$B$2:$B$101,MATCH($AL97,Product_Registry!$A$2:$A$101,0)),""))</f>
        <v/>
      </c>
    </row>
    <row r="98" spans="1:39" x14ac:dyDescent="0.2">
      <c r="A98" s="27"/>
      <c r="B98" s="28"/>
      <c r="C98" s="20" t="str">
        <f>IF($AL98="","",IFERROR(INDEX(Product_Registry!$C$2:$C$101,MATCH($AL98,Product_Registry!$A$2:$A$101,0)),""))</f>
        <v/>
      </c>
      <c r="D98" s="21" t="str">
        <f>IF($AL98="","",IFERROR(INDEX(Product_Registry!$D$2:$D$101,MATCH($AL98,Product_Registry!$A$2:$A$101,0)),""))</f>
        <v/>
      </c>
      <c r="E98" s="17" t="str">
        <f>IF($AL98="","",IFERROR(INDEX(Product_Registry!$E$2:$E$101,MATCH($AL98,Product_Registry!$A$2:$A$101,0)),""))</f>
        <v/>
      </c>
      <c r="F98" s="17" t="str">
        <f>IF($AL98="","",IFERROR(INDEX(Product_Registry!$F$2:$F$101,MATCH($AL98,Product_Registry!$A$2:$A$101,0)),""))</f>
        <v/>
      </c>
      <c r="G98" s="21" t="str">
        <f>IF($AL98="","",IFERROR(INDEX(Product_Registry!$G$2:$G$101,MATCH($AL98,Product_Registry!$A$2:$A$101,0)),""))</f>
        <v/>
      </c>
      <c r="H98" s="21" t="str">
        <f>IF($AL98="","",IFERROR(INDEX(Product_Registry!$H$2:$H$101,MATCH($AL98,Product_Registry!$A$2:$A$101,0)),""))</f>
        <v/>
      </c>
      <c r="I98" s="21" t="str">
        <f>IF($AL98="","",IFERROR(INDEX(Product_Registry!$I$2:$I$101,MATCH($AL98,Product_Registry!$A$2:$A$101,0)),""))</f>
        <v/>
      </c>
      <c r="J98" s="21" t="str">
        <f>IF($AL98="","",IFERROR(INDEX(Product_Registry!$J$2:$J$101,MATCH($AL98,Product_Registry!$A$2:$A$101,0)),""))</f>
        <v/>
      </c>
      <c r="K98" s="21" t="str">
        <f>IF($AL98="","",IFERROR(INDEX(Product_Registry!$K$2:$K$101,MATCH($AL98,Product_Registry!$A$2:$A$101,0)),""))</f>
        <v/>
      </c>
      <c r="L98" s="21" t="str">
        <f>IF($AL98="","",IFERROR(INDEX(Product_Registry!$L$2:$L$101,MATCH($AL98,Product_Registry!$A$2:$A$101,0)),""))</f>
        <v/>
      </c>
      <c r="M98" s="21" t="str">
        <f>IF($AL98="","",IFERROR(INDEX(Product_Registry!$M$2:$M$101,MATCH($AL98,Product_Registry!$A$2:$A$101,0)),""))</f>
        <v/>
      </c>
      <c r="N98" s="6" t="str">
        <f>IF($AL98="","",$E98+SUMIFS('Logic &amp; Lists'!$E$4:$E$200,'Logic &amp; Lists'!$A$4:$A$200,$AK98,'Logic &amp; Lists'!$C$4:$C$200,"Level 1 Schedule"))</f>
        <v/>
      </c>
      <c r="O98" s="6" t="str">
        <f>IF($AL98="","",$P98+SUMIFS('Logic &amp; Lists'!$E$4:$E$200,'Logic &amp; Lists'!$A$4:$A$200,$AK98,'Logic &amp; Lists'!$C$4:$C$200,"Input Frozen"))</f>
        <v/>
      </c>
      <c r="P98" s="6" t="str">
        <f>IF($AL98="","",$Q98+SUMIFS('Logic &amp; Lists'!$E$4:$E$200,'Logic &amp; Lists'!$A$4:$A$200,$AK98,'Logic &amp; Lists'!$C$4:$C$200,"Drawing Approval"))</f>
        <v/>
      </c>
      <c r="Q98" s="6" t="str">
        <f>IF($AL98="","",$S98+SUMIFS('Logic &amp; Lists'!$E$4:$E$200,'Logic &amp; Lists'!$A$4:$A$200,$AK98,'Logic &amp; Lists'!$C$4:$C$200,"BOM Pass to PR"))</f>
        <v/>
      </c>
      <c r="R98" s="6" t="str">
        <f>IF($AL98="","",$S98+SUMIFS('Logic &amp; Lists'!$E$4:$E$200,'Logic &amp; Lists'!$A$4:$A$200,$AK98,'Logic &amp; Lists'!$C$4:$C$200,"PR Schedule"))</f>
        <v/>
      </c>
      <c r="S98" s="6" t="str">
        <f>IF($AL98="","",$T98+SUMIFS('Logic &amp; Lists'!$E$4:$E$200,'Logic &amp; Lists'!$A$4:$A$200,$AK98,'Logic &amp; Lists'!$C$4:$C$200,"Components PO Plan"))</f>
        <v/>
      </c>
      <c r="T98" s="6" t="str">
        <f>IF($AL98="","",$U98+SUMIFS('Logic &amp; Lists'!$E$4:$E$200,'Logic &amp; Lists'!$A$4:$A$200,$AK98,'Logic &amp; Lists'!$C$4:$C$200,"Production Start"))</f>
        <v/>
      </c>
      <c r="U98" s="6" t="str">
        <f>IF($AL98="","",$W98+SUMIFS('Logic &amp; Lists'!$E$4:$E$200,'Logic &amp; Lists'!$A$4:$A$200,$AK98,'Logic &amp; Lists'!$C$4:$C$200,"Production Complete"))</f>
        <v/>
      </c>
      <c r="V98" s="6" t="str">
        <f>IF($AL98="","",$Y98+SUMIFS('Logic &amp; Lists'!$E$4:$E$200,'Logic &amp; Lists'!$A$4:$A$200,$AK98,'Logic &amp; Lists'!$C$4:$C$200,"NOI Date"))</f>
        <v/>
      </c>
      <c r="W98" s="6" t="str">
        <f>IF($AL98="","",$X98+SUMIFS('Logic &amp; Lists'!$E$4:$E$200,'Logic &amp; Lists'!$A$4:$A$200,$AK98,'Logic &amp; Lists'!$C$4:$C$200,"Internal Test Start"))</f>
        <v/>
      </c>
      <c r="X98" s="6" t="str">
        <f>IF($AL98="","",$Y98+SUMIFS('Logic &amp; Lists'!$E$4:$E$200,'Logic &amp; Lists'!$A$4:$A$200,$AK98,'Logic &amp; Lists'!$C$4:$C$200,"Internal Test Complete"))</f>
        <v/>
      </c>
      <c r="Y98" s="6" t="str">
        <f>IF($AL98="","",$AA98+SUMIFS('Logic &amp; Lists'!$E$4:$E$200,'Logic &amp; Lists'!$A$4:$A$200,$AK98,'Logic &amp; Lists'!$C$4:$C$200,"FAT Start"))</f>
        <v/>
      </c>
      <c r="Z98" s="6" t="str">
        <f>IF($AL98="","",$Y98+SUMIFS('Logic &amp; Lists'!$E$4:$E$200,'Logic &amp; Lists'!$A$4:$A$200,$AK98,'Logic &amp; Lists'!$C$4:$C$200,"FAT Complete"))</f>
        <v/>
      </c>
      <c r="AA98" s="6" t="str">
        <f>IF($AL98="","",$F98+SUMIFS('Logic &amp; Lists'!$E$4:$E$200,'Logic &amp; Lists'!$A$4:$A$200,$AK98,'Logic &amp; Lists'!$C$4:$C$200,"Delivery"))</f>
        <v/>
      </c>
      <c r="AB98" s="8"/>
      <c r="AC98" s="8"/>
      <c r="AD98" s="8"/>
      <c r="AE98" s="8"/>
      <c r="AF98" s="16"/>
      <c r="AG98" s="8"/>
      <c r="AH98" s="5" t="str">
        <f t="shared" si="4"/>
        <v/>
      </c>
      <c r="AI98" s="18" t="str">
        <f t="shared" ca="1" si="5"/>
        <v/>
      </c>
      <c r="AJ98" s="7"/>
      <c r="AK98" s="5" t="str">
        <f>IF($AL98="","",IF(COUNTIF('Logic &amp; Lists'!$A$4:$A$200,$C98)&gt;0,$C98,"Default"))</f>
        <v/>
      </c>
      <c r="AL98" t="str">
        <f>IF($A98&lt;&gt;"",$A98,IF($B98&lt;&gt;"",IFERROR(INDEX(Product_Registry!$A$2:$A$101,MATCH($B98,Product_Registry!$B$2:$B$101,0)),IFERROR(INDEX(Product_Registry!$A$2:$A$101,MATCH("*"&amp;$B98&amp;"*",Product_Registry!$B$2:$B$101,0)),"")),""))</f>
        <v/>
      </c>
      <c r="AM98" t="str">
        <f>IF($AL98="","",IFERROR(INDEX(Product_Registry!$B$2:$B$101,MATCH($AL98,Product_Registry!$A$2:$A$101,0)),""))</f>
        <v/>
      </c>
    </row>
    <row r="99" spans="1:39" x14ac:dyDescent="0.2">
      <c r="A99" s="27"/>
      <c r="B99" s="28"/>
      <c r="C99" s="20" t="str">
        <f>IF($AL99="","",IFERROR(INDEX(Product_Registry!$C$2:$C$101,MATCH($AL99,Product_Registry!$A$2:$A$101,0)),""))</f>
        <v/>
      </c>
      <c r="D99" s="21" t="str">
        <f>IF($AL99="","",IFERROR(INDEX(Product_Registry!$D$2:$D$101,MATCH($AL99,Product_Registry!$A$2:$A$101,0)),""))</f>
        <v/>
      </c>
      <c r="E99" s="17" t="str">
        <f>IF($AL99="","",IFERROR(INDEX(Product_Registry!$E$2:$E$101,MATCH($AL99,Product_Registry!$A$2:$A$101,0)),""))</f>
        <v/>
      </c>
      <c r="F99" s="17" t="str">
        <f>IF($AL99="","",IFERROR(INDEX(Product_Registry!$F$2:$F$101,MATCH($AL99,Product_Registry!$A$2:$A$101,0)),""))</f>
        <v/>
      </c>
      <c r="G99" s="21" t="str">
        <f>IF($AL99="","",IFERROR(INDEX(Product_Registry!$G$2:$G$101,MATCH($AL99,Product_Registry!$A$2:$A$101,0)),""))</f>
        <v/>
      </c>
      <c r="H99" s="21" t="str">
        <f>IF($AL99="","",IFERROR(INDEX(Product_Registry!$H$2:$H$101,MATCH($AL99,Product_Registry!$A$2:$A$101,0)),""))</f>
        <v/>
      </c>
      <c r="I99" s="21" t="str">
        <f>IF($AL99="","",IFERROR(INDEX(Product_Registry!$I$2:$I$101,MATCH($AL99,Product_Registry!$A$2:$A$101,0)),""))</f>
        <v/>
      </c>
      <c r="J99" s="21" t="str">
        <f>IF($AL99="","",IFERROR(INDEX(Product_Registry!$J$2:$J$101,MATCH($AL99,Product_Registry!$A$2:$A$101,0)),""))</f>
        <v/>
      </c>
      <c r="K99" s="21" t="str">
        <f>IF($AL99="","",IFERROR(INDEX(Product_Registry!$K$2:$K$101,MATCH($AL99,Product_Registry!$A$2:$A$101,0)),""))</f>
        <v/>
      </c>
      <c r="L99" s="21" t="str">
        <f>IF($AL99="","",IFERROR(INDEX(Product_Registry!$L$2:$L$101,MATCH($AL99,Product_Registry!$A$2:$A$101,0)),""))</f>
        <v/>
      </c>
      <c r="M99" s="21" t="str">
        <f>IF($AL99="","",IFERROR(INDEX(Product_Registry!$M$2:$M$101,MATCH($AL99,Product_Registry!$A$2:$A$101,0)),""))</f>
        <v/>
      </c>
      <c r="N99" s="6" t="str">
        <f>IF($AL99="","",$E99+SUMIFS('Logic &amp; Lists'!$E$4:$E$200,'Logic &amp; Lists'!$A$4:$A$200,$AK99,'Logic &amp; Lists'!$C$4:$C$200,"Level 1 Schedule"))</f>
        <v/>
      </c>
      <c r="O99" s="6" t="str">
        <f>IF($AL99="","",$P99+SUMIFS('Logic &amp; Lists'!$E$4:$E$200,'Logic &amp; Lists'!$A$4:$A$200,$AK99,'Logic &amp; Lists'!$C$4:$C$200,"Input Frozen"))</f>
        <v/>
      </c>
      <c r="P99" s="6" t="str">
        <f>IF($AL99="","",$Q99+SUMIFS('Logic &amp; Lists'!$E$4:$E$200,'Logic &amp; Lists'!$A$4:$A$200,$AK99,'Logic &amp; Lists'!$C$4:$C$200,"Drawing Approval"))</f>
        <v/>
      </c>
      <c r="Q99" s="6" t="str">
        <f>IF($AL99="","",$S99+SUMIFS('Logic &amp; Lists'!$E$4:$E$200,'Logic &amp; Lists'!$A$4:$A$200,$AK99,'Logic &amp; Lists'!$C$4:$C$200,"BOM Pass to PR"))</f>
        <v/>
      </c>
      <c r="R99" s="6" t="str">
        <f>IF($AL99="","",$S99+SUMIFS('Logic &amp; Lists'!$E$4:$E$200,'Logic &amp; Lists'!$A$4:$A$200,$AK99,'Logic &amp; Lists'!$C$4:$C$200,"PR Schedule"))</f>
        <v/>
      </c>
      <c r="S99" s="6" t="str">
        <f>IF($AL99="","",$T99+SUMIFS('Logic &amp; Lists'!$E$4:$E$200,'Logic &amp; Lists'!$A$4:$A$200,$AK99,'Logic &amp; Lists'!$C$4:$C$200,"Components PO Plan"))</f>
        <v/>
      </c>
      <c r="T99" s="6" t="str">
        <f>IF($AL99="","",$U99+SUMIFS('Logic &amp; Lists'!$E$4:$E$200,'Logic &amp; Lists'!$A$4:$A$200,$AK99,'Logic &amp; Lists'!$C$4:$C$200,"Production Start"))</f>
        <v/>
      </c>
      <c r="U99" s="6" t="str">
        <f>IF($AL99="","",$W99+SUMIFS('Logic &amp; Lists'!$E$4:$E$200,'Logic &amp; Lists'!$A$4:$A$200,$AK99,'Logic &amp; Lists'!$C$4:$C$200,"Production Complete"))</f>
        <v/>
      </c>
      <c r="V99" s="6" t="str">
        <f>IF($AL99="","",$Y99+SUMIFS('Logic &amp; Lists'!$E$4:$E$200,'Logic &amp; Lists'!$A$4:$A$200,$AK99,'Logic &amp; Lists'!$C$4:$C$200,"NOI Date"))</f>
        <v/>
      </c>
      <c r="W99" s="6" t="str">
        <f>IF($AL99="","",$X99+SUMIFS('Logic &amp; Lists'!$E$4:$E$200,'Logic &amp; Lists'!$A$4:$A$200,$AK99,'Logic &amp; Lists'!$C$4:$C$200,"Internal Test Start"))</f>
        <v/>
      </c>
      <c r="X99" s="6" t="str">
        <f>IF($AL99="","",$Y99+SUMIFS('Logic &amp; Lists'!$E$4:$E$200,'Logic &amp; Lists'!$A$4:$A$200,$AK99,'Logic &amp; Lists'!$C$4:$C$200,"Internal Test Complete"))</f>
        <v/>
      </c>
      <c r="Y99" s="6" t="str">
        <f>IF($AL99="","",$AA99+SUMIFS('Logic &amp; Lists'!$E$4:$E$200,'Logic &amp; Lists'!$A$4:$A$200,$AK99,'Logic &amp; Lists'!$C$4:$C$200,"FAT Start"))</f>
        <v/>
      </c>
      <c r="Z99" s="6" t="str">
        <f>IF($AL99="","",$Y99+SUMIFS('Logic &amp; Lists'!$E$4:$E$200,'Logic &amp; Lists'!$A$4:$A$200,$AK99,'Logic &amp; Lists'!$C$4:$C$200,"FAT Complete"))</f>
        <v/>
      </c>
      <c r="AA99" s="6" t="str">
        <f>IF($AL99="","",$F99+SUMIFS('Logic &amp; Lists'!$E$4:$E$200,'Logic &amp; Lists'!$A$4:$A$200,$AK99,'Logic &amp; Lists'!$C$4:$C$200,"Delivery"))</f>
        <v/>
      </c>
      <c r="AB99" s="8"/>
      <c r="AC99" s="8"/>
      <c r="AD99" s="8"/>
      <c r="AE99" s="8"/>
      <c r="AF99" s="16"/>
      <c r="AG99" s="8"/>
      <c r="AH99" s="5" t="str">
        <f t="shared" si="4"/>
        <v/>
      </c>
      <c r="AI99" s="18" t="str">
        <f t="shared" ca="1" si="5"/>
        <v/>
      </c>
      <c r="AJ99" s="7"/>
      <c r="AK99" s="5" t="str">
        <f>IF($AL99="","",IF(COUNTIF('Logic &amp; Lists'!$A$4:$A$200,$C99)&gt;0,$C99,"Default"))</f>
        <v/>
      </c>
      <c r="AL99" t="str">
        <f>IF($A99&lt;&gt;"",$A99,IF($B99&lt;&gt;"",IFERROR(INDEX(Product_Registry!$A$2:$A$101,MATCH($B99,Product_Registry!$B$2:$B$101,0)),IFERROR(INDEX(Product_Registry!$A$2:$A$101,MATCH("*"&amp;$B99&amp;"*",Product_Registry!$B$2:$B$101,0)),"")),""))</f>
        <v/>
      </c>
      <c r="AM99" t="str">
        <f>IF($AL99="","",IFERROR(INDEX(Product_Registry!$B$2:$B$101,MATCH($AL99,Product_Registry!$A$2:$A$101,0)),""))</f>
        <v/>
      </c>
    </row>
    <row r="100" spans="1:39" x14ac:dyDescent="0.2">
      <c r="A100" s="27"/>
      <c r="B100" s="28"/>
      <c r="C100" s="20" t="str">
        <f>IF($AL100="","",IFERROR(INDEX(Product_Registry!$C$2:$C$101,MATCH($AL100,Product_Registry!$A$2:$A$101,0)),""))</f>
        <v/>
      </c>
      <c r="D100" s="21" t="str">
        <f>IF($AL100="","",IFERROR(INDEX(Product_Registry!$D$2:$D$101,MATCH($AL100,Product_Registry!$A$2:$A$101,0)),""))</f>
        <v/>
      </c>
      <c r="E100" s="17" t="str">
        <f>IF($AL100="","",IFERROR(INDEX(Product_Registry!$E$2:$E$101,MATCH($AL100,Product_Registry!$A$2:$A$101,0)),""))</f>
        <v/>
      </c>
      <c r="F100" s="17" t="str">
        <f>IF($AL100="","",IFERROR(INDEX(Product_Registry!$F$2:$F$101,MATCH($AL100,Product_Registry!$A$2:$A$101,0)),""))</f>
        <v/>
      </c>
      <c r="G100" s="21" t="str">
        <f>IF($AL100="","",IFERROR(INDEX(Product_Registry!$G$2:$G$101,MATCH($AL100,Product_Registry!$A$2:$A$101,0)),""))</f>
        <v/>
      </c>
      <c r="H100" s="21" t="str">
        <f>IF($AL100="","",IFERROR(INDEX(Product_Registry!$H$2:$H$101,MATCH($AL100,Product_Registry!$A$2:$A$101,0)),""))</f>
        <v/>
      </c>
      <c r="I100" s="21" t="str">
        <f>IF($AL100="","",IFERROR(INDEX(Product_Registry!$I$2:$I$101,MATCH($AL100,Product_Registry!$A$2:$A$101,0)),""))</f>
        <v/>
      </c>
      <c r="J100" s="21" t="str">
        <f>IF($AL100="","",IFERROR(INDEX(Product_Registry!$J$2:$J$101,MATCH($AL100,Product_Registry!$A$2:$A$101,0)),""))</f>
        <v/>
      </c>
      <c r="K100" s="21" t="str">
        <f>IF($AL100="","",IFERROR(INDEX(Product_Registry!$K$2:$K$101,MATCH($AL100,Product_Registry!$A$2:$A$101,0)),""))</f>
        <v/>
      </c>
      <c r="L100" s="21" t="str">
        <f>IF($AL100="","",IFERROR(INDEX(Product_Registry!$L$2:$L$101,MATCH($AL100,Product_Registry!$A$2:$A$101,0)),""))</f>
        <v/>
      </c>
      <c r="M100" s="21" t="str">
        <f>IF($AL100="","",IFERROR(INDEX(Product_Registry!$M$2:$M$101,MATCH($AL100,Product_Registry!$A$2:$A$101,0)),""))</f>
        <v/>
      </c>
      <c r="N100" s="6" t="str">
        <f>IF($AL100="","",$E100+SUMIFS('Logic &amp; Lists'!$E$4:$E$200,'Logic &amp; Lists'!$A$4:$A$200,$AK100,'Logic &amp; Lists'!$C$4:$C$200,"Level 1 Schedule"))</f>
        <v/>
      </c>
      <c r="O100" s="6" t="str">
        <f>IF($AL100="","",$P100+SUMIFS('Logic &amp; Lists'!$E$4:$E$200,'Logic &amp; Lists'!$A$4:$A$200,$AK100,'Logic &amp; Lists'!$C$4:$C$200,"Input Frozen"))</f>
        <v/>
      </c>
      <c r="P100" s="6" t="str">
        <f>IF($AL100="","",$Q100+SUMIFS('Logic &amp; Lists'!$E$4:$E$200,'Logic &amp; Lists'!$A$4:$A$200,$AK100,'Logic &amp; Lists'!$C$4:$C$200,"Drawing Approval"))</f>
        <v/>
      </c>
      <c r="Q100" s="6" t="str">
        <f>IF($AL100="","",$S100+SUMIFS('Logic &amp; Lists'!$E$4:$E$200,'Logic &amp; Lists'!$A$4:$A$200,$AK100,'Logic &amp; Lists'!$C$4:$C$200,"BOM Pass to PR"))</f>
        <v/>
      </c>
      <c r="R100" s="6" t="str">
        <f>IF($AL100="","",$S100+SUMIFS('Logic &amp; Lists'!$E$4:$E$200,'Logic &amp; Lists'!$A$4:$A$200,$AK100,'Logic &amp; Lists'!$C$4:$C$200,"PR Schedule"))</f>
        <v/>
      </c>
      <c r="S100" s="6" t="str">
        <f>IF($AL100="","",$T100+SUMIFS('Logic &amp; Lists'!$E$4:$E$200,'Logic &amp; Lists'!$A$4:$A$200,$AK100,'Logic &amp; Lists'!$C$4:$C$200,"Components PO Plan"))</f>
        <v/>
      </c>
      <c r="T100" s="6" t="str">
        <f>IF($AL100="","",$U100+SUMIFS('Logic &amp; Lists'!$E$4:$E$200,'Logic &amp; Lists'!$A$4:$A$200,$AK100,'Logic &amp; Lists'!$C$4:$C$200,"Production Start"))</f>
        <v/>
      </c>
      <c r="U100" s="6" t="str">
        <f>IF($AL100="","",$W100+SUMIFS('Logic &amp; Lists'!$E$4:$E$200,'Logic &amp; Lists'!$A$4:$A$200,$AK100,'Logic &amp; Lists'!$C$4:$C$200,"Production Complete"))</f>
        <v/>
      </c>
      <c r="V100" s="6" t="str">
        <f>IF($AL100="","",$Y100+SUMIFS('Logic &amp; Lists'!$E$4:$E$200,'Logic &amp; Lists'!$A$4:$A$200,$AK100,'Logic &amp; Lists'!$C$4:$C$200,"NOI Date"))</f>
        <v/>
      </c>
      <c r="W100" s="6" t="str">
        <f>IF($AL100="","",$X100+SUMIFS('Logic &amp; Lists'!$E$4:$E$200,'Logic &amp; Lists'!$A$4:$A$200,$AK100,'Logic &amp; Lists'!$C$4:$C$200,"Internal Test Start"))</f>
        <v/>
      </c>
      <c r="X100" s="6" t="str">
        <f>IF($AL100="","",$Y100+SUMIFS('Logic &amp; Lists'!$E$4:$E$200,'Logic &amp; Lists'!$A$4:$A$200,$AK100,'Logic &amp; Lists'!$C$4:$C$200,"Internal Test Complete"))</f>
        <v/>
      </c>
      <c r="Y100" s="6" t="str">
        <f>IF($AL100="","",$AA100+SUMIFS('Logic &amp; Lists'!$E$4:$E$200,'Logic &amp; Lists'!$A$4:$A$200,$AK100,'Logic &amp; Lists'!$C$4:$C$200,"FAT Start"))</f>
        <v/>
      </c>
      <c r="Z100" s="6" t="str">
        <f>IF($AL100="","",$Y100+SUMIFS('Logic &amp; Lists'!$E$4:$E$200,'Logic &amp; Lists'!$A$4:$A$200,$AK100,'Logic &amp; Lists'!$C$4:$C$200,"FAT Complete"))</f>
        <v/>
      </c>
      <c r="AA100" s="6" t="str">
        <f>IF($AL100="","",$F100+SUMIFS('Logic &amp; Lists'!$E$4:$E$200,'Logic &amp; Lists'!$A$4:$A$200,$AK100,'Logic &amp; Lists'!$C$4:$C$200,"Delivery"))</f>
        <v/>
      </c>
      <c r="AB100" s="8"/>
      <c r="AC100" s="8"/>
      <c r="AD100" s="8"/>
      <c r="AE100" s="8"/>
      <c r="AF100" s="16"/>
      <c r="AG100" s="8"/>
      <c r="AH100" s="5" t="str">
        <f t="shared" si="4"/>
        <v/>
      </c>
      <c r="AI100" s="18" t="str">
        <f t="shared" ca="1" si="5"/>
        <v/>
      </c>
      <c r="AJ100" s="7"/>
      <c r="AK100" s="5" t="str">
        <f>IF($AL100="","",IF(COUNTIF('Logic &amp; Lists'!$A$4:$A$200,$C100)&gt;0,$C100,"Default"))</f>
        <v/>
      </c>
      <c r="AL100" t="str">
        <f>IF($A100&lt;&gt;"",$A100,IF($B100&lt;&gt;"",IFERROR(INDEX(Product_Registry!$A$2:$A$101,MATCH($B100,Product_Registry!$B$2:$B$101,0)),IFERROR(INDEX(Product_Registry!$A$2:$A$101,MATCH("*"&amp;$B100&amp;"*",Product_Registry!$B$2:$B$101,0)),"")),""))</f>
        <v/>
      </c>
      <c r="AM100" t="str">
        <f>IF($AL100="","",IFERROR(INDEX(Product_Registry!$B$2:$B$101,MATCH($AL100,Product_Registry!$A$2:$A$101,0)),""))</f>
        <v/>
      </c>
    </row>
    <row r="101" spans="1:39" x14ac:dyDescent="0.2">
      <c r="A101" s="27"/>
      <c r="B101" s="28"/>
      <c r="C101" s="20" t="str">
        <f>IF($AL101="","",IFERROR(INDEX(Product_Registry!$C$2:$C$101,MATCH($AL101,Product_Registry!$A$2:$A$101,0)),""))</f>
        <v/>
      </c>
      <c r="D101" s="21" t="str">
        <f>IF($AL101="","",IFERROR(INDEX(Product_Registry!$D$2:$D$101,MATCH($AL101,Product_Registry!$A$2:$A$101,0)),""))</f>
        <v/>
      </c>
      <c r="E101" s="17" t="str">
        <f>IF($AL101="","",IFERROR(INDEX(Product_Registry!$E$2:$E$101,MATCH($AL101,Product_Registry!$A$2:$A$101,0)),""))</f>
        <v/>
      </c>
      <c r="F101" s="17" t="str">
        <f>IF($AL101="","",IFERROR(INDEX(Product_Registry!$F$2:$F$101,MATCH($AL101,Product_Registry!$A$2:$A$101,0)),""))</f>
        <v/>
      </c>
      <c r="G101" s="21" t="str">
        <f>IF($AL101="","",IFERROR(INDEX(Product_Registry!$G$2:$G$101,MATCH($AL101,Product_Registry!$A$2:$A$101,0)),""))</f>
        <v/>
      </c>
      <c r="H101" s="21" t="str">
        <f>IF($AL101="","",IFERROR(INDEX(Product_Registry!$H$2:$H$101,MATCH($AL101,Product_Registry!$A$2:$A$101,0)),""))</f>
        <v/>
      </c>
      <c r="I101" s="21" t="str">
        <f>IF($AL101="","",IFERROR(INDEX(Product_Registry!$I$2:$I$101,MATCH($AL101,Product_Registry!$A$2:$A$101,0)),""))</f>
        <v/>
      </c>
      <c r="J101" s="21" t="str">
        <f>IF($AL101="","",IFERROR(INDEX(Product_Registry!$J$2:$J$101,MATCH($AL101,Product_Registry!$A$2:$A$101,0)),""))</f>
        <v/>
      </c>
      <c r="K101" s="21" t="str">
        <f>IF($AL101="","",IFERROR(INDEX(Product_Registry!$K$2:$K$101,MATCH($AL101,Product_Registry!$A$2:$A$101,0)),""))</f>
        <v/>
      </c>
      <c r="L101" s="21" t="str">
        <f>IF($AL101="","",IFERROR(INDEX(Product_Registry!$L$2:$L$101,MATCH($AL101,Product_Registry!$A$2:$A$101,0)),""))</f>
        <v/>
      </c>
      <c r="M101" s="21" t="str">
        <f>IF($AL101="","",IFERROR(INDEX(Product_Registry!$M$2:$M$101,MATCH($AL101,Product_Registry!$A$2:$A$101,0)),""))</f>
        <v/>
      </c>
      <c r="N101" s="6" t="str">
        <f>IF($AL101="","",$E101+SUMIFS('Logic &amp; Lists'!$E$4:$E$200,'Logic &amp; Lists'!$A$4:$A$200,$AK101,'Logic &amp; Lists'!$C$4:$C$200,"Level 1 Schedule"))</f>
        <v/>
      </c>
      <c r="O101" s="6" t="str">
        <f>IF($AL101="","",$P101+SUMIFS('Logic &amp; Lists'!$E$4:$E$200,'Logic &amp; Lists'!$A$4:$A$200,$AK101,'Logic &amp; Lists'!$C$4:$C$200,"Input Frozen"))</f>
        <v/>
      </c>
      <c r="P101" s="6" t="str">
        <f>IF($AL101="","",$Q101+SUMIFS('Logic &amp; Lists'!$E$4:$E$200,'Logic &amp; Lists'!$A$4:$A$200,$AK101,'Logic &amp; Lists'!$C$4:$C$200,"Drawing Approval"))</f>
        <v/>
      </c>
      <c r="Q101" s="6" t="str">
        <f>IF($AL101="","",$S101+SUMIFS('Logic &amp; Lists'!$E$4:$E$200,'Logic &amp; Lists'!$A$4:$A$200,$AK101,'Logic &amp; Lists'!$C$4:$C$200,"BOM Pass to PR"))</f>
        <v/>
      </c>
      <c r="R101" s="6" t="str">
        <f>IF($AL101="","",$S101+SUMIFS('Logic &amp; Lists'!$E$4:$E$200,'Logic &amp; Lists'!$A$4:$A$200,$AK101,'Logic &amp; Lists'!$C$4:$C$200,"PR Schedule"))</f>
        <v/>
      </c>
      <c r="S101" s="6" t="str">
        <f>IF($AL101="","",$T101+SUMIFS('Logic &amp; Lists'!$E$4:$E$200,'Logic &amp; Lists'!$A$4:$A$200,$AK101,'Logic &amp; Lists'!$C$4:$C$200,"Components PO Plan"))</f>
        <v/>
      </c>
      <c r="T101" s="6" t="str">
        <f>IF($AL101="","",$U101+SUMIFS('Logic &amp; Lists'!$E$4:$E$200,'Logic &amp; Lists'!$A$4:$A$200,$AK101,'Logic &amp; Lists'!$C$4:$C$200,"Production Start"))</f>
        <v/>
      </c>
      <c r="U101" s="6" t="str">
        <f>IF($AL101="","",$W101+SUMIFS('Logic &amp; Lists'!$E$4:$E$200,'Logic &amp; Lists'!$A$4:$A$200,$AK101,'Logic &amp; Lists'!$C$4:$C$200,"Production Complete"))</f>
        <v/>
      </c>
      <c r="V101" s="6" t="str">
        <f>IF($AL101="","",$Y101+SUMIFS('Logic &amp; Lists'!$E$4:$E$200,'Logic &amp; Lists'!$A$4:$A$200,$AK101,'Logic &amp; Lists'!$C$4:$C$200,"NOI Date"))</f>
        <v/>
      </c>
      <c r="W101" s="6" t="str">
        <f>IF($AL101="","",$X101+SUMIFS('Logic &amp; Lists'!$E$4:$E$200,'Logic &amp; Lists'!$A$4:$A$200,$AK101,'Logic &amp; Lists'!$C$4:$C$200,"Internal Test Start"))</f>
        <v/>
      </c>
      <c r="X101" s="6" t="str">
        <f>IF($AL101="","",$Y101+SUMIFS('Logic &amp; Lists'!$E$4:$E$200,'Logic &amp; Lists'!$A$4:$A$200,$AK101,'Logic &amp; Lists'!$C$4:$C$200,"Internal Test Complete"))</f>
        <v/>
      </c>
      <c r="Y101" s="6" t="str">
        <f>IF($AL101="","",$AA101+SUMIFS('Logic &amp; Lists'!$E$4:$E$200,'Logic &amp; Lists'!$A$4:$A$200,$AK101,'Logic &amp; Lists'!$C$4:$C$200,"FAT Start"))</f>
        <v/>
      </c>
      <c r="Z101" s="6" t="str">
        <f>IF($AL101="","",$Y101+SUMIFS('Logic &amp; Lists'!$E$4:$E$200,'Logic &amp; Lists'!$A$4:$A$200,$AK101,'Logic &amp; Lists'!$C$4:$C$200,"FAT Complete"))</f>
        <v/>
      </c>
      <c r="AA101" s="6" t="str">
        <f>IF($AL101="","",$F101+SUMIFS('Logic &amp; Lists'!$E$4:$E$200,'Logic &amp; Lists'!$A$4:$A$200,$AK101,'Logic &amp; Lists'!$C$4:$C$200,"Delivery"))</f>
        <v/>
      </c>
      <c r="AB101" s="8"/>
      <c r="AC101" s="8"/>
      <c r="AD101" s="8"/>
      <c r="AE101" s="8"/>
      <c r="AF101" s="16"/>
      <c r="AG101" s="8"/>
      <c r="AH101" s="5" t="str">
        <f t="shared" si="4"/>
        <v/>
      </c>
      <c r="AI101" s="18" t="str">
        <f t="shared" ca="1" si="5"/>
        <v/>
      </c>
      <c r="AJ101" s="7"/>
      <c r="AK101" s="5" t="str">
        <f>IF($AL101="","",IF(COUNTIF('Logic &amp; Lists'!$A$4:$A$200,$C101)&gt;0,$C101,"Default"))</f>
        <v/>
      </c>
      <c r="AL101" t="str">
        <f>IF($A101&lt;&gt;"",$A101,IF($B101&lt;&gt;"",IFERROR(INDEX(Product_Registry!$A$2:$A$101,MATCH($B101,Product_Registry!$B$2:$B$101,0)),IFERROR(INDEX(Product_Registry!$A$2:$A$101,MATCH("*"&amp;$B101&amp;"*",Product_Registry!$B$2:$B$101,0)),"")),""))</f>
        <v/>
      </c>
      <c r="AM101" t="str">
        <f>IF($AL101="","",IFERROR(INDEX(Product_Registry!$B$2:$B$101,MATCH($AL101,Product_Registry!$A$2:$A$101,0)),""))</f>
        <v/>
      </c>
    </row>
    <row r="103" spans="1:39" ht="115.25" customHeight="1" x14ac:dyDescent="0.2">
      <c r="A103" s="13" t="s">
        <v>143</v>
      </c>
    </row>
  </sheetData>
  <conditionalFormatting sqref="AI2:AI101">
    <cfRule type="cellIs" dxfId="8" priority="1" operator="lessThan">
      <formula>0</formula>
    </cfRule>
    <cfRule type="cellIs" dxfId="7" priority="2" operator="between">
      <formula>0</formula>
      <formula>30</formula>
    </cfRule>
  </conditionalFormatting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3"/>
  <sheetViews>
    <sheetView topLeftCell="G1" zoomScale="107" workbookViewId="0">
      <selection activeCell="O2" sqref="O2"/>
    </sheetView>
  </sheetViews>
  <sheetFormatPr baseColWidth="10" defaultColWidth="8.83203125" defaultRowHeight="15" x14ac:dyDescent="0.2"/>
  <cols>
    <col min="1" max="1" width="12" customWidth="1"/>
    <col min="2" max="2" width="24" customWidth="1"/>
    <col min="3" max="3" width="18" customWidth="1"/>
    <col min="4" max="4" width="20" customWidth="1"/>
    <col min="5" max="6" width="15" customWidth="1"/>
    <col min="7" max="7" width="16" customWidth="1"/>
    <col min="8" max="8" width="14" customWidth="1"/>
    <col min="9" max="9" width="16" customWidth="1"/>
    <col min="10" max="12" width="18" customWidth="1"/>
    <col min="13" max="13" width="16" customWidth="1"/>
    <col min="14" max="14" width="28" customWidth="1"/>
    <col min="15" max="15" width="15" customWidth="1"/>
    <col min="16" max="16" width="18" customWidth="1"/>
    <col min="17" max="17" width="17" customWidth="1"/>
    <col min="18" max="18" width="15" customWidth="1"/>
    <col min="19" max="19" width="12" customWidth="1"/>
  </cols>
  <sheetData>
    <row r="1" spans="1:19" ht="22" customHeight="1" x14ac:dyDescent="0.2">
      <c r="A1" s="15" t="s">
        <v>94</v>
      </c>
      <c r="B1" s="15" t="s">
        <v>95</v>
      </c>
      <c r="C1" s="15" t="s">
        <v>96</v>
      </c>
      <c r="D1" s="15" t="s">
        <v>97</v>
      </c>
      <c r="E1" s="15" t="s">
        <v>98</v>
      </c>
      <c r="F1" s="15" t="s">
        <v>20</v>
      </c>
      <c r="G1" s="15" t="s">
        <v>99</v>
      </c>
      <c r="H1" s="15" t="s">
        <v>100</v>
      </c>
      <c r="I1" s="15" t="s">
        <v>101</v>
      </c>
      <c r="J1" s="15" t="s">
        <v>102</v>
      </c>
      <c r="K1" s="15" t="s">
        <v>103</v>
      </c>
      <c r="L1" s="15" t="s">
        <v>104</v>
      </c>
      <c r="M1" s="15" t="s">
        <v>105</v>
      </c>
      <c r="N1" s="15" t="s">
        <v>106</v>
      </c>
      <c r="O1" s="15" t="s">
        <v>107</v>
      </c>
      <c r="P1" s="15" t="s">
        <v>108</v>
      </c>
      <c r="Q1" s="15" t="s">
        <v>109</v>
      </c>
      <c r="R1" s="15" t="s">
        <v>110</v>
      </c>
      <c r="S1" s="15" t="s">
        <v>111</v>
      </c>
    </row>
    <row r="2" spans="1:19" ht="22" customHeight="1" x14ac:dyDescent="0.2">
      <c r="A2" s="9">
        <v>123456</v>
      </c>
      <c r="B2" s="7" t="s">
        <v>112</v>
      </c>
      <c r="C2" s="9" t="s">
        <v>64</v>
      </c>
      <c r="D2" s="7" t="s">
        <v>113</v>
      </c>
      <c r="E2" s="16">
        <v>46091</v>
      </c>
      <c r="F2" s="16">
        <f>DATE(2026,10,20)</f>
        <v>46315</v>
      </c>
      <c r="G2" s="7" t="s">
        <v>114</v>
      </c>
      <c r="H2" s="7" t="s">
        <v>115</v>
      </c>
      <c r="I2" s="7" t="s">
        <v>116</v>
      </c>
      <c r="J2" s="7" t="s">
        <v>117</v>
      </c>
      <c r="K2" s="7" t="s">
        <v>118</v>
      </c>
      <c r="L2" s="7" t="s">
        <v>119</v>
      </c>
      <c r="M2" s="7" t="s">
        <v>120</v>
      </c>
      <c r="N2" s="7" t="s">
        <v>121</v>
      </c>
      <c r="O2" s="17">
        <f>IF($A2="","",IFERROR(INDEX(Project_Tracker!$N$2:$N$101,MATCH($A2,Project_Tracker!$AL$2:$AL$101,0)),""))</f>
        <v>46119</v>
      </c>
      <c r="P2" s="17">
        <f>IF($A2="","",IFERROR(INDEX(Project_Tracker!$S$2:$S$101,MATCH($A2,Project_Tracker!$AL$2:$AL$101,0)),""))</f>
        <v>46104</v>
      </c>
      <c r="Q2" s="17">
        <f>IF($A2="","",IFERROR(INDEX(Project_Tracker!$T$2:$T$101,MATCH($A2,Project_Tracker!$AL$2:$AL$101,0)),""))</f>
        <v>46244</v>
      </c>
      <c r="R2" s="17">
        <f>IF($A2="","",IFERROR(INDEX(Project_Tracker!$AA$2:$AA$101,MATCH($A2,Project_Tracker!$AL$2:$AL$101,0)),""))</f>
        <v>46312</v>
      </c>
      <c r="S2" s="18">
        <f ca="1">IF($A2="","",IFERROR(INDEX(Project_Tracker!$AI$2:$AI$101,MATCH($A2,Project_Tracker!$AL$2:$AL$101,0)),""))</f>
        <v>63</v>
      </c>
    </row>
    <row r="3" spans="1:19" x14ac:dyDescent="0.2">
      <c r="A3" s="9"/>
      <c r="B3" s="7"/>
      <c r="C3" s="9"/>
      <c r="D3" s="7"/>
      <c r="E3" s="16"/>
      <c r="F3" s="16"/>
      <c r="G3" s="7"/>
      <c r="H3" s="7"/>
      <c r="I3" s="7"/>
      <c r="J3" s="7"/>
      <c r="K3" s="7"/>
      <c r="L3" s="7"/>
      <c r="M3" s="7"/>
      <c r="N3" s="7"/>
      <c r="O3" s="17" t="str">
        <f>IF($A3="","",IFERROR(INDEX(Project_Tracker!$N$2:$N$101,MATCH($A3,Project_Tracker!$AL$2:$AL$101,0)),""))</f>
        <v/>
      </c>
      <c r="P3" s="17" t="str">
        <f>IF($A3="","",IFERROR(INDEX(Project_Tracker!$S$2:$S$101,MATCH($A3,Project_Tracker!$AL$2:$AL$101,0)),""))</f>
        <v/>
      </c>
      <c r="Q3" s="17" t="str">
        <f>IF($A3="","",IFERROR(INDEX(Project_Tracker!$T$2:$T$101,MATCH($A3,Project_Tracker!$AL$2:$AL$101,0)),""))</f>
        <v/>
      </c>
      <c r="R3" s="17" t="str">
        <f>IF($A3="","",IFERROR(INDEX(Project_Tracker!$AA$2:$AA$101,MATCH($A3,Project_Tracker!$AL$2:$AL$101,0)),""))</f>
        <v/>
      </c>
      <c r="S3" s="18" t="str">
        <f>IF($A3="","",IFERROR(INDEX(Project_Tracker!$AI$2:$AI$101,MATCH($A3,Project_Tracker!$AL$2:$AL$101,0)),""))</f>
        <v/>
      </c>
    </row>
    <row r="4" spans="1:19" x14ac:dyDescent="0.2">
      <c r="A4" s="9"/>
      <c r="B4" s="7"/>
      <c r="C4" s="9"/>
      <c r="D4" s="7"/>
      <c r="E4" s="16"/>
      <c r="F4" s="16"/>
      <c r="G4" s="7"/>
      <c r="H4" s="7"/>
      <c r="I4" s="7"/>
      <c r="J4" s="7"/>
      <c r="K4" s="7"/>
      <c r="L4" s="7"/>
      <c r="M4" s="7"/>
      <c r="N4" s="7"/>
      <c r="O4" s="17" t="str">
        <f>IF($A4="","",IFERROR(INDEX(Project_Tracker!$N$2:$N$101,MATCH($A4,Project_Tracker!$AL$2:$AL$101,0)),""))</f>
        <v/>
      </c>
      <c r="P4" s="17" t="str">
        <f>IF($A4="","",IFERROR(INDEX(Project_Tracker!$S$2:$S$101,MATCH($A4,Project_Tracker!$AL$2:$AL$101,0)),""))</f>
        <v/>
      </c>
      <c r="Q4" s="17" t="str">
        <f>IF($A4="","",IFERROR(INDEX(Project_Tracker!$T$2:$T$101,MATCH($A4,Project_Tracker!$AL$2:$AL$101,0)),""))</f>
        <v/>
      </c>
      <c r="R4" s="17" t="str">
        <f>IF($A4="","",IFERROR(INDEX(Project_Tracker!$AA$2:$AA$101,MATCH($A4,Project_Tracker!$AL$2:$AL$101,0)),""))</f>
        <v/>
      </c>
      <c r="S4" s="18" t="str">
        <f>IF($A4="","",IFERROR(INDEX(Project_Tracker!$AI$2:$AI$101,MATCH($A4,Project_Tracker!$AL$2:$AL$101,0)),""))</f>
        <v/>
      </c>
    </row>
    <row r="5" spans="1:19" x14ac:dyDescent="0.2">
      <c r="A5" s="9"/>
      <c r="B5" s="7"/>
      <c r="C5" s="9"/>
      <c r="D5" s="7"/>
      <c r="E5" s="16"/>
      <c r="F5" s="16"/>
      <c r="G5" s="7"/>
      <c r="H5" s="7"/>
      <c r="I5" s="7"/>
      <c r="J5" s="7"/>
      <c r="K5" s="7"/>
      <c r="L5" s="7"/>
      <c r="M5" s="7"/>
      <c r="N5" s="7"/>
      <c r="O5" s="17" t="str">
        <f>IF($A5="","",IFERROR(INDEX(Project_Tracker!$N$2:$N$101,MATCH($A5,Project_Tracker!$AL$2:$AL$101,0)),""))</f>
        <v/>
      </c>
      <c r="P5" s="17" t="str">
        <f>IF($A5="","",IFERROR(INDEX(Project_Tracker!$S$2:$S$101,MATCH($A5,Project_Tracker!$AL$2:$AL$101,0)),""))</f>
        <v/>
      </c>
      <c r="Q5" s="17" t="str">
        <f>IF($A5="","",IFERROR(INDEX(Project_Tracker!$T$2:$T$101,MATCH($A5,Project_Tracker!$AL$2:$AL$101,0)),""))</f>
        <v/>
      </c>
      <c r="R5" s="17" t="str">
        <f>IF($A5="","",IFERROR(INDEX(Project_Tracker!$AA$2:$AA$101,MATCH($A5,Project_Tracker!$AL$2:$AL$101,0)),""))</f>
        <v/>
      </c>
      <c r="S5" s="18" t="str">
        <f>IF($A5="","",IFERROR(INDEX(Project_Tracker!$AI$2:$AI$101,MATCH($A5,Project_Tracker!$AL$2:$AL$101,0)),""))</f>
        <v/>
      </c>
    </row>
    <row r="6" spans="1:19" x14ac:dyDescent="0.2">
      <c r="A6" s="9"/>
      <c r="B6" s="7"/>
      <c r="C6" s="9"/>
      <c r="D6" s="7"/>
      <c r="E6" s="16"/>
      <c r="F6" s="16"/>
      <c r="G6" s="7"/>
      <c r="H6" s="7"/>
      <c r="I6" s="7"/>
      <c r="J6" s="7"/>
      <c r="K6" s="7"/>
      <c r="L6" s="7"/>
      <c r="M6" s="7"/>
      <c r="N6" s="7"/>
      <c r="O6" s="17" t="str">
        <f>IF($A6="","",IFERROR(INDEX(Project_Tracker!$N$2:$N$101,MATCH($A6,Project_Tracker!$AL$2:$AL$101,0)),""))</f>
        <v/>
      </c>
      <c r="P6" s="17" t="str">
        <f>IF($A6="","",IFERROR(INDEX(Project_Tracker!$S$2:$S$101,MATCH($A6,Project_Tracker!$AL$2:$AL$101,0)),""))</f>
        <v/>
      </c>
      <c r="Q6" s="17" t="str">
        <f>IF($A6="","",IFERROR(INDEX(Project_Tracker!$T$2:$T$101,MATCH($A6,Project_Tracker!$AL$2:$AL$101,0)),""))</f>
        <v/>
      </c>
      <c r="R6" s="17" t="str">
        <f>IF($A6="","",IFERROR(INDEX(Project_Tracker!$AA$2:$AA$101,MATCH($A6,Project_Tracker!$AL$2:$AL$101,0)),""))</f>
        <v/>
      </c>
      <c r="S6" s="18" t="str">
        <f>IF($A6="","",IFERROR(INDEX(Project_Tracker!$AI$2:$AI$101,MATCH($A6,Project_Tracker!$AL$2:$AL$101,0)),""))</f>
        <v/>
      </c>
    </row>
    <row r="7" spans="1:19" x14ac:dyDescent="0.2">
      <c r="A7" s="9"/>
      <c r="B7" s="7"/>
      <c r="C7" s="9"/>
      <c r="D7" s="7"/>
      <c r="E7" s="16"/>
      <c r="F7" s="16"/>
      <c r="G7" s="7"/>
      <c r="H7" s="7"/>
      <c r="I7" s="7"/>
      <c r="J7" s="7"/>
      <c r="K7" s="7"/>
      <c r="L7" s="7"/>
      <c r="M7" s="7"/>
      <c r="N7" s="7"/>
      <c r="O7" s="17" t="str">
        <f>IF($A7="","",IFERROR(INDEX(Project_Tracker!$N$2:$N$101,MATCH($A7,Project_Tracker!$AL$2:$AL$101,0)),""))</f>
        <v/>
      </c>
      <c r="P7" s="17" t="str">
        <f>IF($A7="","",IFERROR(INDEX(Project_Tracker!$S$2:$S$101,MATCH($A7,Project_Tracker!$AL$2:$AL$101,0)),""))</f>
        <v/>
      </c>
      <c r="Q7" s="17" t="str">
        <f>IF($A7="","",IFERROR(INDEX(Project_Tracker!$T$2:$T$101,MATCH($A7,Project_Tracker!$AL$2:$AL$101,0)),""))</f>
        <v/>
      </c>
      <c r="R7" s="17" t="str">
        <f>IF($A7="","",IFERROR(INDEX(Project_Tracker!$AA$2:$AA$101,MATCH($A7,Project_Tracker!$AL$2:$AL$101,0)),""))</f>
        <v/>
      </c>
      <c r="S7" s="18" t="str">
        <f>IF($A7="","",IFERROR(INDEX(Project_Tracker!$AI$2:$AI$101,MATCH($A7,Project_Tracker!$AL$2:$AL$101,0)),""))</f>
        <v/>
      </c>
    </row>
    <row r="8" spans="1:19" x14ac:dyDescent="0.2">
      <c r="A8" s="9"/>
      <c r="B8" s="7"/>
      <c r="C8" s="9"/>
      <c r="D8" s="7"/>
      <c r="E8" s="16"/>
      <c r="F8" s="16"/>
      <c r="G8" s="7"/>
      <c r="H8" s="7"/>
      <c r="I8" s="7"/>
      <c r="J8" s="7"/>
      <c r="K8" s="7"/>
      <c r="L8" s="7"/>
      <c r="M8" s="7"/>
      <c r="N8" s="7"/>
      <c r="O8" s="17" t="str">
        <f>IF($A8="","",IFERROR(INDEX(Project_Tracker!$N$2:$N$101,MATCH($A8,Project_Tracker!$AL$2:$AL$101,0)),""))</f>
        <v/>
      </c>
      <c r="P8" s="17" t="str">
        <f>IF($A8="","",IFERROR(INDEX(Project_Tracker!$S$2:$S$101,MATCH($A8,Project_Tracker!$AL$2:$AL$101,0)),""))</f>
        <v/>
      </c>
      <c r="Q8" s="17" t="str">
        <f>IF($A8="","",IFERROR(INDEX(Project_Tracker!$T$2:$T$101,MATCH($A8,Project_Tracker!$AL$2:$AL$101,0)),""))</f>
        <v/>
      </c>
      <c r="R8" s="17" t="str">
        <f>IF($A8="","",IFERROR(INDEX(Project_Tracker!$AA$2:$AA$101,MATCH($A8,Project_Tracker!$AL$2:$AL$101,0)),""))</f>
        <v/>
      </c>
      <c r="S8" s="18" t="str">
        <f>IF($A8="","",IFERROR(INDEX(Project_Tracker!$AI$2:$AI$101,MATCH($A8,Project_Tracker!$AL$2:$AL$101,0)),""))</f>
        <v/>
      </c>
    </row>
    <row r="9" spans="1:19" x14ac:dyDescent="0.2">
      <c r="A9" s="9"/>
      <c r="B9" s="7"/>
      <c r="C9" s="9"/>
      <c r="D9" s="7"/>
      <c r="E9" s="16"/>
      <c r="F9" s="16"/>
      <c r="G9" s="7"/>
      <c r="H9" s="7"/>
      <c r="I9" s="7"/>
      <c r="J9" s="7"/>
      <c r="K9" s="7"/>
      <c r="L9" s="7"/>
      <c r="M9" s="7"/>
      <c r="N9" s="7"/>
      <c r="O9" s="17" t="str">
        <f>IF($A9="","",IFERROR(INDEX(Project_Tracker!$N$2:$N$101,MATCH($A9,Project_Tracker!$AL$2:$AL$101,0)),""))</f>
        <v/>
      </c>
      <c r="P9" s="17" t="str">
        <f>IF($A9="","",IFERROR(INDEX(Project_Tracker!$S$2:$S$101,MATCH($A9,Project_Tracker!$AL$2:$AL$101,0)),""))</f>
        <v/>
      </c>
      <c r="Q9" s="17" t="str">
        <f>IF($A9="","",IFERROR(INDEX(Project_Tracker!$T$2:$T$101,MATCH($A9,Project_Tracker!$AL$2:$AL$101,0)),""))</f>
        <v/>
      </c>
      <c r="R9" s="17" t="str">
        <f>IF($A9="","",IFERROR(INDEX(Project_Tracker!$AA$2:$AA$101,MATCH($A9,Project_Tracker!$AL$2:$AL$101,0)),""))</f>
        <v/>
      </c>
      <c r="S9" s="18" t="str">
        <f>IF($A9="","",IFERROR(INDEX(Project_Tracker!$AI$2:$AI$101,MATCH($A9,Project_Tracker!$AL$2:$AL$101,0)),""))</f>
        <v/>
      </c>
    </row>
    <row r="10" spans="1:19" x14ac:dyDescent="0.2">
      <c r="A10" s="9"/>
      <c r="B10" s="7"/>
      <c r="C10" s="9"/>
      <c r="D10" s="7"/>
      <c r="E10" s="16"/>
      <c r="F10" s="16"/>
      <c r="G10" s="7"/>
      <c r="H10" s="7"/>
      <c r="I10" s="7"/>
      <c r="J10" s="7"/>
      <c r="K10" s="7"/>
      <c r="L10" s="7"/>
      <c r="M10" s="7"/>
      <c r="N10" s="7"/>
      <c r="O10" s="17" t="str">
        <f>IF($A10="","",IFERROR(INDEX(Project_Tracker!$N$2:$N$101,MATCH($A10,Project_Tracker!$AL$2:$AL$101,0)),""))</f>
        <v/>
      </c>
      <c r="P10" s="17" t="str">
        <f>IF($A10="","",IFERROR(INDEX(Project_Tracker!$S$2:$S$101,MATCH($A10,Project_Tracker!$AL$2:$AL$101,0)),""))</f>
        <v/>
      </c>
      <c r="Q10" s="17" t="str">
        <f>IF($A10="","",IFERROR(INDEX(Project_Tracker!$T$2:$T$101,MATCH($A10,Project_Tracker!$AL$2:$AL$101,0)),""))</f>
        <v/>
      </c>
      <c r="R10" s="17" t="str">
        <f>IF($A10="","",IFERROR(INDEX(Project_Tracker!$AA$2:$AA$101,MATCH($A10,Project_Tracker!$AL$2:$AL$101,0)),""))</f>
        <v/>
      </c>
      <c r="S10" s="18" t="str">
        <f>IF($A10="","",IFERROR(INDEX(Project_Tracker!$AI$2:$AI$101,MATCH($A10,Project_Tracker!$AL$2:$AL$101,0)),""))</f>
        <v/>
      </c>
    </row>
    <row r="11" spans="1:19" x14ac:dyDescent="0.2">
      <c r="A11" s="9"/>
      <c r="B11" s="7"/>
      <c r="C11" s="9"/>
      <c r="D11" s="7"/>
      <c r="E11" s="16"/>
      <c r="F11" s="16"/>
      <c r="G11" s="7"/>
      <c r="H11" s="7"/>
      <c r="I11" s="7"/>
      <c r="J11" s="7"/>
      <c r="K11" s="7"/>
      <c r="L11" s="7"/>
      <c r="M11" s="7"/>
      <c r="N11" s="7"/>
      <c r="O11" s="17" t="str">
        <f>IF($A11="","",IFERROR(INDEX(Project_Tracker!$N$2:$N$101,MATCH($A11,Project_Tracker!$AL$2:$AL$101,0)),""))</f>
        <v/>
      </c>
      <c r="P11" s="17" t="str">
        <f>IF($A11="","",IFERROR(INDEX(Project_Tracker!$S$2:$S$101,MATCH($A11,Project_Tracker!$AL$2:$AL$101,0)),""))</f>
        <v/>
      </c>
      <c r="Q11" s="17" t="str">
        <f>IF($A11="","",IFERROR(INDEX(Project_Tracker!$T$2:$T$101,MATCH($A11,Project_Tracker!$AL$2:$AL$101,0)),""))</f>
        <v/>
      </c>
      <c r="R11" s="17" t="str">
        <f>IF($A11="","",IFERROR(INDEX(Project_Tracker!$AA$2:$AA$101,MATCH($A11,Project_Tracker!$AL$2:$AL$101,0)),""))</f>
        <v/>
      </c>
      <c r="S11" s="18" t="str">
        <f>IF($A11="","",IFERROR(INDEX(Project_Tracker!$AI$2:$AI$101,MATCH($A11,Project_Tracker!$AL$2:$AL$101,0)),""))</f>
        <v/>
      </c>
    </row>
    <row r="12" spans="1:19" x14ac:dyDescent="0.2">
      <c r="A12" s="9"/>
      <c r="B12" s="7"/>
      <c r="C12" s="9"/>
      <c r="D12" s="7"/>
      <c r="E12" s="16"/>
      <c r="F12" s="16"/>
      <c r="G12" s="7"/>
      <c r="H12" s="7"/>
      <c r="I12" s="7"/>
      <c r="J12" s="7"/>
      <c r="K12" s="7"/>
      <c r="L12" s="7"/>
      <c r="M12" s="7"/>
      <c r="N12" s="7"/>
      <c r="O12" s="17" t="str">
        <f>IF($A12="","",IFERROR(INDEX(Project_Tracker!$N$2:$N$101,MATCH($A12,Project_Tracker!$AL$2:$AL$101,0)),""))</f>
        <v/>
      </c>
      <c r="P12" s="17" t="str">
        <f>IF($A12="","",IFERROR(INDEX(Project_Tracker!$S$2:$S$101,MATCH($A12,Project_Tracker!$AL$2:$AL$101,0)),""))</f>
        <v/>
      </c>
      <c r="Q12" s="17" t="str">
        <f>IF($A12="","",IFERROR(INDEX(Project_Tracker!$T$2:$T$101,MATCH($A12,Project_Tracker!$AL$2:$AL$101,0)),""))</f>
        <v/>
      </c>
      <c r="R12" s="17" t="str">
        <f>IF($A12="","",IFERROR(INDEX(Project_Tracker!$AA$2:$AA$101,MATCH($A12,Project_Tracker!$AL$2:$AL$101,0)),""))</f>
        <v/>
      </c>
      <c r="S12" s="18" t="str">
        <f>IF($A12="","",IFERROR(INDEX(Project_Tracker!$AI$2:$AI$101,MATCH($A12,Project_Tracker!$AL$2:$AL$101,0)),""))</f>
        <v/>
      </c>
    </row>
    <row r="13" spans="1:19" x14ac:dyDescent="0.2">
      <c r="A13" s="9"/>
      <c r="B13" s="7"/>
      <c r="C13" s="9"/>
      <c r="D13" s="7"/>
      <c r="E13" s="16"/>
      <c r="F13" s="16"/>
      <c r="G13" s="7"/>
      <c r="H13" s="7"/>
      <c r="I13" s="7"/>
      <c r="J13" s="7"/>
      <c r="K13" s="7"/>
      <c r="L13" s="7"/>
      <c r="M13" s="7"/>
      <c r="N13" s="7"/>
      <c r="O13" s="17" t="str">
        <f>IF($A13="","",IFERROR(INDEX(Project_Tracker!$N$2:$N$101,MATCH($A13,Project_Tracker!$AL$2:$AL$101,0)),""))</f>
        <v/>
      </c>
      <c r="P13" s="17" t="str">
        <f>IF($A13="","",IFERROR(INDEX(Project_Tracker!$S$2:$S$101,MATCH($A13,Project_Tracker!$AL$2:$AL$101,0)),""))</f>
        <v/>
      </c>
      <c r="Q13" s="17" t="str">
        <f>IF($A13="","",IFERROR(INDEX(Project_Tracker!$T$2:$T$101,MATCH($A13,Project_Tracker!$AL$2:$AL$101,0)),""))</f>
        <v/>
      </c>
      <c r="R13" s="17" t="str">
        <f>IF($A13="","",IFERROR(INDEX(Project_Tracker!$AA$2:$AA$101,MATCH($A13,Project_Tracker!$AL$2:$AL$101,0)),""))</f>
        <v/>
      </c>
      <c r="S13" s="18" t="str">
        <f>IF($A13="","",IFERROR(INDEX(Project_Tracker!$AI$2:$AI$101,MATCH($A13,Project_Tracker!$AL$2:$AL$101,0)),""))</f>
        <v/>
      </c>
    </row>
    <row r="14" spans="1:19" x14ac:dyDescent="0.2">
      <c r="A14" s="9"/>
      <c r="B14" s="7"/>
      <c r="C14" s="9"/>
      <c r="D14" s="7"/>
      <c r="E14" s="16"/>
      <c r="F14" s="16"/>
      <c r="G14" s="7"/>
      <c r="H14" s="7"/>
      <c r="I14" s="7"/>
      <c r="J14" s="7"/>
      <c r="K14" s="7"/>
      <c r="L14" s="7"/>
      <c r="M14" s="7"/>
      <c r="N14" s="7"/>
      <c r="O14" s="17" t="str">
        <f>IF($A14="","",IFERROR(INDEX(Project_Tracker!$N$2:$N$101,MATCH($A14,Project_Tracker!$AL$2:$AL$101,0)),""))</f>
        <v/>
      </c>
      <c r="P14" s="17" t="str">
        <f>IF($A14="","",IFERROR(INDEX(Project_Tracker!$S$2:$S$101,MATCH($A14,Project_Tracker!$AL$2:$AL$101,0)),""))</f>
        <v/>
      </c>
      <c r="Q14" s="17" t="str">
        <f>IF($A14="","",IFERROR(INDEX(Project_Tracker!$T$2:$T$101,MATCH($A14,Project_Tracker!$AL$2:$AL$101,0)),""))</f>
        <v/>
      </c>
      <c r="R14" s="17" t="str">
        <f>IF($A14="","",IFERROR(INDEX(Project_Tracker!$AA$2:$AA$101,MATCH($A14,Project_Tracker!$AL$2:$AL$101,0)),""))</f>
        <v/>
      </c>
      <c r="S14" s="18" t="str">
        <f>IF($A14="","",IFERROR(INDEX(Project_Tracker!$AI$2:$AI$101,MATCH($A14,Project_Tracker!$AL$2:$AL$101,0)),""))</f>
        <v/>
      </c>
    </row>
    <row r="15" spans="1:19" x14ac:dyDescent="0.2">
      <c r="A15" s="9"/>
      <c r="B15" s="7"/>
      <c r="C15" s="9"/>
      <c r="D15" s="7"/>
      <c r="E15" s="16"/>
      <c r="F15" s="16"/>
      <c r="G15" s="7"/>
      <c r="H15" s="7"/>
      <c r="I15" s="7"/>
      <c r="J15" s="7"/>
      <c r="K15" s="7"/>
      <c r="L15" s="7"/>
      <c r="M15" s="7"/>
      <c r="N15" s="7"/>
      <c r="O15" s="17" t="str">
        <f>IF($A15="","",IFERROR(INDEX(Project_Tracker!$N$2:$N$101,MATCH($A15,Project_Tracker!$AL$2:$AL$101,0)),""))</f>
        <v/>
      </c>
      <c r="P15" s="17" t="str">
        <f>IF($A15="","",IFERROR(INDEX(Project_Tracker!$S$2:$S$101,MATCH($A15,Project_Tracker!$AL$2:$AL$101,0)),""))</f>
        <v/>
      </c>
      <c r="Q15" s="17" t="str">
        <f>IF($A15="","",IFERROR(INDEX(Project_Tracker!$T$2:$T$101,MATCH($A15,Project_Tracker!$AL$2:$AL$101,0)),""))</f>
        <v/>
      </c>
      <c r="R15" s="17" t="str">
        <f>IF($A15="","",IFERROR(INDEX(Project_Tracker!$AA$2:$AA$101,MATCH($A15,Project_Tracker!$AL$2:$AL$101,0)),""))</f>
        <v/>
      </c>
      <c r="S15" s="18" t="str">
        <f>IF($A15="","",IFERROR(INDEX(Project_Tracker!$AI$2:$AI$101,MATCH($A15,Project_Tracker!$AL$2:$AL$101,0)),""))</f>
        <v/>
      </c>
    </row>
    <row r="16" spans="1:19" x14ac:dyDescent="0.2">
      <c r="A16" s="9"/>
      <c r="B16" s="7"/>
      <c r="C16" s="9"/>
      <c r="D16" s="7"/>
      <c r="E16" s="16"/>
      <c r="F16" s="16"/>
      <c r="G16" s="7"/>
      <c r="H16" s="7"/>
      <c r="I16" s="7"/>
      <c r="J16" s="7"/>
      <c r="K16" s="7"/>
      <c r="L16" s="7"/>
      <c r="M16" s="7"/>
      <c r="N16" s="7"/>
      <c r="O16" s="17" t="str">
        <f>IF($A16="","",IFERROR(INDEX(Project_Tracker!$N$2:$N$101,MATCH($A16,Project_Tracker!$AL$2:$AL$101,0)),""))</f>
        <v/>
      </c>
      <c r="P16" s="17" t="str">
        <f>IF($A16="","",IFERROR(INDEX(Project_Tracker!$S$2:$S$101,MATCH($A16,Project_Tracker!$AL$2:$AL$101,0)),""))</f>
        <v/>
      </c>
      <c r="Q16" s="17" t="str">
        <f>IF($A16="","",IFERROR(INDEX(Project_Tracker!$T$2:$T$101,MATCH($A16,Project_Tracker!$AL$2:$AL$101,0)),""))</f>
        <v/>
      </c>
      <c r="R16" s="17" t="str">
        <f>IF($A16="","",IFERROR(INDEX(Project_Tracker!$AA$2:$AA$101,MATCH($A16,Project_Tracker!$AL$2:$AL$101,0)),""))</f>
        <v/>
      </c>
      <c r="S16" s="18" t="str">
        <f>IF($A16="","",IFERROR(INDEX(Project_Tracker!$AI$2:$AI$101,MATCH($A16,Project_Tracker!$AL$2:$AL$101,0)),""))</f>
        <v/>
      </c>
    </row>
    <row r="17" spans="1:19" x14ac:dyDescent="0.2">
      <c r="A17" s="9"/>
      <c r="B17" s="7"/>
      <c r="C17" s="9"/>
      <c r="D17" s="7"/>
      <c r="E17" s="16"/>
      <c r="F17" s="16"/>
      <c r="G17" s="7"/>
      <c r="H17" s="7"/>
      <c r="I17" s="7"/>
      <c r="J17" s="7"/>
      <c r="K17" s="7"/>
      <c r="L17" s="7"/>
      <c r="M17" s="7"/>
      <c r="N17" s="7"/>
      <c r="O17" s="17" t="str">
        <f>IF($A17="","",IFERROR(INDEX(Project_Tracker!$N$2:$N$101,MATCH($A17,Project_Tracker!$AL$2:$AL$101,0)),""))</f>
        <v/>
      </c>
      <c r="P17" s="17" t="str">
        <f>IF($A17="","",IFERROR(INDEX(Project_Tracker!$S$2:$S$101,MATCH($A17,Project_Tracker!$AL$2:$AL$101,0)),""))</f>
        <v/>
      </c>
      <c r="Q17" s="17" t="str">
        <f>IF($A17="","",IFERROR(INDEX(Project_Tracker!$T$2:$T$101,MATCH($A17,Project_Tracker!$AL$2:$AL$101,0)),""))</f>
        <v/>
      </c>
      <c r="R17" s="17" t="str">
        <f>IF($A17="","",IFERROR(INDEX(Project_Tracker!$AA$2:$AA$101,MATCH($A17,Project_Tracker!$AL$2:$AL$101,0)),""))</f>
        <v/>
      </c>
      <c r="S17" s="18" t="str">
        <f>IF($A17="","",IFERROR(INDEX(Project_Tracker!$AI$2:$AI$101,MATCH($A17,Project_Tracker!$AL$2:$AL$101,0)),""))</f>
        <v/>
      </c>
    </row>
    <row r="18" spans="1:19" x14ac:dyDescent="0.2">
      <c r="A18" s="9"/>
      <c r="B18" s="7"/>
      <c r="C18" s="9"/>
      <c r="D18" s="7"/>
      <c r="E18" s="16"/>
      <c r="F18" s="16"/>
      <c r="G18" s="7"/>
      <c r="H18" s="7"/>
      <c r="I18" s="7"/>
      <c r="J18" s="7"/>
      <c r="K18" s="7"/>
      <c r="L18" s="7"/>
      <c r="M18" s="7"/>
      <c r="N18" s="7"/>
      <c r="O18" s="17" t="str">
        <f>IF($A18="","",IFERROR(INDEX(Project_Tracker!$N$2:$N$101,MATCH($A18,Project_Tracker!$AL$2:$AL$101,0)),""))</f>
        <v/>
      </c>
      <c r="P18" s="17" t="str">
        <f>IF($A18="","",IFERROR(INDEX(Project_Tracker!$S$2:$S$101,MATCH($A18,Project_Tracker!$AL$2:$AL$101,0)),""))</f>
        <v/>
      </c>
      <c r="Q18" s="17" t="str">
        <f>IF($A18="","",IFERROR(INDEX(Project_Tracker!$T$2:$T$101,MATCH($A18,Project_Tracker!$AL$2:$AL$101,0)),""))</f>
        <v/>
      </c>
      <c r="R18" s="17" t="str">
        <f>IF($A18="","",IFERROR(INDEX(Project_Tracker!$AA$2:$AA$101,MATCH($A18,Project_Tracker!$AL$2:$AL$101,0)),""))</f>
        <v/>
      </c>
      <c r="S18" s="18" t="str">
        <f>IF($A18="","",IFERROR(INDEX(Project_Tracker!$AI$2:$AI$101,MATCH($A18,Project_Tracker!$AL$2:$AL$101,0)),""))</f>
        <v/>
      </c>
    </row>
    <row r="19" spans="1:19" x14ac:dyDescent="0.2">
      <c r="A19" s="9"/>
      <c r="B19" s="7"/>
      <c r="C19" s="9"/>
      <c r="D19" s="7"/>
      <c r="E19" s="16"/>
      <c r="F19" s="16"/>
      <c r="G19" s="7"/>
      <c r="H19" s="7"/>
      <c r="I19" s="7"/>
      <c r="J19" s="7"/>
      <c r="K19" s="7"/>
      <c r="L19" s="7"/>
      <c r="M19" s="7"/>
      <c r="N19" s="7"/>
      <c r="O19" s="17" t="str">
        <f>IF($A19="","",IFERROR(INDEX(Project_Tracker!$N$2:$N$101,MATCH($A19,Project_Tracker!$AL$2:$AL$101,0)),""))</f>
        <v/>
      </c>
      <c r="P19" s="17" t="str">
        <f>IF($A19="","",IFERROR(INDEX(Project_Tracker!$S$2:$S$101,MATCH($A19,Project_Tracker!$AL$2:$AL$101,0)),""))</f>
        <v/>
      </c>
      <c r="Q19" s="17" t="str">
        <f>IF($A19="","",IFERROR(INDEX(Project_Tracker!$T$2:$T$101,MATCH($A19,Project_Tracker!$AL$2:$AL$101,0)),""))</f>
        <v/>
      </c>
      <c r="R19" s="17" t="str">
        <f>IF($A19="","",IFERROR(INDEX(Project_Tracker!$AA$2:$AA$101,MATCH($A19,Project_Tracker!$AL$2:$AL$101,0)),""))</f>
        <v/>
      </c>
      <c r="S19" s="18" t="str">
        <f>IF($A19="","",IFERROR(INDEX(Project_Tracker!$AI$2:$AI$101,MATCH($A19,Project_Tracker!$AL$2:$AL$101,0)),""))</f>
        <v/>
      </c>
    </row>
    <row r="20" spans="1:19" x14ac:dyDescent="0.2">
      <c r="A20" s="9"/>
      <c r="B20" s="7"/>
      <c r="C20" s="9"/>
      <c r="D20" s="7"/>
      <c r="E20" s="16"/>
      <c r="F20" s="16"/>
      <c r="G20" s="7"/>
      <c r="H20" s="7"/>
      <c r="I20" s="7"/>
      <c r="J20" s="7"/>
      <c r="K20" s="7"/>
      <c r="L20" s="7"/>
      <c r="M20" s="7"/>
      <c r="N20" s="7"/>
      <c r="O20" s="17" t="str">
        <f>IF($A20="","",IFERROR(INDEX(Project_Tracker!$N$2:$N$101,MATCH($A20,Project_Tracker!$AL$2:$AL$101,0)),""))</f>
        <v/>
      </c>
      <c r="P20" s="17" t="str">
        <f>IF($A20="","",IFERROR(INDEX(Project_Tracker!$S$2:$S$101,MATCH($A20,Project_Tracker!$AL$2:$AL$101,0)),""))</f>
        <v/>
      </c>
      <c r="Q20" s="17" t="str">
        <f>IF($A20="","",IFERROR(INDEX(Project_Tracker!$T$2:$T$101,MATCH($A20,Project_Tracker!$AL$2:$AL$101,0)),""))</f>
        <v/>
      </c>
      <c r="R20" s="17" t="str">
        <f>IF($A20="","",IFERROR(INDEX(Project_Tracker!$AA$2:$AA$101,MATCH($A20,Project_Tracker!$AL$2:$AL$101,0)),""))</f>
        <v/>
      </c>
      <c r="S20" s="18" t="str">
        <f>IF($A20="","",IFERROR(INDEX(Project_Tracker!$AI$2:$AI$101,MATCH($A20,Project_Tracker!$AL$2:$AL$101,0)),""))</f>
        <v/>
      </c>
    </row>
    <row r="21" spans="1:19" x14ac:dyDescent="0.2">
      <c r="A21" s="9"/>
      <c r="B21" s="7"/>
      <c r="C21" s="9"/>
      <c r="D21" s="7"/>
      <c r="E21" s="16"/>
      <c r="F21" s="16"/>
      <c r="G21" s="7"/>
      <c r="H21" s="7"/>
      <c r="I21" s="7"/>
      <c r="J21" s="7"/>
      <c r="K21" s="7"/>
      <c r="L21" s="7"/>
      <c r="M21" s="7"/>
      <c r="N21" s="7"/>
      <c r="O21" s="17" t="str">
        <f>IF($A21="","",IFERROR(INDEX(Project_Tracker!$N$2:$N$101,MATCH($A21,Project_Tracker!$AL$2:$AL$101,0)),""))</f>
        <v/>
      </c>
      <c r="P21" s="17" t="str">
        <f>IF($A21="","",IFERROR(INDEX(Project_Tracker!$S$2:$S$101,MATCH($A21,Project_Tracker!$AL$2:$AL$101,0)),""))</f>
        <v/>
      </c>
      <c r="Q21" s="17" t="str">
        <f>IF($A21="","",IFERROR(INDEX(Project_Tracker!$T$2:$T$101,MATCH($A21,Project_Tracker!$AL$2:$AL$101,0)),""))</f>
        <v/>
      </c>
      <c r="R21" s="17" t="str">
        <f>IF($A21="","",IFERROR(INDEX(Project_Tracker!$AA$2:$AA$101,MATCH($A21,Project_Tracker!$AL$2:$AL$101,0)),""))</f>
        <v/>
      </c>
      <c r="S21" s="18" t="str">
        <f>IF($A21="","",IFERROR(INDEX(Project_Tracker!$AI$2:$AI$101,MATCH($A21,Project_Tracker!$AL$2:$AL$101,0)),""))</f>
        <v/>
      </c>
    </row>
    <row r="22" spans="1:19" x14ac:dyDescent="0.2">
      <c r="A22" s="9"/>
      <c r="B22" s="7"/>
      <c r="C22" s="9"/>
      <c r="D22" s="7"/>
      <c r="E22" s="16"/>
      <c r="F22" s="16"/>
      <c r="G22" s="7"/>
      <c r="H22" s="7"/>
      <c r="I22" s="7"/>
      <c r="J22" s="7"/>
      <c r="K22" s="7"/>
      <c r="L22" s="7"/>
      <c r="M22" s="7"/>
      <c r="N22" s="7"/>
      <c r="O22" s="17" t="str">
        <f>IF($A22="","",IFERROR(INDEX(Project_Tracker!$N$2:$N$101,MATCH($A22,Project_Tracker!$AL$2:$AL$101,0)),""))</f>
        <v/>
      </c>
      <c r="P22" s="17" t="str">
        <f>IF($A22="","",IFERROR(INDEX(Project_Tracker!$S$2:$S$101,MATCH($A22,Project_Tracker!$AL$2:$AL$101,0)),""))</f>
        <v/>
      </c>
      <c r="Q22" s="17" t="str">
        <f>IF($A22="","",IFERROR(INDEX(Project_Tracker!$T$2:$T$101,MATCH($A22,Project_Tracker!$AL$2:$AL$101,0)),""))</f>
        <v/>
      </c>
      <c r="R22" s="17" t="str">
        <f>IF($A22="","",IFERROR(INDEX(Project_Tracker!$AA$2:$AA$101,MATCH($A22,Project_Tracker!$AL$2:$AL$101,0)),""))</f>
        <v/>
      </c>
      <c r="S22" s="18" t="str">
        <f>IF($A22="","",IFERROR(INDEX(Project_Tracker!$AI$2:$AI$101,MATCH($A22,Project_Tracker!$AL$2:$AL$101,0)),""))</f>
        <v/>
      </c>
    </row>
    <row r="23" spans="1:19" x14ac:dyDescent="0.2">
      <c r="A23" s="9"/>
      <c r="B23" s="7"/>
      <c r="C23" s="9"/>
      <c r="D23" s="7"/>
      <c r="E23" s="16"/>
      <c r="F23" s="16"/>
      <c r="G23" s="7"/>
      <c r="H23" s="7"/>
      <c r="I23" s="7"/>
      <c r="J23" s="7"/>
      <c r="K23" s="7"/>
      <c r="L23" s="7"/>
      <c r="M23" s="7"/>
      <c r="N23" s="7"/>
      <c r="O23" s="17" t="str">
        <f>IF($A23="","",IFERROR(INDEX(Project_Tracker!$N$2:$N$101,MATCH($A23,Project_Tracker!$AL$2:$AL$101,0)),""))</f>
        <v/>
      </c>
      <c r="P23" s="17" t="str">
        <f>IF($A23="","",IFERROR(INDEX(Project_Tracker!$S$2:$S$101,MATCH($A23,Project_Tracker!$AL$2:$AL$101,0)),""))</f>
        <v/>
      </c>
      <c r="Q23" s="17" t="str">
        <f>IF($A23="","",IFERROR(INDEX(Project_Tracker!$T$2:$T$101,MATCH($A23,Project_Tracker!$AL$2:$AL$101,0)),""))</f>
        <v/>
      </c>
      <c r="R23" s="17" t="str">
        <f>IF($A23="","",IFERROR(INDEX(Project_Tracker!$AA$2:$AA$101,MATCH($A23,Project_Tracker!$AL$2:$AL$101,0)),""))</f>
        <v/>
      </c>
      <c r="S23" s="18" t="str">
        <f>IF($A23="","",IFERROR(INDEX(Project_Tracker!$AI$2:$AI$101,MATCH($A23,Project_Tracker!$AL$2:$AL$101,0)),""))</f>
        <v/>
      </c>
    </row>
    <row r="24" spans="1:19" x14ac:dyDescent="0.2">
      <c r="A24" s="9"/>
      <c r="B24" s="7"/>
      <c r="C24" s="9"/>
      <c r="D24" s="7"/>
      <c r="E24" s="16"/>
      <c r="F24" s="16"/>
      <c r="G24" s="7"/>
      <c r="H24" s="7"/>
      <c r="I24" s="7"/>
      <c r="J24" s="7"/>
      <c r="K24" s="7"/>
      <c r="L24" s="7"/>
      <c r="M24" s="7"/>
      <c r="N24" s="7"/>
      <c r="O24" s="17" t="str">
        <f>IF($A24="","",IFERROR(INDEX(Project_Tracker!$N$2:$N$101,MATCH($A24,Project_Tracker!$AL$2:$AL$101,0)),""))</f>
        <v/>
      </c>
      <c r="P24" s="17" t="str">
        <f>IF($A24="","",IFERROR(INDEX(Project_Tracker!$S$2:$S$101,MATCH($A24,Project_Tracker!$AL$2:$AL$101,0)),""))</f>
        <v/>
      </c>
      <c r="Q24" s="17" t="str">
        <f>IF($A24="","",IFERROR(INDEX(Project_Tracker!$T$2:$T$101,MATCH($A24,Project_Tracker!$AL$2:$AL$101,0)),""))</f>
        <v/>
      </c>
      <c r="R24" s="17" t="str">
        <f>IF($A24="","",IFERROR(INDEX(Project_Tracker!$AA$2:$AA$101,MATCH($A24,Project_Tracker!$AL$2:$AL$101,0)),""))</f>
        <v/>
      </c>
      <c r="S24" s="18" t="str">
        <f>IF($A24="","",IFERROR(INDEX(Project_Tracker!$AI$2:$AI$101,MATCH($A24,Project_Tracker!$AL$2:$AL$101,0)),""))</f>
        <v/>
      </c>
    </row>
    <row r="25" spans="1:19" x14ac:dyDescent="0.2">
      <c r="A25" s="9"/>
      <c r="B25" s="7"/>
      <c r="C25" s="9"/>
      <c r="D25" s="7"/>
      <c r="E25" s="16"/>
      <c r="F25" s="16"/>
      <c r="G25" s="7"/>
      <c r="H25" s="7"/>
      <c r="I25" s="7"/>
      <c r="J25" s="7"/>
      <c r="K25" s="7"/>
      <c r="L25" s="7"/>
      <c r="M25" s="7"/>
      <c r="N25" s="7"/>
      <c r="O25" s="17" t="str">
        <f>IF($A25="","",IFERROR(INDEX(Project_Tracker!$N$2:$N$101,MATCH($A25,Project_Tracker!$AL$2:$AL$101,0)),""))</f>
        <v/>
      </c>
      <c r="P25" s="17" t="str">
        <f>IF($A25="","",IFERROR(INDEX(Project_Tracker!$S$2:$S$101,MATCH($A25,Project_Tracker!$AL$2:$AL$101,0)),""))</f>
        <v/>
      </c>
      <c r="Q25" s="17" t="str">
        <f>IF($A25="","",IFERROR(INDEX(Project_Tracker!$T$2:$T$101,MATCH($A25,Project_Tracker!$AL$2:$AL$101,0)),""))</f>
        <v/>
      </c>
      <c r="R25" s="17" t="str">
        <f>IF($A25="","",IFERROR(INDEX(Project_Tracker!$AA$2:$AA$101,MATCH($A25,Project_Tracker!$AL$2:$AL$101,0)),""))</f>
        <v/>
      </c>
      <c r="S25" s="18" t="str">
        <f>IF($A25="","",IFERROR(INDEX(Project_Tracker!$AI$2:$AI$101,MATCH($A25,Project_Tracker!$AL$2:$AL$101,0)),""))</f>
        <v/>
      </c>
    </row>
    <row r="26" spans="1:19" x14ac:dyDescent="0.2">
      <c r="A26" s="9"/>
      <c r="B26" s="7"/>
      <c r="C26" s="9"/>
      <c r="D26" s="7"/>
      <c r="E26" s="16"/>
      <c r="F26" s="16"/>
      <c r="G26" s="7"/>
      <c r="H26" s="7"/>
      <c r="I26" s="7"/>
      <c r="J26" s="7"/>
      <c r="K26" s="7"/>
      <c r="L26" s="7"/>
      <c r="M26" s="7"/>
      <c r="N26" s="7"/>
      <c r="O26" s="17" t="str">
        <f>IF($A26="","",IFERROR(INDEX(Project_Tracker!$N$2:$N$101,MATCH($A26,Project_Tracker!$AL$2:$AL$101,0)),""))</f>
        <v/>
      </c>
      <c r="P26" s="17" t="str">
        <f>IF($A26="","",IFERROR(INDEX(Project_Tracker!$S$2:$S$101,MATCH($A26,Project_Tracker!$AL$2:$AL$101,0)),""))</f>
        <v/>
      </c>
      <c r="Q26" s="17" t="str">
        <f>IF($A26="","",IFERROR(INDEX(Project_Tracker!$T$2:$T$101,MATCH($A26,Project_Tracker!$AL$2:$AL$101,0)),""))</f>
        <v/>
      </c>
      <c r="R26" s="17" t="str">
        <f>IF($A26="","",IFERROR(INDEX(Project_Tracker!$AA$2:$AA$101,MATCH($A26,Project_Tracker!$AL$2:$AL$101,0)),""))</f>
        <v/>
      </c>
      <c r="S26" s="18" t="str">
        <f>IF($A26="","",IFERROR(INDEX(Project_Tracker!$AI$2:$AI$101,MATCH($A26,Project_Tracker!$AL$2:$AL$101,0)),""))</f>
        <v/>
      </c>
    </row>
    <row r="27" spans="1:19" x14ac:dyDescent="0.2">
      <c r="A27" s="9"/>
      <c r="B27" s="7"/>
      <c r="C27" s="9"/>
      <c r="D27" s="7"/>
      <c r="E27" s="16"/>
      <c r="F27" s="16"/>
      <c r="G27" s="7"/>
      <c r="H27" s="7"/>
      <c r="I27" s="7"/>
      <c r="J27" s="7"/>
      <c r="K27" s="7"/>
      <c r="L27" s="7"/>
      <c r="M27" s="7"/>
      <c r="N27" s="7"/>
      <c r="O27" s="17" t="str">
        <f>IF($A27="","",IFERROR(INDEX(Project_Tracker!$N$2:$N$101,MATCH($A27,Project_Tracker!$AL$2:$AL$101,0)),""))</f>
        <v/>
      </c>
      <c r="P27" s="17" t="str">
        <f>IF($A27="","",IFERROR(INDEX(Project_Tracker!$S$2:$S$101,MATCH($A27,Project_Tracker!$AL$2:$AL$101,0)),""))</f>
        <v/>
      </c>
      <c r="Q27" s="17" t="str">
        <f>IF($A27="","",IFERROR(INDEX(Project_Tracker!$T$2:$T$101,MATCH($A27,Project_Tracker!$AL$2:$AL$101,0)),""))</f>
        <v/>
      </c>
      <c r="R27" s="17" t="str">
        <f>IF($A27="","",IFERROR(INDEX(Project_Tracker!$AA$2:$AA$101,MATCH($A27,Project_Tracker!$AL$2:$AL$101,0)),""))</f>
        <v/>
      </c>
      <c r="S27" s="18" t="str">
        <f>IF($A27="","",IFERROR(INDEX(Project_Tracker!$AI$2:$AI$101,MATCH($A27,Project_Tracker!$AL$2:$AL$101,0)),""))</f>
        <v/>
      </c>
    </row>
    <row r="28" spans="1:19" x14ac:dyDescent="0.2">
      <c r="A28" s="9"/>
      <c r="B28" s="7"/>
      <c r="C28" s="9"/>
      <c r="D28" s="7"/>
      <c r="E28" s="16"/>
      <c r="F28" s="16"/>
      <c r="G28" s="7"/>
      <c r="H28" s="7"/>
      <c r="I28" s="7"/>
      <c r="J28" s="7"/>
      <c r="K28" s="7"/>
      <c r="L28" s="7"/>
      <c r="M28" s="7"/>
      <c r="N28" s="7"/>
      <c r="O28" s="17" t="str">
        <f>IF($A28="","",IFERROR(INDEX(Project_Tracker!$N$2:$N$101,MATCH($A28,Project_Tracker!$AL$2:$AL$101,0)),""))</f>
        <v/>
      </c>
      <c r="P28" s="17" t="str">
        <f>IF($A28="","",IFERROR(INDEX(Project_Tracker!$S$2:$S$101,MATCH($A28,Project_Tracker!$AL$2:$AL$101,0)),""))</f>
        <v/>
      </c>
      <c r="Q28" s="17" t="str">
        <f>IF($A28="","",IFERROR(INDEX(Project_Tracker!$T$2:$T$101,MATCH($A28,Project_Tracker!$AL$2:$AL$101,0)),""))</f>
        <v/>
      </c>
      <c r="R28" s="17" t="str">
        <f>IF($A28="","",IFERROR(INDEX(Project_Tracker!$AA$2:$AA$101,MATCH($A28,Project_Tracker!$AL$2:$AL$101,0)),""))</f>
        <v/>
      </c>
      <c r="S28" s="18" t="str">
        <f>IF($A28="","",IFERROR(INDEX(Project_Tracker!$AI$2:$AI$101,MATCH($A28,Project_Tracker!$AL$2:$AL$101,0)),""))</f>
        <v/>
      </c>
    </row>
    <row r="29" spans="1:19" x14ac:dyDescent="0.2">
      <c r="A29" s="9"/>
      <c r="B29" s="7"/>
      <c r="C29" s="9"/>
      <c r="D29" s="7"/>
      <c r="E29" s="16"/>
      <c r="F29" s="16"/>
      <c r="G29" s="7"/>
      <c r="H29" s="7"/>
      <c r="I29" s="7"/>
      <c r="J29" s="7"/>
      <c r="K29" s="7"/>
      <c r="L29" s="7"/>
      <c r="M29" s="7"/>
      <c r="N29" s="7"/>
      <c r="O29" s="17" t="str">
        <f>IF($A29="","",IFERROR(INDEX(Project_Tracker!$N$2:$N$101,MATCH($A29,Project_Tracker!$AL$2:$AL$101,0)),""))</f>
        <v/>
      </c>
      <c r="P29" s="17" t="str">
        <f>IF($A29="","",IFERROR(INDEX(Project_Tracker!$S$2:$S$101,MATCH($A29,Project_Tracker!$AL$2:$AL$101,0)),""))</f>
        <v/>
      </c>
      <c r="Q29" s="17" t="str">
        <f>IF($A29="","",IFERROR(INDEX(Project_Tracker!$T$2:$T$101,MATCH($A29,Project_Tracker!$AL$2:$AL$101,0)),""))</f>
        <v/>
      </c>
      <c r="R29" s="17" t="str">
        <f>IF($A29="","",IFERROR(INDEX(Project_Tracker!$AA$2:$AA$101,MATCH($A29,Project_Tracker!$AL$2:$AL$101,0)),""))</f>
        <v/>
      </c>
      <c r="S29" s="18" t="str">
        <f>IF($A29="","",IFERROR(INDEX(Project_Tracker!$AI$2:$AI$101,MATCH($A29,Project_Tracker!$AL$2:$AL$101,0)),""))</f>
        <v/>
      </c>
    </row>
    <row r="30" spans="1:19" x14ac:dyDescent="0.2">
      <c r="A30" s="9"/>
      <c r="B30" s="7"/>
      <c r="C30" s="9"/>
      <c r="D30" s="7"/>
      <c r="E30" s="16"/>
      <c r="F30" s="16"/>
      <c r="G30" s="7"/>
      <c r="H30" s="7"/>
      <c r="I30" s="7"/>
      <c r="J30" s="7"/>
      <c r="K30" s="7"/>
      <c r="L30" s="7"/>
      <c r="M30" s="7"/>
      <c r="N30" s="7"/>
      <c r="O30" s="17" t="str">
        <f>IF($A30="","",IFERROR(INDEX(Project_Tracker!$N$2:$N$101,MATCH($A30,Project_Tracker!$AL$2:$AL$101,0)),""))</f>
        <v/>
      </c>
      <c r="P30" s="17" t="str">
        <f>IF($A30="","",IFERROR(INDEX(Project_Tracker!$S$2:$S$101,MATCH($A30,Project_Tracker!$AL$2:$AL$101,0)),""))</f>
        <v/>
      </c>
      <c r="Q30" s="17" t="str">
        <f>IF($A30="","",IFERROR(INDEX(Project_Tracker!$T$2:$T$101,MATCH($A30,Project_Tracker!$AL$2:$AL$101,0)),""))</f>
        <v/>
      </c>
      <c r="R30" s="17" t="str">
        <f>IF($A30="","",IFERROR(INDEX(Project_Tracker!$AA$2:$AA$101,MATCH($A30,Project_Tracker!$AL$2:$AL$101,0)),""))</f>
        <v/>
      </c>
      <c r="S30" s="18" t="str">
        <f>IF($A30="","",IFERROR(INDEX(Project_Tracker!$AI$2:$AI$101,MATCH($A30,Project_Tracker!$AL$2:$AL$101,0)),""))</f>
        <v/>
      </c>
    </row>
    <row r="31" spans="1:19" x14ac:dyDescent="0.2">
      <c r="A31" s="9"/>
      <c r="B31" s="7"/>
      <c r="C31" s="9"/>
      <c r="D31" s="7"/>
      <c r="E31" s="16"/>
      <c r="F31" s="16"/>
      <c r="G31" s="7"/>
      <c r="H31" s="7"/>
      <c r="I31" s="7"/>
      <c r="J31" s="7"/>
      <c r="K31" s="7"/>
      <c r="L31" s="7"/>
      <c r="M31" s="7"/>
      <c r="N31" s="7"/>
      <c r="O31" s="17" t="str">
        <f>IF($A31="","",IFERROR(INDEX(Project_Tracker!$N$2:$N$101,MATCH($A31,Project_Tracker!$AL$2:$AL$101,0)),""))</f>
        <v/>
      </c>
      <c r="P31" s="17" t="str">
        <f>IF($A31="","",IFERROR(INDEX(Project_Tracker!$S$2:$S$101,MATCH($A31,Project_Tracker!$AL$2:$AL$101,0)),""))</f>
        <v/>
      </c>
      <c r="Q31" s="17" t="str">
        <f>IF($A31="","",IFERROR(INDEX(Project_Tracker!$T$2:$T$101,MATCH($A31,Project_Tracker!$AL$2:$AL$101,0)),""))</f>
        <v/>
      </c>
      <c r="R31" s="17" t="str">
        <f>IF($A31="","",IFERROR(INDEX(Project_Tracker!$AA$2:$AA$101,MATCH($A31,Project_Tracker!$AL$2:$AL$101,0)),""))</f>
        <v/>
      </c>
      <c r="S31" s="18" t="str">
        <f>IF($A31="","",IFERROR(INDEX(Project_Tracker!$AI$2:$AI$101,MATCH($A31,Project_Tracker!$AL$2:$AL$101,0)),""))</f>
        <v/>
      </c>
    </row>
    <row r="32" spans="1:19" x14ac:dyDescent="0.2">
      <c r="A32" s="9"/>
      <c r="B32" s="7"/>
      <c r="C32" s="9"/>
      <c r="D32" s="7"/>
      <c r="E32" s="16"/>
      <c r="F32" s="16"/>
      <c r="G32" s="7"/>
      <c r="H32" s="7"/>
      <c r="I32" s="7"/>
      <c r="J32" s="7"/>
      <c r="K32" s="7"/>
      <c r="L32" s="7"/>
      <c r="M32" s="7"/>
      <c r="N32" s="7"/>
      <c r="O32" s="17" t="str">
        <f>IF($A32="","",IFERROR(INDEX(Project_Tracker!$N$2:$N$101,MATCH($A32,Project_Tracker!$AL$2:$AL$101,0)),""))</f>
        <v/>
      </c>
      <c r="P32" s="17" t="str">
        <f>IF($A32="","",IFERROR(INDEX(Project_Tracker!$S$2:$S$101,MATCH($A32,Project_Tracker!$AL$2:$AL$101,0)),""))</f>
        <v/>
      </c>
      <c r="Q32" s="17" t="str">
        <f>IF($A32="","",IFERROR(INDEX(Project_Tracker!$T$2:$T$101,MATCH($A32,Project_Tracker!$AL$2:$AL$101,0)),""))</f>
        <v/>
      </c>
      <c r="R32" s="17" t="str">
        <f>IF($A32="","",IFERROR(INDEX(Project_Tracker!$AA$2:$AA$101,MATCH($A32,Project_Tracker!$AL$2:$AL$101,0)),""))</f>
        <v/>
      </c>
      <c r="S32" s="18" t="str">
        <f>IF($A32="","",IFERROR(INDEX(Project_Tracker!$AI$2:$AI$101,MATCH($A32,Project_Tracker!$AL$2:$AL$101,0)),""))</f>
        <v/>
      </c>
    </row>
    <row r="33" spans="1:19" x14ac:dyDescent="0.2">
      <c r="A33" s="9"/>
      <c r="B33" s="7"/>
      <c r="C33" s="9"/>
      <c r="D33" s="7"/>
      <c r="E33" s="16"/>
      <c r="F33" s="16"/>
      <c r="G33" s="7"/>
      <c r="H33" s="7"/>
      <c r="I33" s="7"/>
      <c r="J33" s="7"/>
      <c r="K33" s="7"/>
      <c r="L33" s="7"/>
      <c r="M33" s="7"/>
      <c r="N33" s="7"/>
      <c r="O33" s="17" t="str">
        <f>IF($A33="","",IFERROR(INDEX(Project_Tracker!$N$2:$N$101,MATCH($A33,Project_Tracker!$AL$2:$AL$101,0)),""))</f>
        <v/>
      </c>
      <c r="P33" s="17" t="str">
        <f>IF($A33="","",IFERROR(INDEX(Project_Tracker!$S$2:$S$101,MATCH($A33,Project_Tracker!$AL$2:$AL$101,0)),""))</f>
        <v/>
      </c>
      <c r="Q33" s="17" t="str">
        <f>IF($A33="","",IFERROR(INDEX(Project_Tracker!$T$2:$T$101,MATCH($A33,Project_Tracker!$AL$2:$AL$101,0)),""))</f>
        <v/>
      </c>
      <c r="R33" s="17" t="str">
        <f>IF($A33="","",IFERROR(INDEX(Project_Tracker!$AA$2:$AA$101,MATCH($A33,Project_Tracker!$AL$2:$AL$101,0)),""))</f>
        <v/>
      </c>
      <c r="S33" s="18" t="str">
        <f>IF($A33="","",IFERROR(INDEX(Project_Tracker!$AI$2:$AI$101,MATCH($A33,Project_Tracker!$AL$2:$AL$101,0)),""))</f>
        <v/>
      </c>
    </row>
    <row r="34" spans="1:19" x14ac:dyDescent="0.2">
      <c r="A34" s="9"/>
      <c r="B34" s="7"/>
      <c r="C34" s="9"/>
      <c r="D34" s="7"/>
      <c r="E34" s="16"/>
      <c r="F34" s="16"/>
      <c r="G34" s="7"/>
      <c r="H34" s="7"/>
      <c r="I34" s="7"/>
      <c r="J34" s="7"/>
      <c r="K34" s="7"/>
      <c r="L34" s="7"/>
      <c r="M34" s="7"/>
      <c r="N34" s="7"/>
      <c r="O34" s="17" t="str">
        <f>IF($A34="","",IFERROR(INDEX(Project_Tracker!$N$2:$N$101,MATCH($A34,Project_Tracker!$AL$2:$AL$101,0)),""))</f>
        <v/>
      </c>
      <c r="P34" s="17" t="str">
        <f>IF($A34="","",IFERROR(INDEX(Project_Tracker!$S$2:$S$101,MATCH($A34,Project_Tracker!$AL$2:$AL$101,0)),""))</f>
        <v/>
      </c>
      <c r="Q34" s="17" t="str">
        <f>IF($A34="","",IFERROR(INDEX(Project_Tracker!$T$2:$T$101,MATCH($A34,Project_Tracker!$AL$2:$AL$101,0)),""))</f>
        <v/>
      </c>
      <c r="R34" s="17" t="str">
        <f>IF($A34="","",IFERROR(INDEX(Project_Tracker!$AA$2:$AA$101,MATCH($A34,Project_Tracker!$AL$2:$AL$101,0)),""))</f>
        <v/>
      </c>
      <c r="S34" s="18" t="str">
        <f>IF($A34="","",IFERROR(INDEX(Project_Tracker!$AI$2:$AI$101,MATCH($A34,Project_Tracker!$AL$2:$AL$101,0)),""))</f>
        <v/>
      </c>
    </row>
    <row r="35" spans="1:19" x14ac:dyDescent="0.2">
      <c r="A35" s="9"/>
      <c r="B35" s="7"/>
      <c r="C35" s="9"/>
      <c r="D35" s="7"/>
      <c r="E35" s="16"/>
      <c r="F35" s="16"/>
      <c r="G35" s="7"/>
      <c r="H35" s="7"/>
      <c r="I35" s="7"/>
      <c r="J35" s="7"/>
      <c r="K35" s="7"/>
      <c r="L35" s="7"/>
      <c r="M35" s="7"/>
      <c r="N35" s="7"/>
      <c r="O35" s="17" t="str">
        <f>IF($A35="","",IFERROR(INDEX(Project_Tracker!$N$2:$N$101,MATCH($A35,Project_Tracker!$AL$2:$AL$101,0)),""))</f>
        <v/>
      </c>
      <c r="P35" s="17" t="str">
        <f>IF($A35="","",IFERROR(INDEX(Project_Tracker!$S$2:$S$101,MATCH($A35,Project_Tracker!$AL$2:$AL$101,0)),""))</f>
        <v/>
      </c>
      <c r="Q35" s="17" t="str">
        <f>IF($A35="","",IFERROR(INDEX(Project_Tracker!$T$2:$T$101,MATCH($A35,Project_Tracker!$AL$2:$AL$101,0)),""))</f>
        <v/>
      </c>
      <c r="R35" s="17" t="str">
        <f>IF($A35="","",IFERROR(INDEX(Project_Tracker!$AA$2:$AA$101,MATCH($A35,Project_Tracker!$AL$2:$AL$101,0)),""))</f>
        <v/>
      </c>
      <c r="S35" s="18" t="str">
        <f>IF($A35="","",IFERROR(INDEX(Project_Tracker!$AI$2:$AI$101,MATCH($A35,Project_Tracker!$AL$2:$AL$101,0)),""))</f>
        <v/>
      </c>
    </row>
    <row r="36" spans="1:19" x14ac:dyDescent="0.2">
      <c r="A36" s="9"/>
      <c r="B36" s="7"/>
      <c r="C36" s="9"/>
      <c r="D36" s="7"/>
      <c r="E36" s="16"/>
      <c r="F36" s="16"/>
      <c r="G36" s="7"/>
      <c r="H36" s="7"/>
      <c r="I36" s="7"/>
      <c r="J36" s="7"/>
      <c r="K36" s="7"/>
      <c r="L36" s="7"/>
      <c r="M36" s="7"/>
      <c r="N36" s="7"/>
      <c r="O36" s="17" t="str">
        <f>IF($A36="","",IFERROR(INDEX(Project_Tracker!$N$2:$N$101,MATCH($A36,Project_Tracker!$AL$2:$AL$101,0)),""))</f>
        <v/>
      </c>
      <c r="P36" s="17" t="str">
        <f>IF($A36="","",IFERROR(INDEX(Project_Tracker!$S$2:$S$101,MATCH($A36,Project_Tracker!$AL$2:$AL$101,0)),""))</f>
        <v/>
      </c>
      <c r="Q36" s="17" t="str">
        <f>IF($A36="","",IFERROR(INDEX(Project_Tracker!$T$2:$T$101,MATCH($A36,Project_Tracker!$AL$2:$AL$101,0)),""))</f>
        <v/>
      </c>
      <c r="R36" s="17" t="str">
        <f>IF($A36="","",IFERROR(INDEX(Project_Tracker!$AA$2:$AA$101,MATCH($A36,Project_Tracker!$AL$2:$AL$101,0)),""))</f>
        <v/>
      </c>
      <c r="S36" s="18" t="str">
        <f>IF($A36="","",IFERROR(INDEX(Project_Tracker!$AI$2:$AI$101,MATCH($A36,Project_Tracker!$AL$2:$AL$101,0)),""))</f>
        <v/>
      </c>
    </row>
    <row r="37" spans="1:19" x14ac:dyDescent="0.2">
      <c r="A37" s="9"/>
      <c r="B37" s="7"/>
      <c r="C37" s="9"/>
      <c r="D37" s="7"/>
      <c r="E37" s="16"/>
      <c r="F37" s="16"/>
      <c r="G37" s="7"/>
      <c r="H37" s="7"/>
      <c r="I37" s="7"/>
      <c r="J37" s="7"/>
      <c r="K37" s="7"/>
      <c r="L37" s="7"/>
      <c r="M37" s="7"/>
      <c r="N37" s="7"/>
      <c r="O37" s="17" t="str">
        <f>IF($A37="","",IFERROR(INDEX(Project_Tracker!$N$2:$N$101,MATCH($A37,Project_Tracker!$AL$2:$AL$101,0)),""))</f>
        <v/>
      </c>
      <c r="P37" s="17" t="str">
        <f>IF($A37="","",IFERROR(INDEX(Project_Tracker!$S$2:$S$101,MATCH($A37,Project_Tracker!$AL$2:$AL$101,0)),""))</f>
        <v/>
      </c>
      <c r="Q37" s="17" t="str">
        <f>IF($A37="","",IFERROR(INDEX(Project_Tracker!$T$2:$T$101,MATCH($A37,Project_Tracker!$AL$2:$AL$101,0)),""))</f>
        <v/>
      </c>
      <c r="R37" s="17" t="str">
        <f>IF($A37="","",IFERROR(INDEX(Project_Tracker!$AA$2:$AA$101,MATCH($A37,Project_Tracker!$AL$2:$AL$101,0)),""))</f>
        <v/>
      </c>
      <c r="S37" s="18" t="str">
        <f>IF($A37="","",IFERROR(INDEX(Project_Tracker!$AI$2:$AI$101,MATCH($A37,Project_Tracker!$AL$2:$AL$101,0)),""))</f>
        <v/>
      </c>
    </row>
    <row r="38" spans="1:19" x14ac:dyDescent="0.2">
      <c r="A38" s="9"/>
      <c r="B38" s="7"/>
      <c r="C38" s="9"/>
      <c r="D38" s="7"/>
      <c r="E38" s="16"/>
      <c r="F38" s="16"/>
      <c r="G38" s="7"/>
      <c r="H38" s="7"/>
      <c r="I38" s="7"/>
      <c r="J38" s="7"/>
      <c r="K38" s="7"/>
      <c r="L38" s="7"/>
      <c r="M38" s="7"/>
      <c r="N38" s="7"/>
      <c r="O38" s="17" t="str">
        <f>IF($A38="","",IFERROR(INDEX(Project_Tracker!$N$2:$N$101,MATCH($A38,Project_Tracker!$AL$2:$AL$101,0)),""))</f>
        <v/>
      </c>
      <c r="P38" s="17" t="str">
        <f>IF($A38="","",IFERROR(INDEX(Project_Tracker!$S$2:$S$101,MATCH($A38,Project_Tracker!$AL$2:$AL$101,0)),""))</f>
        <v/>
      </c>
      <c r="Q38" s="17" t="str">
        <f>IF($A38="","",IFERROR(INDEX(Project_Tracker!$T$2:$T$101,MATCH($A38,Project_Tracker!$AL$2:$AL$101,0)),""))</f>
        <v/>
      </c>
      <c r="R38" s="17" t="str">
        <f>IF($A38="","",IFERROR(INDEX(Project_Tracker!$AA$2:$AA$101,MATCH($A38,Project_Tracker!$AL$2:$AL$101,0)),""))</f>
        <v/>
      </c>
      <c r="S38" s="18" t="str">
        <f>IF($A38="","",IFERROR(INDEX(Project_Tracker!$AI$2:$AI$101,MATCH($A38,Project_Tracker!$AL$2:$AL$101,0)),""))</f>
        <v/>
      </c>
    </row>
    <row r="39" spans="1:19" x14ac:dyDescent="0.2">
      <c r="A39" s="9"/>
      <c r="B39" s="7"/>
      <c r="C39" s="9"/>
      <c r="D39" s="7"/>
      <c r="E39" s="16"/>
      <c r="F39" s="16"/>
      <c r="G39" s="7"/>
      <c r="H39" s="7"/>
      <c r="I39" s="7"/>
      <c r="J39" s="7"/>
      <c r="K39" s="7"/>
      <c r="L39" s="7"/>
      <c r="M39" s="7"/>
      <c r="N39" s="7"/>
      <c r="O39" s="17" t="str">
        <f>IF($A39="","",IFERROR(INDEX(Project_Tracker!$N$2:$N$101,MATCH($A39,Project_Tracker!$AL$2:$AL$101,0)),""))</f>
        <v/>
      </c>
      <c r="P39" s="17" t="str">
        <f>IF($A39="","",IFERROR(INDEX(Project_Tracker!$S$2:$S$101,MATCH($A39,Project_Tracker!$AL$2:$AL$101,0)),""))</f>
        <v/>
      </c>
      <c r="Q39" s="17" t="str">
        <f>IF($A39="","",IFERROR(INDEX(Project_Tracker!$T$2:$T$101,MATCH($A39,Project_Tracker!$AL$2:$AL$101,0)),""))</f>
        <v/>
      </c>
      <c r="R39" s="17" t="str">
        <f>IF($A39="","",IFERROR(INDEX(Project_Tracker!$AA$2:$AA$101,MATCH($A39,Project_Tracker!$AL$2:$AL$101,0)),""))</f>
        <v/>
      </c>
      <c r="S39" s="18" t="str">
        <f>IF($A39="","",IFERROR(INDEX(Project_Tracker!$AI$2:$AI$101,MATCH($A39,Project_Tracker!$AL$2:$AL$101,0)),""))</f>
        <v/>
      </c>
    </row>
    <row r="40" spans="1:19" x14ac:dyDescent="0.2">
      <c r="A40" s="9"/>
      <c r="B40" s="7"/>
      <c r="C40" s="9"/>
      <c r="D40" s="7"/>
      <c r="E40" s="16"/>
      <c r="F40" s="16"/>
      <c r="G40" s="7"/>
      <c r="H40" s="7"/>
      <c r="I40" s="7"/>
      <c r="J40" s="7"/>
      <c r="K40" s="7"/>
      <c r="L40" s="7"/>
      <c r="M40" s="7"/>
      <c r="N40" s="7"/>
      <c r="O40" s="17" t="str">
        <f>IF($A40="","",IFERROR(INDEX(Project_Tracker!$N$2:$N$101,MATCH($A40,Project_Tracker!$AL$2:$AL$101,0)),""))</f>
        <v/>
      </c>
      <c r="P40" s="17" t="str">
        <f>IF($A40="","",IFERROR(INDEX(Project_Tracker!$S$2:$S$101,MATCH($A40,Project_Tracker!$AL$2:$AL$101,0)),""))</f>
        <v/>
      </c>
      <c r="Q40" s="17" t="str">
        <f>IF($A40="","",IFERROR(INDEX(Project_Tracker!$T$2:$T$101,MATCH($A40,Project_Tracker!$AL$2:$AL$101,0)),""))</f>
        <v/>
      </c>
      <c r="R40" s="17" t="str">
        <f>IF($A40="","",IFERROR(INDEX(Project_Tracker!$AA$2:$AA$101,MATCH($A40,Project_Tracker!$AL$2:$AL$101,0)),""))</f>
        <v/>
      </c>
      <c r="S40" s="18" t="str">
        <f>IF($A40="","",IFERROR(INDEX(Project_Tracker!$AI$2:$AI$101,MATCH($A40,Project_Tracker!$AL$2:$AL$101,0)),""))</f>
        <v/>
      </c>
    </row>
    <row r="41" spans="1:19" x14ac:dyDescent="0.2">
      <c r="A41" s="9"/>
      <c r="B41" s="7"/>
      <c r="C41" s="9"/>
      <c r="D41" s="7"/>
      <c r="E41" s="16"/>
      <c r="F41" s="16"/>
      <c r="G41" s="7"/>
      <c r="H41" s="7"/>
      <c r="I41" s="7"/>
      <c r="J41" s="7"/>
      <c r="K41" s="7"/>
      <c r="L41" s="7"/>
      <c r="M41" s="7"/>
      <c r="N41" s="7"/>
      <c r="O41" s="17" t="str">
        <f>IF($A41="","",IFERROR(INDEX(Project_Tracker!$N$2:$N$101,MATCH($A41,Project_Tracker!$AL$2:$AL$101,0)),""))</f>
        <v/>
      </c>
      <c r="P41" s="17" t="str">
        <f>IF($A41="","",IFERROR(INDEX(Project_Tracker!$S$2:$S$101,MATCH($A41,Project_Tracker!$AL$2:$AL$101,0)),""))</f>
        <v/>
      </c>
      <c r="Q41" s="17" t="str">
        <f>IF($A41="","",IFERROR(INDEX(Project_Tracker!$T$2:$T$101,MATCH($A41,Project_Tracker!$AL$2:$AL$101,0)),""))</f>
        <v/>
      </c>
      <c r="R41" s="17" t="str">
        <f>IF($A41="","",IFERROR(INDEX(Project_Tracker!$AA$2:$AA$101,MATCH($A41,Project_Tracker!$AL$2:$AL$101,0)),""))</f>
        <v/>
      </c>
      <c r="S41" s="18" t="str">
        <f>IF($A41="","",IFERROR(INDEX(Project_Tracker!$AI$2:$AI$101,MATCH($A41,Project_Tracker!$AL$2:$AL$101,0)),""))</f>
        <v/>
      </c>
    </row>
    <row r="42" spans="1:19" x14ac:dyDescent="0.2">
      <c r="A42" s="9"/>
      <c r="B42" s="7"/>
      <c r="C42" s="9"/>
      <c r="D42" s="7"/>
      <c r="E42" s="16"/>
      <c r="F42" s="16"/>
      <c r="G42" s="7"/>
      <c r="H42" s="7"/>
      <c r="I42" s="7"/>
      <c r="J42" s="7"/>
      <c r="K42" s="7"/>
      <c r="L42" s="7"/>
      <c r="M42" s="7"/>
      <c r="N42" s="7"/>
      <c r="O42" s="17" t="str">
        <f>IF($A42="","",IFERROR(INDEX(Project_Tracker!$N$2:$N$101,MATCH($A42,Project_Tracker!$AL$2:$AL$101,0)),""))</f>
        <v/>
      </c>
      <c r="P42" s="17" t="str">
        <f>IF($A42="","",IFERROR(INDEX(Project_Tracker!$S$2:$S$101,MATCH($A42,Project_Tracker!$AL$2:$AL$101,0)),""))</f>
        <v/>
      </c>
      <c r="Q42" s="17" t="str">
        <f>IF($A42="","",IFERROR(INDEX(Project_Tracker!$T$2:$T$101,MATCH($A42,Project_Tracker!$AL$2:$AL$101,0)),""))</f>
        <v/>
      </c>
      <c r="R42" s="17" t="str">
        <f>IF($A42="","",IFERROR(INDEX(Project_Tracker!$AA$2:$AA$101,MATCH($A42,Project_Tracker!$AL$2:$AL$101,0)),""))</f>
        <v/>
      </c>
      <c r="S42" s="18" t="str">
        <f>IF($A42="","",IFERROR(INDEX(Project_Tracker!$AI$2:$AI$101,MATCH($A42,Project_Tracker!$AL$2:$AL$101,0)),""))</f>
        <v/>
      </c>
    </row>
    <row r="43" spans="1:19" x14ac:dyDescent="0.2">
      <c r="A43" s="9"/>
      <c r="B43" s="7"/>
      <c r="C43" s="9"/>
      <c r="D43" s="7"/>
      <c r="E43" s="16"/>
      <c r="F43" s="16"/>
      <c r="G43" s="7"/>
      <c r="H43" s="7"/>
      <c r="I43" s="7"/>
      <c r="J43" s="7"/>
      <c r="K43" s="7"/>
      <c r="L43" s="7"/>
      <c r="M43" s="7"/>
      <c r="N43" s="7"/>
      <c r="O43" s="17" t="str">
        <f>IF($A43="","",IFERROR(INDEX(Project_Tracker!$N$2:$N$101,MATCH($A43,Project_Tracker!$AL$2:$AL$101,0)),""))</f>
        <v/>
      </c>
      <c r="P43" s="17" t="str">
        <f>IF($A43="","",IFERROR(INDEX(Project_Tracker!$S$2:$S$101,MATCH($A43,Project_Tracker!$AL$2:$AL$101,0)),""))</f>
        <v/>
      </c>
      <c r="Q43" s="17" t="str">
        <f>IF($A43="","",IFERROR(INDEX(Project_Tracker!$T$2:$T$101,MATCH($A43,Project_Tracker!$AL$2:$AL$101,0)),""))</f>
        <v/>
      </c>
      <c r="R43" s="17" t="str">
        <f>IF($A43="","",IFERROR(INDEX(Project_Tracker!$AA$2:$AA$101,MATCH($A43,Project_Tracker!$AL$2:$AL$101,0)),""))</f>
        <v/>
      </c>
      <c r="S43" s="18" t="str">
        <f>IF($A43="","",IFERROR(INDEX(Project_Tracker!$AI$2:$AI$101,MATCH($A43,Project_Tracker!$AL$2:$AL$101,0)),""))</f>
        <v/>
      </c>
    </row>
    <row r="44" spans="1:19" x14ac:dyDescent="0.2">
      <c r="A44" s="9"/>
      <c r="B44" s="7"/>
      <c r="C44" s="9"/>
      <c r="D44" s="7"/>
      <c r="E44" s="16"/>
      <c r="F44" s="16"/>
      <c r="G44" s="7"/>
      <c r="H44" s="7"/>
      <c r="I44" s="7"/>
      <c r="J44" s="7"/>
      <c r="K44" s="7"/>
      <c r="L44" s="7"/>
      <c r="M44" s="7"/>
      <c r="N44" s="7"/>
      <c r="O44" s="17" t="str">
        <f>IF($A44="","",IFERROR(INDEX(Project_Tracker!$N$2:$N$101,MATCH($A44,Project_Tracker!$AL$2:$AL$101,0)),""))</f>
        <v/>
      </c>
      <c r="P44" s="17" t="str">
        <f>IF($A44="","",IFERROR(INDEX(Project_Tracker!$S$2:$S$101,MATCH($A44,Project_Tracker!$AL$2:$AL$101,0)),""))</f>
        <v/>
      </c>
      <c r="Q44" s="17" t="str">
        <f>IF($A44="","",IFERROR(INDEX(Project_Tracker!$T$2:$T$101,MATCH($A44,Project_Tracker!$AL$2:$AL$101,0)),""))</f>
        <v/>
      </c>
      <c r="R44" s="17" t="str">
        <f>IF($A44="","",IFERROR(INDEX(Project_Tracker!$AA$2:$AA$101,MATCH($A44,Project_Tracker!$AL$2:$AL$101,0)),""))</f>
        <v/>
      </c>
      <c r="S44" s="18" t="str">
        <f>IF($A44="","",IFERROR(INDEX(Project_Tracker!$AI$2:$AI$101,MATCH($A44,Project_Tracker!$AL$2:$AL$101,0)),""))</f>
        <v/>
      </c>
    </row>
    <row r="45" spans="1:19" x14ac:dyDescent="0.2">
      <c r="A45" s="9"/>
      <c r="B45" s="7"/>
      <c r="C45" s="9"/>
      <c r="D45" s="7"/>
      <c r="E45" s="16"/>
      <c r="F45" s="16"/>
      <c r="G45" s="7"/>
      <c r="H45" s="7"/>
      <c r="I45" s="7"/>
      <c r="J45" s="7"/>
      <c r="K45" s="7"/>
      <c r="L45" s="7"/>
      <c r="M45" s="7"/>
      <c r="N45" s="7"/>
      <c r="O45" s="17" t="str">
        <f>IF($A45="","",IFERROR(INDEX(Project_Tracker!$N$2:$N$101,MATCH($A45,Project_Tracker!$AL$2:$AL$101,0)),""))</f>
        <v/>
      </c>
      <c r="P45" s="17" t="str">
        <f>IF($A45="","",IFERROR(INDEX(Project_Tracker!$S$2:$S$101,MATCH($A45,Project_Tracker!$AL$2:$AL$101,0)),""))</f>
        <v/>
      </c>
      <c r="Q45" s="17" t="str">
        <f>IF($A45="","",IFERROR(INDEX(Project_Tracker!$T$2:$T$101,MATCH($A45,Project_Tracker!$AL$2:$AL$101,0)),""))</f>
        <v/>
      </c>
      <c r="R45" s="17" t="str">
        <f>IF($A45="","",IFERROR(INDEX(Project_Tracker!$AA$2:$AA$101,MATCH($A45,Project_Tracker!$AL$2:$AL$101,0)),""))</f>
        <v/>
      </c>
      <c r="S45" s="18" t="str">
        <f>IF($A45="","",IFERROR(INDEX(Project_Tracker!$AI$2:$AI$101,MATCH($A45,Project_Tracker!$AL$2:$AL$101,0)),""))</f>
        <v/>
      </c>
    </row>
    <row r="46" spans="1:19" x14ac:dyDescent="0.2">
      <c r="A46" s="9"/>
      <c r="B46" s="7"/>
      <c r="C46" s="9"/>
      <c r="D46" s="7"/>
      <c r="E46" s="16"/>
      <c r="F46" s="16"/>
      <c r="G46" s="7"/>
      <c r="H46" s="7"/>
      <c r="I46" s="7"/>
      <c r="J46" s="7"/>
      <c r="K46" s="7"/>
      <c r="L46" s="7"/>
      <c r="M46" s="7"/>
      <c r="N46" s="7"/>
      <c r="O46" s="17" t="str">
        <f>IF($A46="","",IFERROR(INDEX(Project_Tracker!$N$2:$N$101,MATCH($A46,Project_Tracker!$AL$2:$AL$101,0)),""))</f>
        <v/>
      </c>
      <c r="P46" s="17" t="str">
        <f>IF($A46="","",IFERROR(INDEX(Project_Tracker!$S$2:$S$101,MATCH($A46,Project_Tracker!$AL$2:$AL$101,0)),""))</f>
        <v/>
      </c>
      <c r="Q46" s="17" t="str">
        <f>IF($A46="","",IFERROR(INDEX(Project_Tracker!$T$2:$T$101,MATCH($A46,Project_Tracker!$AL$2:$AL$101,0)),""))</f>
        <v/>
      </c>
      <c r="R46" s="17" t="str">
        <f>IF($A46="","",IFERROR(INDEX(Project_Tracker!$AA$2:$AA$101,MATCH($A46,Project_Tracker!$AL$2:$AL$101,0)),""))</f>
        <v/>
      </c>
      <c r="S46" s="18" t="str">
        <f>IF($A46="","",IFERROR(INDEX(Project_Tracker!$AI$2:$AI$101,MATCH($A46,Project_Tracker!$AL$2:$AL$101,0)),""))</f>
        <v/>
      </c>
    </row>
    <row r="47" spans="1:19" x14ac:dyDescent="0.2">
      <c r="A47" s="9"/>
      <c r="B47" s="7"/>
      <c r="C47" s="9"/>
      <c r="D47" s="7"/>
      <c r="E47" s="16"/>
      <c r="F47" s="16"/>
      <c r="G47" s="7"/>
      <c r="H47" s="7"/>
      <c r="I47" s="7"/>
      <c r="J47" s="7"/>
      <c r="K47" s="7"/>
      <c r="L47" s="7"/>
      <c r="M47" s="7"/>
      <c r="N47" s="7"/>
      <c r="O47" s="17" t="str">
        <f>IF($A47="","",IFERROR(INDEX(Project_Tracker!$N$2:$N$101,MATCH($A47,Project_Tracker!$AL$2:$AL$101,0)),""))</f>
        <v/>
      </c>
      <c r="P47" s="17" t="str">
        <f>IF($A47="","",IFERROR(INDEX(Project_Tracker!$S$2:$S$101,MATCH($A47,Project_Tracker!$AL$2:$AL$101,0)),""))</f>
        <v/>
      </c>
      <c r="Q47" s="17" t="str">
        <f>IF($A47="","",IFERROR(INDEX(Project_Tracker!$T$2:$T$101,MATCH($A47,Project_Tracker!$AL$2:$AL$101,0)),""))</f>
        <v/>
      </c>
      <c r="R47" s="17" t="str">
        <f>IF($A47="","",IFERROR(INDEX(Project_Tracker!$AA$2:$AA$101,MATCH($A47,Project_Tracker!$AL$2:$AL$101,0)),""))</f>
        <v/>
      </c>
      <c r="S47" s="18" t="str">
        <f>IF($A47="","",IFERROR(INDEX(Project_Tracker!$AI$2:$AI$101,MATCH($A47,Project_Tracker!$AL$2:$AL$101,0)),""))</f>
        <v/>
      </c>
    </row>
    <row r="48" spans="1:19" x14ac:dyDescent="0.2">
      <c r="A48" s="9"/>
      <c r="B48" s="7"/>
      <c r="C48" s="9"/>
      <c r="D48" s="7"/>
      <c r="E48" s="16"/>
      <c r="F48" s="16"/>
      <c r="G48" s="7"/>
      <c r="H48" s="7"/>
      <c r="I48" s="7"/>
      <c r="J48" s="7"/>
      <c r="K48" s="7"/>
      <c r="L48" s="7"/>
      <c r="M48" s="7"/>
      <c r="N48" s="7"/>
      <c r="O48" s="17" t="str">
        <f>IF($A48="","",IFERROR(INDEX(Project_Tracker!$N$2:$N$101,MATCH($A48,Project_Tracker!$AL$2:$AL$101,0)),""))</f>
        <v/>
      </c>
      <c r="P48" s="17" t="str">
        <f>IF($A48="","",IFERROR(INDEX(Project_Tracker!$S$2:$S$101,MATCH($A48,Project_Tracker!$AL$2:$AL$101,0)),""))</f>
        <v/>
      </c>
      <c r="Q48" s="17" t="str">
        <f>IF($A48="","",IFERROR(INDEX(Project_Tracker!$T$2:$T$101,MATCH($A48,Project_Tracker!$AL$2:$AL$101,0)),""))</f>
        <v/>
      </c>
      <c r="R48" s="17" t="str">
        <f>IF($A48="","",IFERROR(INDEX(Project_Tracker!$AA$2:$AA$101,MATCH($A48,Project_Tracker!$AL$2:$AL$101,0)),""))</f>
        <v/>
      </c>
      <c r="S48" s="18" t="str">
        <f>IF($A48="","",IFERROR(INDEX(Project_Tracker!$AI$2:$AI$101,MATCH($A48,Project_Tracker!$AL$2:$AL$101,0)),""))</f>
        <v/>
      </c>
    </row>
    <row r="49" spans="1:19" x14ac:dyDescent="0.2">
      <c r="A49" s="9"/>
      <c r="B49" s="7"/>
      <c r="C49" s="9"/>
      <c r="D49" s="7"/>
      <c r="E49" s="16"/>
      <c r="F49" s="16"/>
      <c r="G49" s="7"/>
      <c r="H49" s="7"/>
      <c r="I49" s="7"/>
      <c r="J49" s="7"/>
      <c r="K49" s="7"/>
      <c r="L49" s="7"/>
      <c r="M49" s="7"/>
      <c r="N49" s="7"/>
      <c r="O49" s="17" t="str">
        <f>IF($A49="","",IFERROR(INDEX(Project_Tracker!$N$2:$N$101,MATCH($A49,Project_Tracker!$AL$2:$AL$101,0)),""))</f>
        <v/>
      </c>
      <c r="P49" s="17" t="str">
        <f>IF($A49="","",IFERROR(INDEX(Project_Tracker!$S$2:$S$101,MATCH($A49,Project_Tracker!$AL$2:$AL$101,0)),""))</f>
        <v/>
      </c>
      <c r="Q49" s="17" t="str">
        <f>IF($A49="","",IFERROR(INDEX(Project_Tracker!$T$2:$T$101,MATCH($A49,Project_Tracker!$AL$2:$AL$101,0)),""))</f>
        <v/>
      </c>
      <c r="R49" s="17" t="str">
        <f>IF($A49="","",IFERROR(INDEX(Project_Tracker!$AA$2:$AA$101,MATCH($A49,Project_Tracker!$AL$2:$AL$101,0)),""))</f>
        <v/>
      </c>
      <c r="S49" s="18" t="str">
        <f>IF($A49="","",IFERROR(INDEX(Project_Tracker!$AI$2:$AI$101,MATCH($A49,Project_Tracker!$AL$2:$AL$101,0)),""))</f>
        <v/>
      </c>
    </row>
    <row r="50" spans="1:19" x14ac:dyDescent="0.2">
      <c r="A50" s="9"/>
      <c r="B50" s="7"/>
      <c r="C50" s="9"/>
      <c r="D50" s="7"/>
      <c r="E50" s="16"/>
      <c r="F50" s="16"/>
      <c r="G50" s="7"/>
      <c r="H50" s="7"/>
      <c r="I50" s="7"/>
      <c r="J50" s="7"/>
      <c r="K50" s="7"/>
      <c r="L50" s="7"/>
      <c r="M50" s="7"/>
      <c r="N50" s="7"/>
      <c r="O50" s="17" t="str">
        <f>IF($A50="","",IFERROR(INDEX(Project_Tracker!$N$2:$N$101,MATCH($A50,Project_Tracker!$AL$2:$AL$101,0)),""))</f>
        <v/>
      </c>
      <c r="P50" s="17" t="str">
        <f>IF($A50="","",IFERROR(INDEX(Project_Tracker!$S$2:$S$101,MATCH($A50,Project_Tracker!$AL$2:$AL$101,0)),""))</f>
        <v/>
      </c>
      <c r="Q50" s="17" t="str">
        <f>IF($A50="","",IFERROR(INDEX(Project_Tracker!$T$2:$T$101,MATCH($A50,Project_Tracker!$AL$2:$AL$101,0)),""))</f>
        <v/>
      </c>
      <c r="R50" s="17" t="str">
        <f>IF($A50="","",IFERROR(INDEX(Project_Tracker!$AA$2:$AA$101,MATCH($A50,Project_Tracker!$AL$2:$AL$101,0)),""))</f>
        <v/>
      </c>
      <c r="S50" s="18" t="str">
        <f>IF($A50="","",IFERROR(INDEX(Project_Tracker!$AI$2:$AI$101,MATCH($A50,Project_Tracker!$AL$2:$AL$101,0)),""))</f>
        <v/>
      </c>
    </row>
    <row r="51" spans="1:19" x14ac:dyDescent="0.2">
      <c r="A51" s="9"/>
      <c r="B51" s="7"/>
      <c r="C51" s="9"/>
      <c r="D51" s="7"/>
      <c r="E51" s="16"/>
      <c r="F51" s="16"/>
      <c r="G51" s="7"/>
      <c r="H51" s="7"/>
      <c r="I51" s="7"/>
      <c r="J51" s="7"/>
      <c r="K51" s="7"/>
      <c r="L51" s="7"/>
      <c r="M51" s="7"/>
      <c r="N51" s="7"/>
      <c r="O51" s="17" t="str">
        <f>IF($A51="","",IFERROR(INDEX(Project_Tracker!$N$2:$N$101,MATCH($A51,Project_Tracker!$AL$2:$AL$101,0)),""))</f>
        <v/>
      </c>
      <c r="P51" s="17" t="str">
        <f>IF($A51="","",IFERROR(INDEX(Project_Tracker!$S$2:$S$101,MATCH($A51,Project_Tracker!$AL$2:$AL$101,0)),""))</f>
        <v/>
      </c>
      <c r="Q51" s="17" t="str">
        <f>IF($A51="","",IFERROR(INDEX(Project_Tracker!$T$2:$T$101,MATCH($A51,Project_Tracker!$AL$2:$AL$101,0)),""))</f>
        <v/>
      </c>
      <c r="R51" s="17" t="str">
        <f>IF($A51="","",IFERROR(INDEX(Project_Tracker!$AA$2:$AA$101,MATCH($A51,Project_Tracker!$AL$2:$AL$101,0)),""))</f>
        <v/>
      </c>
      <c r="S51" s="18" t="str">
        <f>IF($A51="","",IFERROR(INDEX(Project_Tracker!$AI$2:$AI$101,MATCH($A51,Project_Tracker!$AL$2:$AL$101,0)),""))</f>
        <v/>
      </c>
    </row>
    <row r="52" spans="1:19" x14ac:dyDescent="0.2">
      <c r="A52" s="9"/>
      <c r="B52" s="7"/>
      <c r="C52" s="9"/>
      <c r="D52" s="7"/>
      <c r="E52" s="16"/>
      <c r="F52" s="16"/>
      <c r="G52" s="7"/>
      <c r="H52" s="7"/>
      <c r="I52" s="7"/>
      <c r="J52" s="7"/>
      <c r="K52" s="7"/>
      <c r="L52" s="7"/>
      <c r="M52" s="7"/>
      <c r="N52" s="7"/>
      <c r="O52" s="17" t="str">
        <f>IF($A52="","",IFERROR(INDEX(Project_Tracker!$N$2:$N$101,MATCH($A52,Project_Tracker!$AL$2:$AL$101,0)),""))</f>
        <v/>
      </c>
      <c r="P52" s="17" t="str">
        <f>IF($A52="","",IFERROR(INDEX(Project_Tracker!$S$2:$S$101,MATCH($A52,Project_Tracker!$AL$2:$AL$101,0)),""))</f>
        <v/>
      </c>
      <c r="Q52" s="17" t="str">
        <f>IF($A52="","",IFERROR(INDEX(Project_Tracker!$T$2:$T$101,MATCH($A52,Project_Tracker!$AL$2:$AL$101,0)),""))</f>
        <v/>
      </c>
      <c r="R52" s="17" t="str">
        <f>IF($A52="","",IFERROR(INDEX(Project_Tracker!$AA$2:$AA$101,MATCH($A52,Project_Tracker!$AL$2:$AL$101,0)),""))</f>
        <v/>
      </c>
      <c r="S52" s="18" t="str">
        <f>IF($A52="","",IFERROR(INDEX(Project_Tracker!$AI$2:$AI$101,MATCH($A52,Project_Tracker!$AL$2:$AL$101,0)),""))</f>
        <v/>
      </c>
    </row>
    <row r="53" spans="1:19" x14ac:dyDescent="0.2">
      <c r="A53" s="9"/>
      <c r="B53" s="7"/>
      <c r="C53" s="9"/>
      <c r="D53" s="7"/>
      <c r="E53" s="16"/>
      <c r="F53" s="16"/>
      <c r="G53" s="7"/>
      <c r="H53" s="7"/>
      <c r="I53" s="7"/>
      <c r="J53" s="7"/>
      <c r="K53" s="7"/>
      <c r="L53" s="7"/>
      <c r="M53" s="7"/>
      <c r="N53" s="7"/>
      <c r="O53" s="17" t="str">
        <f>IF($A53="","",IFERROR(INDEX(Project_Tracker!$N$2:$N$101,MATCH($A53,Project_Tracker!$AL$2:$AL$101,0)),""))</f>
        <v/>
      </c>
      <c r="P53" s="17" t="str">
        <f>IF($A53="","",IFERROR(INDEX(Project_Tracker!$S$2:$S$101,MATCH($A53,Project_Tracker!$AL$2:$AL$101,0)),""))</f>
        <v/>
      </c>
      <c r="Q53" s="17" t="str">
        <f>IF($A53="","",IFERROR(INDEX(Project_Tracker!$T$2:$T$101,MATCH($A53,Project_Tracker!$AL$2:$AL$101,0)),""))</f>
        <v/>
      </c>
      <c r="R53" s="17" t="str">
        <f>IF($A53="","",IFERROR(INDEX(Project_Tracker!$AA$2:$AA$101,MATCH($A53,Project_Tracker!$AL$2:$AL$101,0)),""))</f>
        <v/>
      </c>
      <c r="S53" s="18" t="str">
        <f>IF($A53="","",IFERROR(INDEX(Project_Tracker!$AI$2:$AI$101,MATCH($A53,Project_Tracker!$AL$2:$AL$101,0)),""))</f>
        <v/>
      </c>
    </row>
    <row r="54" spans="1:19" x14ac:dyDescent="0.2">
      <c r="A54" s="9"/>
      <c r="B54" s="7"/>
      <c r="C54" s="9"/>
      <c r="D54" s="7"/>
      <c r="E54" s="16"/>
      <c r="F54" s="16"/>
      <c r="G54" s="7"/>
      <c r="H54" s="7"/>
      <c r="I54" s="7"/>
      <c r="J54" s="7"/>
      <c r="K54" s="7"/>
      <c r="L54" s="7"/>
      <c r="M54" s="7"/>
      <c r="N54" s="7"/>
      <c r="O54" s="17" t="str">
        <f>IF($A54="","",IFERROR(INDEX(Project_Tracker!$N$2:$N$101,MATCH($A54,Project_Tracker!$AL$2:$AL$101,0)),""))</f>
        <v/>
      </c>
      <c r="P54" s="17" t="str">
        <f>IF($A54="","",IFERROR(INDEX(Project_Tracker!$S$2:$S$101,MATCH($A54,Project_Tracker!$AL$2:$AL$101,0)),""))</f>
        <v/>
      </c>
      <c r="Q54" s="17" t="str">
        <f>IF($A54="","",IFERROR(INDEX(Project_Tracker!$T$2:$T$101,MATCH($A54,Project_Tracker!$AL$2:$AL$101,0)),""))</f>
        <v/>
      </c>
      <c r="R54" s="17" t="str">
        <f>IF($A54="","",IFERROR(INDEX(Project_Tracker!$AA$2:$AA$101,MATCH($A54,Project_Tracker!$AL$2:$AL$101,0)),""))</f>
        <v/>
      </c>
      <c r="S54" s="18" t="str">
        <f>IF($A54="","",IFERROR(INDEX(Project_Tracker!$AI$2:$AI$101,MATCH($A54,Project_Tracker!$AL$2:$AL$101,0)),""))</f>
        <v/>
      </c>
    </row>
    <row r="55" spans="1:19" x14ac:dyDescent="0.2">
      <c r="A55" s="9"/>
      <c r="B55" s="7"/>
      <c r="C55" s="9"/>
      <c r="D55" s="7"/>
      <c r="E55" s="16"/>
      <c r="F55" s="16"/>
      <c r="G55" s="7"/>
      <c r="H55" s="7"/>
      <c r="I55" s="7"/>
      <c r="J55" s="7"/>
      <c r="K55" s="7"/>
      <c r="L55" s="7"/>
      <c r="M55" s="7"/>
      <c r="N55" s="7"/>
      <c r="O55" s="17" t="str">
        <f>IF($A55="","",IFERROR(INDEX(Project_Tracker!$N$2:$N$101,MATCH($A55,Project_Tracker!$AL$2:$AL$101,0)),""))</f>
        <v/>
      </c>
      <c r="P55" s="17" t="str">
        <f>IF($A55="","",IFERROR(INDEX(Project_Tracker!$S$2:$S$101,MATCH($A55,Project_Tracker!$AL$2:$AL$101,0)),""))</f>
        <v/>
      </c>
      <c r="Q55" s="17" t="str">
        <f>IF($A55="","",IFERROR(INDEX(Project_Tracker!$T$2:$T$101,MATCH($A55,Project_Tracker!$AL$2:$AL$101,0)),""))</f>
        <v/>
      </c>
      <c r="R55" s="17" t="str">
        <f>IF($A55="","",IFERROR(INDEX(Project_Tracker!$AA$2:$AA$101,MATCH($A55,Project_Tracker!$AL$2:$AL$101,0)),""))</f>
        <v/>
      </c>
      <c r="S55" s="18" t="str">
        <f>IF($A55="","",IFERROR(INDEX(Project_Tracker!$AI$2:$AI$101,MATCH($A55,Project_Tracker!$AL$2:$AL$101,0)),""))</f>
        <v/>
      </c>
    </row>
    <row r="56" spans="1:19" x14ac:dyDescent="0.2">
      <c r="A56" s="9"/>
      <c r="B56" s="7"/>
      <c r="C56" s="9"/>
      <c r="D56" s="7"/>
      <c r="E56" s="16"/>
      <c r="F56" s="16"/>
      <c r="G56" s="7"/>
      <c r="H56" s="7"/>
      <c r="I56" s="7"/>
      <c r="J56" s="7"/>
      <c r="K56" s="7"/>
      <c r="L56" s="7"/>
      <c r="M56" s="7"/>
      <c r="N56" s="7"/>
      <c r="O56" s="17" t="str">
        <f>IF($A56="","",IFERROR(INDEX(Project_Tracker!$N$2:$N$101,MATCH($A56,Project_Tracker!$AL$2:$AL$101,0)),""))</f>
        <v/>
      </c>
      <c r="P56" s="17" t="str">
        <f>IF($A56="","",IFERROR(INDEX(Project_Tracker!$S$2:$S$101,MATCH($A56,Project_Tracker!$AL$2:$AL$101,0)),""))</f>
        <v/>
      </c>
      <c r="Q56" s="17" t="str">
        <f>IF($A56="","",IFERROR(INDEX(Project_Tracker!$T$2:$T$101,MATCH($A56,Project_Tracker!$AL$2:$AL$101,0)),""))</f>
        <v/>
      </c>
      <c r="R56" s="17" t="str">
        <f>IF($A56="","",IFERROR(INDEX(Project_Tracker!$AA$2:$AA$101,MATCH($A56,Project_Tracker!$AL$2:$AL$101,0)),""))</f>
        <v/>
      </c>
      <c r="S56" s="18" t="str">
        <f>IF($A56="","",IFERROR(INDEX(Project_Tracker!$AI$2:$AI$101,MATCH($A56,Project_Tracker!$AL$2:$AL$101,0)),""))</f>
        <v/>
      </c>
    </row>
    <row r="57" spans="1:19" x14ac:dyDescent="0.2">
      <c r="A57" s="9"/>
      <c r="B57" s="7"/>
      <c r="C57" s="9"/>
      <c r="D57" s="7"/>
      <c r="E57" s="16"/>
      <c r="F57" s="16"/>
      <c r="G57" s="7"/>
      <c r="H57" s="7"/>
      <c r="I57" s="7"/>
      <c r="J57" s="7"/>
      <c r="K57" s="7"/>
      <c r="L57" s="7"/>
      <c r="M57" s="7"/>
      <c r="N57" s="7"/>
      <c r="O57" s="17" t="str">
        <f>IF($A57="","",IFERROR(INDEX(Project_Tracker!$N$2:$N$101,MATCH($A57,Project_Tracker!$AL$2:$AL$101,0)),""))</f>
        <v/>
      </c>
      <c r="P57" s="17" t="str">
        <f>IF($A57="","",IFERROR(INDEX(Project_Tracker!$S$2:$S$101,MATCH($A57,Project_Tracker!$AL$2:$AL$101,0)),""))</f>
        <v/>
      </c>
      <c r="Q57" s="17" t="str">
        <f>IF($A57="","",IFERROR(INDEX(Project_Tracker!$T$2:$T$101,MATCH($A57,Project_Tracker!$AL$2:$AL$101,0)),""))</f>
        <v/>
      </c>
      <c r="R57" s="17" t="str">
        <f>IF($A57="","",IFERROR(INDEX(Project_Tracker!$AA$2:$AA$101,MATCH($A57,Project_Tracker!$AL$2:$AL$101,0)),""))</f>
        <v/>
      </c>
      <c r="S57" s="18" t="str">
        <f>IF($A57="","",IFERROR(INDEX(Project_Tracker!$AI$2:$AI$101,MATCH($A57,Project_Tracker!$AL$2:$AL$101,0)),""))</f>
        <v/>
      </c>
    </row>
    <row r="58" spans="1:19" x14ac:dyDescent="0.2">
      <c r="A58" s="9"/>
      <c r="B58" s="7"/>
      <c r="C58" s="9"/>
      <c r="D58" s="7"/>
      <c r="E58" s="16"/>
      <c r="F58" s="16"/>
      <c r="G58" s="7"/>
      <c r="H58" s="7"/>
      <c r="I58" s="7"/>
      <c r="J58" s="7"/>
      <c r="K58" s="7"/>
      <c r="L58" s="7"/>
      <c r="M58" s="7"/>
      <c r="N58" s="7"/>
      <c r="O58" s="17" t="str">
        <f>IF($A58="","",IFERROR(INDEX(Project_Tracker!$N$2:$N$101,MATCH($A58,Project_Tracker!$AL$2:$AL$101,0)),""))</f>
        <v/>
      </c>
      <c r="P58" s="17" t="str">
        <f>IF($A58="","",IFERROR(INDEX(Project_Tracker!$S$2:$S$101,MATCH($A58,Project_Tracker!$AL$2:$AL$101,0)),""))</f>
        <v/>
      </c>
      <c r="Q58" s="17" t="str">
        <f>IF($A58="","",IFERROR(INDEX(Project_Tracker!$T$2:$T$101,MATCH($A58,Project_Tracker!$AL$2:$AL$101,0)),""))</f>
        <v/>
      </c>
      <c r="R58" s="17" t="str">
        <f>IF($A58="","",IFERROR(INDEX(Project_Tracker!$AA$2:$AA$101,MATCH($A58,Project_Tracker!$AL$2:$AL$101,0)),""))</f>
        <v/>
      </c>
      <c r="S58" s="18" t="str">
        <f>IF($A58="","",IFERROR(INDEX(Project_Tracker!$AI$2:$AI$101,MATCH($A58,Project_Tracker!$AL$2:$AL$101,0)),""))</f>
        <v/>
      </c>
    </row>
    <row r="59" spans="1:19" x14ac:dyDescent="0.2">
      <c r="A59" s="9"/>
      <c r="B59" s="7"/>
      <c r="C59" s="9"/>
      <c r="D59" s="7"/>
      <c r="E59" s="16"/>
      <c r="F59" s="16"/>
      <c r="G59" s="7"/>
      <c r="H59" s="7"/>
      <c r="I59" s="7"/>
      <c r="J59" s="7"/>
      <c r="K59" s="7"/>
      <c r="L59" s="7"/>
      <c r="M59" s="7"/>
      <c r="N59" s="7"/>
      <c r="O59" s="17" t="str">
        <f>IF($A59="","",IFERROR(INDEX(Project_Tracker!$N$2:$N$101,MATCH($A59,Project_Tracker!$AL$2:$AL$101,0)),""))</f>
        <v/>
      </c>
      <c r="P59" s="17" t="str">
        <f>IF($A59="","",IFERROR(INDEX(Project_Tracker!$S$2:$S$101,MATCH($A59,Project_Tracker!$AL$2:$AL$101,0)),""))</f>
        <v/>
      </c>
      <c r="Q59" s="17" t="str">
        <f>IF($A59="","",IFERROR(INDEX(Project_Tracker!$T$2:$T$101,MATCH($A59,Project_Tracker!$AL$2:$AL$101,0)),""))</f>
        <v/>
      </c>
      <c r="R59" s="17" t="str">
        <f>IF($A59="","",IFERROR(INDEX(Project_Tracker!$AA$2:$AA$101,MATCH($A59,Project_Tracker!$AL$2:$AL$101,0)),""))</f>
        <v/>
      </c>
      <c r="S59" s="18" t="str">
        <f>IF($A59="","",IFERROR(INDEX(Project_Tracker!$AI$2:$AI$101,MATCH($A59,Project_Tracker!$AL$2:$AL$101,0)),""))</f>
        <v/>
      </c>
    </row>
    <row r="60" spans="1:19" x14ac:dyDescent="0.2">
      <c r="A60" s="9"/>
      <c r="B60" s="7"/>
      <c r="C60" s="9"/>
      <c r="D60" s="7"/>
      <c r="E60" s="16"/>
      <c r="F60" s="16"/>
      <c r="G60" s="7"/>
      <c r="H60" s="7"/>
      <c r="I60" s="7"/>
      <c r="J60" s="7"/>
      <c r="K60" s="7"/>
      <c r="L60" s="7"/>
      <c r="M60" s="7"/>
      <c r="N60" s="7"/>
      <c r="O60" s="17" t="str">
        <f>IF($A60="","",IFERROR(INDEX(Project_Tracker!$N$2:$N$101,MATCH($A60,Project_Tracker!$AL$2:$AL$101,0)),""))</f>
        <v/>
      </c>
      <c r="P60" s="17" t="str">
        <f>IF($A60="","",IFERROR(INDEX(Project_Tracker!$S$2:$S$101,MATCH($A60,Project_Tracker!$AL$2:$AL$101,0)),""))</f>
        <v/>
      </c>
      <c r="Q60" s="17" t="str">
        <f>IF($A60="","",IFERROR(INDEX(Project_Tracker!$T$2:$T$101,MATCH($A60,Project_Tracker!$AL$2:$AL$101,0)),""))</f>
        <v/>
      </c>
      <c r="R60" s="17" t="str">
        <f>IF($A60="","",IFERROR(INDEX(Project_Tracker!$AA$2:$AA$101,MATCH($A60,Project_Tracker!$AL$2:$AL$101,0)),""))</f>
        <v/>
      </c>
      <c r="S60" s="18" t="str">
        <f>IF($A60="","",IFERROR(INDEX(Project_Tracker!$AI$2:$AI$101,MATCH($A60,Project_Tracker!$AL$2:$AL$101,0)),""))</f>
        <v/>
      </c>
    </row>
    <row r="61" spans="1:19" x14ac:dyDescent="0.2">
      <c r="A61" s="9"/>
      <c r="B61" s="7"/>
      <c r="C61" s="9"/>
      <c r="D61" s="7"/>
      <c r="E61" s="16"/>
      <c r="F61" s="16"/>
      <c r="G61" s="7"/>
      <c r="H61" s="7"/>
      <c r="I61" s="7"/>
      <c r="J61" s="7"/>
      <c r="K61" s="7"/>
      <c r="L61" s="7"/>
      <c r="M61" s="7"/>
      <c r="N61" s="7"/>
      <c r="O61" s="17" t="str">
        <f>IF($A61="","",IFERROR(INDEX(Project_Tracker!$N$2:$N$101,MATCH($A61,Project_Tracker!$AL$2:$AL$101,0)),""))</f>
        <v/>
      </c>
      <c r="P61" s="17" t="str">
        <f>IF($A61="","",IFERROR(INDEX(Project_Tracker!$S$2:$S$101,MATCH($A61,Project_Tracker!$AL$2:$AL$101,0)),""))</f>
        <v/>
      </c>
      <c r="Q61" s="17" t="str">
        <f>IF($A61="","",IFERROR(INDEX(Project_Tracker!$T$2:$T$101,MATCH($A61,Project_Tracker!$AL$2:$AL$101,0)),""))</f>
        <v/>
      </c>
      <c r="R61" s="17" t="str">
        <f>IF($A61="","",IFERROR(INDEX(Project_Tracker!$AA$2:$AA$101,MATCH($A61,Project_Tracker!$AL$2:$AL$101,0)),""))</f>
        <v/>
      </c>
      <c r="S61" s="18" t="str">
        <f>IF($A61="","",IFERROR(INDEX(Project_Tracker!$AI$2:$AI$101,MATCH($A61,Project_Tracker!$AL$2:$AL$101,0)),""))</f>
        <v/>
      </c>
    </row>
    <row r="62" spans="1:19" x14ac:dyDescent="0.2">
      <c r="A62" s="9"/>
      <c r="B62" s="7"/>
      <c r="C62" s="9"/>
      <c r="D62" s="7"/>
      <c r="E62" s="16"/>
      <c r="F62" s="16"/>
      <c r="G62" s="7"/>
      <c r="H62" s="7"/>
      <c r="I62" s="7"/>
      <c r="J62" s="7"/>
      <c r="K62" s="7"/>
      <c r="L62" s="7"/>
      <c r="M62" s="7"/>
      <c r="N62" s="7"/>
      <c r="O62" s="17" t="str">
        <f>IF($A62="","",IFERROR(INDEX(Project_Tracker!$N$2:$N$101,MATCH($A62,Project_Tracker!$AL$2:$AL$101,0)),""))</f>
        <v/>
      </c>
      <c r="P62" s="17" t="str">
        <f>IF($A62="","",IFERROR(INDEX(Project_Tracker!$S$2:$S$101,MATCH($A62,Project_Tracker!$AL$2:$AL$101,0)),""))</f>
        <v/>
      </c>
      <c r="Q62" s="17" t="str">
        <f>IF($A62="","",IFERROR(INDEX(Project_Tracker!$T$2:$T$101,MATCH($A62,Project_Tracker!$AL$2:$AL$101,0)),""))</f>
        <v/>
      </c>
      <c r="R62" s="17" t="str">
        <f>IF($A62="","",IFERROR(INDEX(Project_Tracker!$AA$2:$AA$101,MATCH($A62,Project_Tracker!$AL$2:$AL$101,0)),""))</f>
        <v/>
      </c>
      <c r="S62" s="18" t="str">
        <f>IF($A62="","",IFERROR(INDEX(Project_Tracker!$AI$2:$AI$101,MATCH($A62,Project_Tracker!$AL$2:$AL$101,0)),""))</f>
        <v/>
      </c>
    </row>
    <row r="63" spans="1:19" x14ac:dyDescent="0.2">
      <c r="A63" s="9"/>
      <c r="B63" s="7"/>
      <c r="C63" s="9"/>
      <c r="D63" s="7"/>
      <c r="E63" s="16"/>
      <c r="F63" s="16"/>
      <c r="G63" s="7"/>
      <c r="H63" s="7"/>
      <c r="I63" s="7"/>
      <c r="J63" s="7"/>
      <c r="K63" s="7"/>
      <c r="L63" s="7"/>
      <c r="M63" s="7"/>
      <c r="N63" s="7"/>
      <c r="O63" s="17" t="str">
        <f>IF($A63="","",IFERROR(INDEX(Project_Tracker!$N$2:$N$101,MATCH($A63,Project_Tracker!$AL$2:$AL$101,0)),""))</f>
        <v/>
      </c>
      <c r="P63" s="17" t="str">
        <f>IF($A63="","",IFERROR(INDEX(Project_Tracker!$S$2:$S$101,MATCH($A63,Project_Tracker!$AL$2:$AL$101,0)),""))</f>
        <v/>
      </c>
      <c r="Q63" s="17" t="str">
        <f>IF($A63="","",IFERROR(INDEX(Project_Tracker!$T$2:$T$101,MATCH($A63,Project_Tracker!$AL$2:$AL$101,0)),""))</f>
        <v/>
      </c>
      <c r="R63" s="17" t="str">
        <f>IF($A63="","",IFERROR(INDEX(Project_Tracker!$AA$2:$AA$101,MATCH($A63,Project_Tracker!$AL$2:$AL$101,0)),""))</f>
        <v/>
      </c>
      <c r="S63" s="18" t="str">
        <f>IF($A63="","",IFERROR(INDEX(Project_Tracker!$AI$2:$AI$101,MATCH($A63,Project_Tracker!$AL$2:$AL$101,0)),""))</f>
        <v/>
      </c>
    </row>
    <row r="64" spans="1:19" x14ac:dyDescent="0.2">
      <c r="A64" s="9"/>
      <c r="B64" s="7"/>
      <c r="C64" s="9"/>
      <c r="D64" s="7"/>
      <c r="E64" s="16"/>
      <c r="F64" s="16"/>
      <c r="G64" s="7"/>
      <c r="H64" s="7"/>
      <c r="I64" s="7"/>
      <c r="J64" s="7"/>
      <c r="K64" s="7"/>
      <c r="L64" s="7"/>
      <c r="M64" s="7"/>
      <c r="N64" s="7"/>
      <c r="O64" s="17" t="str">
        <f>IF($A64="","",IFERROR(INDEX(Project_Tracker!$N$2:$N$101,MATCH($A64,Project_Tracker!$AL$2:$AL$101,0)),""))</f>
        <v/>
      </c>
      <c r="P64" s="17" t="str">
        <f>IF($A64="","",IFERROR(INDEX(Project_Tracker!$S$2:$S$101,MATCH($A64,Project_Tracker!$AL$2:$AL$101,0)),""))</f>
        <v/>
      </c>
      <c r="Q64" s="17" t="str">
        <f>IF($A64="","",IFERROR(INDEX(Project_Tracker!$T$2:$T$101,MATCH($A64,Project_Tracker!$AL$2:$AL$101,0)),""))</f>
        <v/>
      </c>
      <c r="R64" s="17" t="str">
        <f>IF($A64="","",IFERROR(INDEX(Project_Tracker!$AA$2:$AA$101,MATCH($A64,Project_Tracker!$AL$2:$AL$101,0)),""))</f>
        <v/>
      </c>
      <c r="S64" s="18" t="str">
        <f>IF($A64="","",IFERROR(INDEX(Project_Tracker!$AI$2:$AI$101,MATCH($A64,Project_Tracker!$AL$2:$AL$101,0)),""))</f>
        <v/>
      </c>
    </row>
    <row r="65" spans="1:19" x14ac:dyDescent="0.2">
      <c r="A65" s="9"/>
      <c r="B65" s="7"/>
      <c r="C65" s="9"/>
      <c r="D65" s="7"/>
      <c r="E65" s="16"/>
      <c r="F65" s="16"/>
      <c r="G65" s="7"/>
      <c r="H65" s="7"/>
      <c r="I65" s="7"/>
      <c r="J65" s="7"/>
      <c r="K65" s="7"/>
      <c r="L65" s="7"/>
      <c r="M65" s="7"/>
      <c r="N65" s="7"/>
      <c r="O65" s="17" t="str">
        <f>IF($A65="","",IFERROR(INDEX(Project_Tracker!$N$2:$N$101,MATCH($A65,Project_Tracker!$AL$2:$AL$101,0)),""))</f>
        <v/>
      </c>
      <c r="P65" s="17" t="str">
        <f>IF($A65="","",IFERROR(INDEX(Project_Tracker!$S$2:$S$101,MATCH($A65,Project_Tracker!$AL$2:$AL$101,0)),""))</f>
        <v/>
      </c>
      <c r="Q65" s="17" t="str">
        <f>IF($A65="","",IFERROR(INDEX(Project_Tracker!$T$2:$T$101,MATCH($A65,Project_Tracker!$AL$2:$AL$101,0)),""))</f>
        <v/>
      </c>
      <c r="R65" s="17" t="str">
        <f>IF($A65="","",IFERROR(INDEX(Project_Tracker!$AA$2:$AA$101,MATCH($A65,Project_Tracker!$AL$2:$AL$101,0)),""))</f>
        <v/>
      </c>
      <c r="S65" s="18" t="str">
        <f>IF($A65="","",IFERROR(INDEX(Project_Tracker!$AI$2:$AI$101,MATCH($A65,Project_Tracker!$AL$2:$AL$101,0)),""))</f>
        <v/>
      </c>
    </row>
    <row r="66" spans="1:19" x14ac:dyDescent="0.2">
      <c r="A66" s="9"/>
      <c r="B66" s="7"/>
      <c r="C66" s="9"/>
      <c r="D66" s="7"/>
      <c r="E66" s="16"/>
      <c r="F66" s="16"/>
      <c r="G66" s="7"/>
      <c r="H66" s="7"/>
      <c r="I66" s="7"/>
      <c r="J66" s="7"/>
      <c r="K66" s="7"/>
      <c r="L66" s="7"/>
      <c r="M66" s="7"/>
      <c r="N66" s="7"/>
      <c r="O66" s="17" t="str">
        <f>IF($A66="","",IFERROR(INDEX(Project_Tracker!$N$2:$N$101,MATCH($A66,Project_Tracker!$AL$2:$AL$101,0)),""))</f>
        <v/>
      </c>
      <c r="P66" s="17" t="str">
        <f>IF($A66="","",IFERROR(INDEX(Project_Tracker!$S$2:$S$101,MATCH($A66,Project_Tracker!$AL$2:$AL$101,0)),""))</f>
        <v/>
      </c>
      <c r="Q66" s="17" t="str">
        <f>IF($A66="","",IFERROR(INDEX(Project_Tracker!$T$2:$T$101,MATCH($A66,Project_Tracker!$AL$2:$AL$101,0)),""))</f>
        <v/>
      </c>
      <c r="R66" s="17" t="str">
        <f>IF($A66="","",IFERROR(INDEX(Project_Tracker!$AA$2:$AA$101,MATCH($A66,Project_Tracker!$AL$2:$AL$101,0)),""))</f>
        <v/>
      </c>
      <c r="S66" s="18" t="str">
        <f>IF($A66="","",IFERROR(INDEX(Project_Tracker!$AI$2:$AI$101,MATCH($A66,Project_Tracker!$AL$2:$AL$101,0)),""))</f>
        <v/>
      </c>
    </row>
    <row r="67" spans="1:19" x14ac:dyDescent="0.2">
      <c r="A67" s="9"/>
      <c r="B67" s="7"/>
      <c r="C67" s="9"/>
      <c r="D67" s="7"/>
      <c r="E67" s="16"/>
      <c r="F67" s="16"/>
      <c r="G67" s="7"/>
      <c r="H67" s="7"/>
      <c r="I67" s="7"/>
      <c r="J67" s="7"/>
      <c r="K67" s="7"/>
      <c r="L67" s="7"/>
      <c r="M67" s="7"/>
      <c r="N67" s="7"/>
      <c r="O67" s="17" t="str">
        <f>IF($A67="","",IFERROR(INDEX(Project_Tracker!$N$2:$N$101,MATCH($A67,Project_Tracker!$AL$2:$AL$101,0)),""))</f>
        <v/>
      </c>
      <c r="P67" s="17" t="str">
        <f>IF($A67="","",IFERROR(INDEX(Project_Tracker!$S$2:$S$101,MATCH($A67,Project_Tracker!$AL$2:$AL$101,0)),""))</f>
        <v/>
      </c>
      <c r="Q67" s="17" t="str">
        <f>IF($A67="","",IFERROR(INDEX(Project_Tracker!$T$2:$T$101,MATCH($A67,Project_Tracker!$AL$2:$AL$101,0)),""))</f>
        <v/>
      </c>
      <c r="R67" s="17" t="str">
        <f>IF($A67="","",IFERROR(INDEX(Project_Tracker!$AA$2:$AA$101,MATCH($A67,Project_Tracker!$AL$2:$AL$101,0)),""))</f>
        <v/>
      </c>
      <c r="S67" s="18" t="str">
        <f>IF($A67="","",IFERROR(INDEX(Project_Tracker!$AI$2:$AI$101,MATCH($A67,Project_Tracker!$AL$2:$AL$101,0)),""))</f>
        <v/>
      </c>
    </row>
    <row r="68" spans="1:19" x14ac:dyDescent="0.2">
      <c r="A68" s="9"/>
      <c r="B68" s="7"/>
      <c r="C68" s="9"/>
      <c r="D68" s="7"/>
      <c r="E68" s="16"/>
      <c r="F68" s="16"/>
      <c r="G68" s="7"/>
      <c r="H68" s="7"/>
      <c r="I68" s="7"/>
      <c r="J68" s="7"/>
      <c r="K68" s="7"/>
      <c r="L68" s="7"/>
      <c r="M68" s="7"/>
      <c r="N68" s="7"/>
      <c r="O68" s="17" t="str">
        <f>IF($A68="","",IFERROR(INDEX(Project_Tracker!$N$2:$N$101,MATCH($A68,Project_Tracker!$AL$2:$AL$101,0)),""))</f>
        <v/>
      </c>
      <c r="P68" s="17" t="str">
        <f>IF($A68="","",IFERROR(INDEX(Project_Tracker!$S$2:$S$101,MATCH($A68,Project_Tracker!$AL$2:$AL$101,0)),""))</f>
        <v/>
      </c>
      <c r="Q68" s="17" t="str">
        <f>IF($A68="","",IFERROR(INDEX(Project_Tracker!$T$2:$T$101,MATCH($A68,Project_Tracker!$AL$2:$AL$101,0)),""))</f>
        <v/>
      </c>
      <c r="R68" s="17" t="str">
        <f>IF($A68="","",IFERROR(INDEX(Project_Tracker!$AA$2:$AA$101,MATCH($A68,Project_Tracker!$AL$2:$AL$101,0)),""))</f>
        <v/>
      </c>
      <c r="S68" s="18" t="str">
        <f>IF($A68="","",IFERROR(INDEX(Project_Tracker!$AI$2:$AI$101,MATCH($A68,Project_Tracker!$AL$2:$AL$101,0)),""))</f>
        <v/>
      </c>
    </row>
    <row r="69" spans="1:19" x14ac:dyDescent="0.2">
      <c r="A69" s="9"/>
      <c r="B69" s="7"/>
      <c r="C69" s="9"/>
      <c r="D69" s="7"/>
      <c r="E69" s="16"/>
      <c r="F69" s="16"/>
      <c r="G69" s="7"/>
      <c r="H69" s="7"/>
      <c r="I69" s="7"/>
      <c r="J69" s="7"/>
      <c r="K69" s="7"/>
      <c r="L69" s="7"/>
      <c r="M69" s="7"/>
      <c r="N69" s="7"/>
      <c r="O69" s="17" t="str">
        <f>IF($A69="","",IFERROR(INDEX(Project_Tracker!$N$2:$N$101,MATCH($A69,Project_Tracker!$AL$2:$AL$101,0)),""))</f>
        <v/>
      </c>
      <c r="P69" s="17" t="str">
        <f>IF($A69="","",IFERROR(INDEX(Project_Tracker!$S$2:$S$101,MATCH($A69,Project_Tracker!$AL$2:$AL$101,0)),""))</f>
        <v/>
      </c>
      <c r="Q69" s="17" t="str">
        <f>IF($A69="","",IFERROR(INDEX(Project_Tracker!$T$2:$T$101,MATCH($A69,Project_Tracker!$AL$2:$AL$101,0)),""))</f>
        <v/>
      </c>
      <c r="R69" s="17" t="str">
        <f>IF($A69="","",IFERROR(INDEX(Project_Tracker!$AA$2:$AA$101,MATCH($A69,Project_Tracker!$AL$2:$AL$101,0)),""))</f>
        <v/>
      </c>
      <c r="S69" s="18" t="str">
        <f>IF($A69="","",IFERROR(INDEX(Project_Tracker!$AI$2:$AI$101,MATCH($A69,Project_Tracker!$AL$2:$AL$101,0)),""))</f>
        <v/>
      </c>
    </row>
    <row r="70" spans="1:19" x14ac:dyDescent="0.2">
      <c r="A70" s="9"/>
      <c r="B70" s="7"/>
      <c r="C70" s="9"/>
      <c r="D70" s="7"/>
      <c r="E70" s="16"/>
      <c r="F70" s="16"/>
      <c r="G70" s="7"/>
      <c r="H70" s="7"/>
      <c r="I70" s="7"/>
      <c r="J70" s="7"/>
      <c r="K70" s="7"/>
      <c r="L70" s="7"/>
      <c r="M70" s="7"/>
      <c r="N70" s="7"/>
      <c r="O70" s="17" t="str">
        <f>IF($A70="","",IFERROR(INDEX(Project_Tracker!$N$2:$N$101,MATCH($A70,Project_Tracker!$AL$2:$AL$101,0)),""))</f>
        <v/>
      </c>
      <c r="P70" s="17" t="str">
        <f>IF($A70="","",IFERROR(INDEX(Project_Tracker!$S$2:$S$101,MATCH($A70,Project_Tracker!$AL$2:$AL$101,0)),""))</f>
        <v/>
      </c>
      <c r="Q70" s="17" t="str">
        <f>IF($A70="","",IFERROR(INDEX(Project_Tracker!$T$2:$T$101,MATCH($A70,Project_Tracker!$AL$2:$AL$101,0)),""))</f>
        <v/>
      </c>
      <c r="R70" s="17" t="str">
        <f>IF($A70="","",IFERROR(INDEX(Project_Tracker!$AA$2:$AA$101,MATCH($A70,Project_Tracker!$AL$2:$AL$101,0)),""))</f>
        <v/>
      </c>
      <c r="S70" s="18" t="str">
        <f>IF($A70="","",IFERROR(INDEX(Project_Tracker!$AI$2:$AI$101,MATCH($A70,Project_Tracker!$AL$2:$AL$101,0)),""))</f>
        <v/>
      </c>
    </row>
    <row r="71" spans="1:19" x14ac:dyDescent="0.2">
      <c r="A71" s="9"/>
      <c r="B71" s="7"/>
      <c r="C71" s="9"/>
      <c r="D71" s="7"/>
      <c r="E71" s="16"/>
      <c r="F71" s="16"/>
      <c r="G71" s="7"/>
      <c r="H71" s="7"/>
      <c r="I71" s="7"/>
      <c r="J71" s="7"/>
      <c r="K71" s="7"/>
      <c r="L71" s="7"/>
      <c r="M71" s="7"/>
      <c r="N71" s="7"/>
      <c r="O71" s="17" t="str">
        <f>IF($A71="","",IFERROR(INDEX(Project_Tracker!$N$2:$N$101,MATCH($A71,Project_Tracker!$AL$2:$AL$101,0)),""))</f>
        <v/>
      </c>
      <c r="P71" s="17" t="str">
        <f>IF($A71="","",IFERROR(INDEX(Project_Tracker!$S$2:$S$101,MATCH($A71,Project_Tracker!$AL$2:$AL$101,0)),""))</f>
        <v/>
      </c>
      <c r="Q71" s="17" t="str">
        <f>IF($A71="","",IFERROR(INDEX(Project_Tracker!$T$2:$T$101,MATCH($A71,Project_Tracker!$AL$2:$AL$101,0)),""))</f>
        <v/>
      </c>
      <c r="R71" s="17" t="str">
        <f>IF($A71="","",IFERROR(INDEX(Project_Tracker!$AA$2:$AA$101,MATCH($A71,Project_Tracker!$AL$2:$AL$101,0)),""))</f>
        <v/>
      </c>
      <c r="S71" s="18" t="str">
        <f>IF($A71="","",IFERROR(INDEX(Project_Tracker!$AI$2:$AI$101,MATCH($A71,Project_Tracker!$AL$2:$AL$101,0)),""))</f>
        <v/>
      </c>
    </row>
    <row r="72" spans="1:19" x14ac:dyDescent="0.2">
      <c r="A72" s="9"/>
      <c r="B72" s="7"/>
      <c r="C72" s="9"/>
      <c r="D72" s="7"/>
      <c r="E72" s="16"/>
      <c r="F72" s="16"/>
      <c r="G72" s="7"/>
      <c r="H72" s="7"/>
      <c r="I72" s="7"/>
      <c r="J72" s="7"/>
      <c r="K72" s="7"/>
      <c r="L72" s="7"/>
      <c r="M72" s="7"/>
      <c r="N72" s="7"/>
      <c r="O72" s="17" t="str">
        <f>IF($A72="","",IFERROR(INDEX(Project_Tracker!$N$2:$N$101,MATCH($A72,Project_Tracker!$AL$2:$AL$101,0)),""))</f>
        <v/>
      </c>
      <c r="P72" s="17" t="str">
        <f>IF($A72="","",IFERROR(INDEX(Project_Tracker!$S$2:$S$101,MATCH($A72,Project_Tracker!$AL$2:$AL$101,0)),""))</f>
        <v/>
      </c>
      <c r="Q72" s="17" t="str">
        <f>IF($A72="","",IFERROR(INDEX(Project_Tracker!$T$2:$T$101,MATCH($A72,Project_Tracker!$AL$2:$AL$101,0)),""))</f>
        <v/>
      </c>
      <c r="R72" s="17" t="str">
        <f>IF($A72="","",IFERROR(INDEX(Project_Tracker!$AA$2:$AA$101,MATCH($A72,Project_Tracker!$AL$2:$AL$101,0)),""))</f>
        <v/>
      </c>
      <c r="S72" s="18" t="str">
        <f>IF($A72="","",IFERROR(INDEX(Project_Tracker!$AI$2:$AI$101,MATCH($A72,Project_Tracker!$AL$2:$AL$101,0)),""))</f>
        <v/>
      </c>
    </row>
    <row r="73" spans="1:19" x14ac:dyDescent="0.2">
      <c r="A73" s="9"/>
      <c r="B73" s="7"/>
      <c r="C73" s="9"/>
      <c r="D73" s="7"/>
      <c r="E73" s="16"/>
      <c r="F73" s="16"/>
      <c r="G73" s="7"/>
      <c r="H73" s="7"/>
      <c r="I73" s="7"/>
      <c r="J73" s="7"/>
      <c r="K73" s="7"/>
      <c r="L73" s="7"/>
      <c r="M73" s="7"/>
      <c r="N73" s="7"/>
      <c r="O73" s="17" t="str">
        <f>IF($A73="","",IFERROR(INDEX(Project_Tracker!$N$2:$N$101,MATCH($A73,Project_Tracker!$AL$2:$AL$101,0)),""))</f>
        <v/>
      </c>
      <c r="P73" s="17" t="str">
        <f>IF($A73="","",IFERROR(INDEX(Project_Tracker!$S$2:$S$101,MATCH($A73,Project_Tracker!$AL$2:$AL$101,0)),""))</f>
        <v/>
      </c>
      <c r="Q73" s="17" t="str">
        <f>IF($A73="","",IFERROR(INDEX(Project_Tracker!$T$2:$T$101,MATCH($A73,Project_Tracker!$AL$2:$AL$101,0)),""))</f>
        <v/>
      </c>
      <c r="R73" s="17" t="str">
        <f>IF($A73="","",IFERROR(INDEX(Project_Tracker!$AA$2:$AA$101,MATCH($A73,Project_Tracker!$AL$2:$AL$101,0)),""))</f>
        <v/>
      </c>
      <c r="S73" s="18" t="str">
        <f>IF($A73="","",IFERROR(INDEX(Project_Tracker!$AI$2:$AI$101,MATCH($A73,Project_Tracker!$AL$2:$AL$101,0)),""))</f>
        <v/>
      </c>
    </row>
    <row r="74" spans="1:19" x14ac:dyDescent="0.2">
      <c r="A74" s="9"/>
      <c r="B74" s="7"/>
      <c r="C74" s="9"/>
      <c r="D74" s="7"/>
      <c r="E74" s="16"/>
      <c r="F74" s="16"/>
      <c r="G74" s="7"/>
      <c r="H74" s="7"/>
      <c r="I74" s="7"/>
      <c r="J74" s="7"/>
      <c r="K74" s="7"/>
      <c r="L74" s="7"/>
      <c r="M74" s="7"/>
      <c r="N74" s="7"/>
      <c r="O74" s="17" t="str">
        <f>IF($A74="","",IFERROR(INDEX(Project_Tracker!$N$2:$N$101,MATCH($A74,Project_Tracker!$AL$2:$AL$101,0)),""))</f>
        <v/>
      </c>
      <c r="P74" s="17" t="str">
        <f>IF($A74="","",IFERROR(INDEX(Project_Tracker!$S$2:$S$101,MATCH($A74,Project_Tracker!$AL$2:$AL$101,0)),""))</f>
        <v/>
      </c>
      <c r="Q74" s="17" t="str">
        <f>IF($A74="","",IFERROR(INDEX(Project_Tracker!$T$2:$T$101,MATCH($A74,Project_Tracker!$AL$2:$AL$101,0)),""))</f>
        <v/>
      </c>
      <c r="R74" s="17" t="str">
        <f>IF($A74="","",IFERROR(INDEX(Project_Tracker!$AA$2:$AA$101,MATCH($A74,Project_Tracker!$AL$2:$AL$101,0)),""))</f>
        <v/>
      </c>
      <c r="S74" s="18" t="str">
        <f>IF($A74="","",IFERROR(INDEX(Project_Tracker!$AI$2:$AI$101,MATCH($A74,Project_Tracker!$AL$2:$AL$101,0)),""))</f>
        <v/>
      </c>
    </row>
    <row r="75" spans="1:19" x14ac:dyDescent="0.2">
      <c r="A75" s="9"/>
      <c r="B75" s="7"/>
      <c r="C75" s="9"/>
      <c r="D75" s="7"/>
      <c r="E75" s="16"/>
      <c r="F75" s="16"/>
      <c r="G75" s="7"/>
      <c r="H75" s="7"/>
      <c r="I75" s="7"/>
      <c r="J75" s="7"/>
      <c r="K75" s="7"/>
      <c r="L75" s="7"/>
      <c r="M75" s="7"/>
      <c r="N75" s="7"/>
      <c r="O75" s="17" t="str">
        <f>IF($A75="","",IFERROR(INDEX(Project_Tracker!$N$2:$N$101,MATCH($A75,Project_Tracker!$AL$2:$AL$101,0)),""))</f>
        <v/>
      </c>
      <c r="P75" s="17" t="str">
        <f>IF($A75="","",IFERROR(INDEX(Project_Tracker!$S$2:$S$101,MATCH($A75,Project_Tracker!$AL$2:$AL$101,0)),""))</f>
        <v/>
      </c>
      <c r="Q75" s="17" t="str">
        <f>IF($A75="","",IFERROR(INDEX(Project_Tracker!$T$2:$T$101,MATCH($A75,Project_Tracker!$AL$2:$AL$101,0)),""))</f>
        <v/>
      </c>
      <c r="R75" s="17" t="str">
        <f>IF($A75="","",IFERROR(INDEX(Project_Tracker!$AA$2:$AA$101,MATCH($A75,Project_Tracker!$AL$2:$AL$101,0)),""))</f>
        <v/>
      </c>
      <c r="S75" s="18" t="str">
        <f>IF($A75="","",IFERROR(INDEX(Project_Tracker!$AI$2:$AI$101,MATCH($A75,Project_Tracker!$AL$2:$AL$101,0)),""))</f>
        <v/>
      </c>
    </row>
    <row r="76" spans="1:19" x14ac:dyDescent="0.2">
      <c r="A76" s="9"/>
      <c r="B76" s="7"/>
      <c r="C76" s="9"/>
      <c r="D76" s="7"/>
      <c r="E76" s="16"/>
      <c r="F76" s="16"/>
      <c r="G76" s="7"/>
      <c r="H76" s="7"/>
      <c r="I76" s="7"/>
      <c r="J76" s="7"/>
      <c r="K76" s="7"/>
      <c r="L76" s="7"/>
      <c r="M76" s="7"/>
      <c r="N76" s="7"/>
      <c r="O76" s="17" t="str">
        <f>IF($A76="","",IFERROR(INDEX(Project_Tracker!$N$2:$N$101,MATCH($A76,Project_Tracker!$AL$2:$AL$101,0)),""))</f>
        <v/>
      </c>
      <c r="P76" s="17" t="str">
        <f>IF($A76="","",IFERROR(INDEX(Project_Tracker!$S$2:$S$101,MATCH($A76,Project_Tracker!$AL$2:$AL$101,0)),""))</f>
        <v/>
      </c>
      <c r="Q76" s="17" t="str">
        <f>IF($A76="","",IFERROR(INDEX(Project_Tracker!$T$2:$T$101,MATCH($A76,Project_Tracker!$AL$2:$AL$101,0)),""))</f>
        <v/>
      </c>
      <c r="R76" s="17" t="str">
        <f>IF($A76="","",IFERROR(INDEX(Project_Tracker!$AA$2:$AA$101,MATCH($A76,Project_Tracker!$AL$2:$AL$101,0)),""))</f>
        <v/>
      </c>
      <c r="S76" s="18" t="str">
        <f>IF($A76="","",IFERROR(INDEX(Project_Tracker!$AI$2:$AI$101,MATCH($A76,Project_Tracker!$AL$2:$AL$101,0)),""))</f>
        <v/>
      </c>
    </row>
    <row r="77" spans="1:19" x14ac:dyDescent="0.2">
      <c r="A77" s="9"/>
      <c r="B77" s="7"/>
      <c r="C77" s="9"/>
      <c r="D77" s="7"/>
      <c r="E77" s="16"/>
      <c r="F77" s="16"/>
      <c r="G77" s="7"/>
      <c r="H77" s="7"/>
      <c r="I77" s="7"/>
      <c r="J77" s="7"/>
      <c r="K77" s="7"/>
      <c r="L77" s="7"/>
      <c r="M77" s="7"/>
      <c r="N77" s="7"/>
      <c r="O77" s="17" t="str">
        <f>IF($A77="","",IFERROR(INDEX(Project_Tracker!$N$2:$N$101,MATCH($A77,Project_Tracker!$AL$2:$AL$101,0)),""))</f>
        <v/>
      </c>
      <c r="P77" s="17" t="str">
        <f>IF($A77="","",IFERROR(INDEX(Project_Tracker!$S$2:$S$101,MATCH($A77,Project_Tracker!$AL$2:$AL$101,0)),""))</f>
        <v/>
      </c>
      <c r="Q77" s="17" t="str">
        <f>IF($A77="","",IFERROR(INDEX(Project_Tracker!$T$2:$T$101,MATCH($A77,Project_Tracker!$AL$2:$AL$101,0)),""))</f>
        <v/>
      </c>
      <c r="R77" s="17" t="str">
        <f>IF($A77="","",IFERROR(INDEX(Project_Tracker!$AA$2:$AA$101,MATCH($A77,Project_Tracker!$AL$2:$AL$101,0)),""))</f>
        <v/>
      </c>
      <c r="S77" s="18" t="str">
        <f>IF($A77="","",IFERROR(INDEX(Project_Tracker!$AI$2:$AI$101,MATCH($A77,Project_Tracker!$AL$2:$AL$101,0)),""))</f>
        <v/>
      </c>
    </row>
    <row r="78" spans="1:19" x14ac:dyDescent="0.2">
      <c r="A78" s="9"/>
      <c r="B78" s="7"/>
      <c r="C78" s="9"/>
      <c r="D78" s="7"/>
      <c r="E78" s="16"/>
      <c r="F78" s="16"/>
      <c r="G78" s="7"/>
      <c r="H78" s="7"/>
      <c r="I78" s="7"/>
      <c r="J78" s="7"/>
      <c r="K78" s="7"/>
      <c r="L78" s="7"/>
      <c r="M78" s="7"/>
      <c r="N78" s="7"/>
      <c r="O78" s="17" t="str">
        <f>IF($A78="","",IFERROR(INDEX(Project_Tracker!$N$2:$N$101,MATCH($A78,Project_Tracker!$AL$2:$AL$101,0)),""))</f>
        <v/>
      </c>
      <c r="P78" s="17" t="str">
        <f>IF($A78="","",IFERROR(INDEX(Project_Tracker!$S$2:$S$101,MATCH($A78,Project_Tracker!$AL$2:$AL$101,0)),""))</f>
        <v/>
      </c>
      <c r="Q78" s="17" t="str">
        <f>IF($A78="","",IFERROR(INDEX(Project_Tracker!$T$2:$T$101,MATCH($A78,Project_Tracker!$AL$2:$AL$101,0)),""))</f>
        <v/>
      </c>
      <c r="R78" s="17" t="str">
        <f>IF($A78="","",IFERROR(INDEX(Project_Tracker!$AA$2:$AA$101,MATCH($A78,Project_Tracker!$AL$2:$AL$101,0)),""))</f>
        <v/>
      </c>
      <c r="S78" s="18" t="str">
        <f>IF($A78="","",IFERROR(INDEX(Project_Tracker!$AI$2:$AI$101,MATCH($A78,Project_Tracker!$AL$2:$AL$101,0)),""))</f>
        <v/>
      </c>
    </row>
    <row r="79" spans="1:19" x14ac:dyDescent="0.2">
      <c r="A79" s="9"/>
      <c r="B79" s="7"/>
      <c r="C79" s="9"/>
      <c r="D79" s="7"/>
      <c r="E79" s="16"/>
      <c r="F79" s="16"/>
      <c r="G79" s="7"/>
      <c r="H79" s="7"/>
      <c r="I79" s="7"/>
      <c r="J79" s="7"/>
      <c r="K79" s="7"/>
      <c r="L79" s="7"/>
      <c r="M79" s="7"/>
      <c r="N79" s="7"/>
      <c r="O79" s="17" t="str">
        <f>IF($A79="","",IFERROR(INDEX(Project_Tracker!$N$2:$N$101,MATCH($A79,Project_Tracker!$AL$2:$AL$101,0)),""))</f>
        <v/>
      </c>
      <c r="P79" s="17" t="str">
        <f>IF($A79="","",IFERROR(INDEX(Project_Tracker!$S$2:$S$101,MATCH($A79,Project_Tracker!$AL$2:$AL$101,0)),""))</f>
        <v/>
      </c>
      <c r="Q79" s="17" t="str">
        <f>IF($A79="","",IFERROR(INDEX(Project_Tracker!$T$2:$T$101,MATCH($A79,Project_Tracker!$AL$2:$AL$101,0)),""))</f>
        <v/>
      </c>
      <c r="R79" s="17" t="str">
        <f>IF($A79="","",IFERROR(INDEX(Project_Tracker!$AA$2:$AA$101,MATCH($A79,Project_Tracker!$AL$2:$AL$101,0)),""))</f>
        <v/>
      </c>
      <c r="S79" s="18" t="str">
        <f>IF($A79="","",IFERROR(INDEX(Project_Tracker!$AI$2:$AI$101,MATCH($A79,Project_Tracker!$AL$2:$AL$101,0)),""))</f>
        <v/>
      </c>
    </row>
    <row r="80" spans="1:19" x14ac:dyDescent="0.2">
      <c r="A80" s="9"/>
      <c r="B80" s="7"/>
      <c r="C80" s="9"/>
      <c r="D80" s="7"/>
      <c r="E80" s="16"/>
      <c r="F80" s="16"/>
      <c r="G80" s="7"/>
      <c r="H80" s="7"/>
      <c r="I80" s="7"/>
      <c r="J80" s="7"/>
      <c r="K80" s="7"/>
      <c r="L80" s="7"/>
      <c r="M80" s="7"/>
      <c r="N80" s="7"/>
      <c r="O80" s="17" t="str">
        <f>IF($A80="","",IFERROR(INDEX(Project_Tracker!$N$2:$N$101,MATCH($A80,Project_Tracker!$AL$2:$AL$101,0)),""))</f>
        <v/>
      </c>
      <c r="P80" s="17" t="str">
        <f>IF($A80="","",IFERROR(INDEX(Project_Tracker!$S$2:$S$101,MATCH($A80,Project_Tracker!$AL$2:$AL$101,0)),""))</f>
        <v/>
      </c>
      <c r="Q80" s="17" t="str">
        <f>IF($A80="","",IFERROR(INDEX(Project_Tracker!$T$2:$T$101,MATCH($A80,Project_Tracker!$AL$2:$AL$101,0)),""))</f>
        <v/>
      </c>
      <c r="R80" s="17" t="str">
        <f>IF($A80="","",IFERROR(INDEX(Project_Tracker!$AA$2:$AA$101,MATCH($A80,Project_Tracker!$AL$2:$AL$101,0)),""))</f>
        <v/>
      </c>
      <c r="S80" s="18" t="str">
        <f>IF($A80="","",IFERROR(INDEX(Project_Tracker!$AI$2:$AI$101,MATCH($A80,Project_Tracker!$AL$2:$AL$101,0)),""))</f>
        <v/>
      </c>
    </row>
    <row r="81" spans="1:19" x14ac:dyDescent="0.2">
      <c r="A81" s="9"/>
      <c r="B81" s="7"/>
      <c r="C81" s="9"/>
      <c r="D81" s="7"/>
      <c r="E81" s="16"/>
      <c r="F81" s="16"/>
      <c r="G81" s="7"/>
      <c r="H81" s="7"/>
      <c r="I81" s="7"/>
      <c r="J81" s="7"/>
      <c r="K81" s="7"/>
      <c r="L81" s="7"/>
      <c r="M81" s="7"/>
      <c r="N81" s="7"/>
      <c r="O81" s="17" t="str">
        <f>IF($A81="","",IFERROR(INDEX(Project_Tracker!$N$2:$N$101,MATCH($A81,Project_Tracker!$AL$2:$AL$101,0)),""))</f>
        <v/>
      </c>
      <c r="P81" s="17" t="str">
        <f>IF($A81="","",IFERROR(INDEX(Project_Tracker!$S$2:$S$101,MATCH($A81,Project_Tracker!$AL$2:$AL$101,0)),""))</f>
        <v/>
      </c>
      <c r="Q81" s="17" t="str">
        <f>IF($A81="","",IFERROR(INDEX(Project_Tracker!$T$2:$T$101,MATCH($A81,Project_Tracker!$AL$2:$AL$101,0)),""))</f>
        <v/>
      </c>
      <c r="R81" s="17" t="str">
        <f>IF($A81="","",IFERROR(INDEX(Project_Tracker!$AA$2:$AA$101,MATCH($A81,Project_Tracker!$AL$2:$AL$101,0)),""))</f>
        <v/>
      </c>
      <c r="S81" s="18" t="str">
        <f>IF($A81="","",IFERROR(INDEX(Project_Tracker!$AI$2:$AI$101,MATCH($A81,Project_Tracker!$AL$2:$AL$101,0)),""))</f>
        <v/>
      </c>
    </row>
    <row r="82" spans="1:19" x14ac:dyDescent="0.2">
      <c r="A82" s="9"/>
      <c r="B82" s="7"/>
      <c r="C82" s="9"/>
      <c r="D82" s="7"/>
      <c r="E82" s="16"/>
      <c r="F82" s="16"/>
      <c r="G82" s="7"/>
      <c r="H82" s="7"/>
      <c r="I82" s="7"/>
      <c r="J82" s="7"/>
      <c r="K82" s="7"/>
      <c r="L82" s="7"/>
      <c r="M82" s="7"/>
      <c r="N82" s="7"/>
      <c r="O82" s="17" t="str">
        <f>IF($A82="","",IFERROR(INDEX(Project_Tracker!$N$2:$N$101,MATCH($A82,Project_Tracker!$AL$2:$AL$101,0)),""))</f>
        <v/>
      </c>
      <c r="P82" s="17" t="str">
        <f>IF($A82="","",IFERROR(INDEX(Project_Tracker!$S$2:$S$101,MATCH($A82,Project_Tracker!$AL$2:$AL$101,0)),""))</f>
        <v/>
      </c>
      <c r="Q82" s="17" t="str">
        <f>IF($A82="","",IFERROR(INDEX(Project_Tracker!$T$2:$T$101,MATCH($A82,Project_Tracker!$AL$2:$AL$101,0)),""))</f>
        <v/>
      </c>
      <c r="R82" s="17" t="str">
        <f>IF($A82="","",IFERROR(INDEX(Project_Tracker!$AA$2:$AA$101,MATCH($A82,Project_Tracker!$AL$2:$AL$101,0)),""))</f>
        <v/>
      </c>
      <c r="S82" s="18" t="str">
        <f>IF($A82="","",IFERROR(INDEX(Project_Tracker!$AI$2:$AI$101,MATCH($A82,Project_Tracker!$AL$2:$AL$101,0)),""))</f>
        <v/>
      </c>
    </row>
    <row r="83" spans="1:19" x14ac:dyDescent="0.2">
      <c r="A83" s="9"/>
      <c r="B83" s="7"/>
      <c r="C83" s="9"/>
      <c r="D83" s="7"/>
      <c r="E83" s="16"/>
      <c r="F83" s="16"/>
      <c r="G83" s="7"/>
      <c r="H83" s="7"/>
      <c r="I83" s="7"/>
      <c r="J83" s="7"/>
      <c r="K83" s="7"/>
      <c r="L83" s="7"/>
      <c r="M83" s="7"/>
      <c r="N83" s="7"/>
      <c r="O83" s="17" t="str">
        <f>IF($A83="","",IFERROR(INDEX(Project_Tracker!$N$2:$N$101,MATCH($A83,Project_Tracker!$AL$2:$AL$101,0)),""))</f>
        <v/>
      </c>
      <c r="P83" s="17" t="str">
        <f>IF($A83="","",IFERROR(INDEX(Project_Tracker!$S$2:$S$101,MATCH($A83,Project_Tracker!$AL$2:$AL$101,0)),""))</f>
        <v/>
      </c>
      <c r="Q83" s="17" t="str">
        <f>IF($A83="","",IFERROR(INDEX(Project_Tracker!$T$2:$T$101,MATCH($A83,Project_Tracker!$AL$2:$AL$101,0)),""))</f>
        <v/>
      </c>
      <c r="R83" s="17" t="str">
        <f>IF($A83="","",IFERROR(INDEX(Project_Tracker!$AA$2:$AA$101,MATCH($A83,Project_Tracker!$AL$2:$AL$101,0)),""))</f>
        <v/>
      </c>
      <c r="S83" s="18" t="str">
        <f>IF($A83="","",IFERROR(INDEX(Project_Tracker!$AI$2:$AI$101,MATCH($A83,Project_Tracker!$AL$2:$AL$101,0)),""))</f>
        <v/>
      </c>
    </row>
    <row r="84" spans="1:19" x14ac:dyDescent="0.2">
      <c r="A84" s="9"/>
      <c r="B84" s="7"/>
      <c r="C84" s="9"/>
      <c r="D84" s="7"/>
      <c r="E84" s="16"/>
      <c r="F84" s="16"/>
      <c r="G84" s="7"/>
      <c r="H84" s="7"/>
      <c r="I84" s="7"/>
      <c r="J84" s="7"/>
      <c r="K84" s="7"/>
      <c r="L84" s="7"/>
      <c r="M84" s="7"/>
      <c r="N84" s="7"/>
      <c r="O84" s="17" t="str">
        <f>IF($A84="","",IFERROR(INDEX(Project_Tracker!$N$2:$N$101,MATCH($A84,Project_Tracker!$AL$2:$AL$101,0)),""))</f>
        <v/>
      </c>
      <c r="P84" s="17" t="str">
        <f>IF($A84="","",IFERROR(INDEX(Project_Tracker!$S$2:$S$101,MATCH($A84,Project_Tracker!$AL$2:$AL$101,0)),""))</f>
        <v/>
      </c>
      <c r="Q84" s="17" t="str">
        <f>IF($A84="","",IFERROR(INDEX(Project_Tracker!$T$2:$T$101,MATCH($A84,Project_Tracker!$AL$2:$AL$101,0)),""))</f>
        <v/>
      </c>
      <c r="R84" s="17" t="str">
        <f>IF($A84="","",IFERROR(INDEX(Project_Tracker!$AA$2:$AA$101,MATCH($A84,Project_Tracker!$AL$2:$AL$101,0)),""))</f>
        <v/>
      </c>
      <c r="S84" s="18" t="str">
        <f>IF($A84="","",IFERROR(INDEX(Project_Tracker!$AI$2:$AI$101,MATCH($A84,Project_Tracker!$AL$2:$AL$101,0)),""))</f>
        <v/>
      </c>
    </row>
    <row r="85" spans="1:19" x14ac:dyDescent="0.2">
      <c r="A85" s="9"/>
      <c r="B85" s="7"/>
      <c r="C85" s="9"/>
      <c r="D85" s="7"/>
      <c r="E85" s="16"/>
      <c r="F85" s="16"/>
      <c r="G85" s="7"/>
      <c r="H85" s="7"/>
      <c r="I85" s="7"/>
      <c r="J85" s="7"/>
      <c r="K85" s="7"/>
      <c r="L85" s="7"/>
      <c r="M85" s="7"/>
      <c r="N85" s="7"/>
      <c r="O85" s="17" t="str">
        <f>IF($A85="","",IFERROR(INDEX(Project_Tracker!$N$2:$N$101,MATCH($A85,Project_Tracker!$AL$2:$AL$101,0)),""))</f>
        <v/>
      </c>
      <c r="P85" s="17" t="str">
        <f>IF($A85="","",IFERROR(INDEX(Project_Tracker!$S$2:$S$101,MATCH($A85,Project_Tracker!$AL$2:$AL$101,0)),""))</f>
        <v/>
      </c>
      <c r="Q85" s="17" t="str">
        <f>IF($A85="","",IFERROR(INDEX(Project_Tracker!$T$2:$T$101,MATCH($A85,Project_Tracker!$AL$2:$AL$101,0)),""))</f>
        <v/>
      </c>
      <c r="R85" s="17" t="str">
        <f>IF($A85="","",IFERROR(INDEX(Project_Tracker!$AA$2:$AA$101,MATCH($A85,Project_Tracker!$AL$2:$AL$101,0)),""))</f>
        <v/>
      </c>
      <c r="S85" s="18" t="str">
        <f>IF($A85="","",IFERROR(INDEX(Project_Tracker!$AI$2:$AI$101,MATCH($A85,Project_Tracker!$AL$2:$AL$101,0)),""))</f>
        <v/>
      </c>
    </row>
    <row r="86" spans="1:19" x14ac:dyDescent="0.2">
      <c r="A86" s="9"/>
      <c r="B86" s="7"/>
      <c r="C86" s="9"/>
      <c r="D86" s="7"/>
      <c r="E86" s="16"/>
      <c r="F86" s="16"/>
      <c r="G86" s="7"/>
      <c r="H86" s="7"/>
      <c r="I86" s="7"/>
      <c r="J86" s="7"/>
      <c r="K86" s="7"/>
      <c r="L86" s="7"/>
      <c r="M86" s="7"/>
      <c r="N86" s="7"/>
      <c r="O86" s="17" t="str">
        <f>IF($A86="","",IFERROR(INDEX(Project_Tracker!$N$2:$N$101,MATCH($A86,Project_Tracker!$AL$2:$AL$101,0)),""))</f>
        <v/>
      </c>
      <c r="P86" s="17" t="str">
        <f>IF($A86="","",IFERROR(INDEX(Project_Tracker!$S$2:$S$101,MATCH($A86,Project_Tracker!$AL$2:$AL$101,0)),""))</f>
        <v/>
      </c>
      <c r="Q86" s="17" t="str">
        <f>IF($A86="","",IFERROR(INDEX(Project_Tracker!$T$2:$T$101,MATCH($A86,Project_Tracker!$AL$2:$AL$101,0)),""))</f>
        <v/>
      </c>
      <c r="R86" s="17" t="str">
        <f>IF($A86="","",IFERROR(INDEX(Project_Tracker!$AA$2:$AA$101,MATCH($A86,Project_Tracker!$AL$2:$AL$101,0)),""))</f>
        <v/>
      </c>
      <c r="S86" s="18" t="str">
        <f>IF($A86="","",IFERROR(INDEX(Project_Tracker!$AI$2:$AI$101,MATCH($A86,Project_Tracker!$AL$2:$AL$101,0)),""))</f>
        <v/>
      </c>
    </row>
    <row r="87" spans="1:19" x14ac:dyDescent="0.2">
      <c r="A87" s="9"/>
      <c r="B87" s="7"/>
      <c r="C87" s="9"/>
      <c r="D87" s="7"/>
      <c r="E87" s="16"/>
      <c r="F87" s="16"/>
      <c r="G87" s="7"/>
      <c r="H87" s="7"/>
      <c r="I87" s="7"/>
      <c r="J87" s="7"/>
      <c r="K87" s="7"/>
      <c r="L87" s="7"/>
      <c r="M87" s="7"/>
      <c r="N87" s="7"/>
      <c r="O87" s="17" t="str">
        <f>IF($A87="","",IFERROR(INDEX(Project_Tracker!$N$2:$N$101,MATCH($A87,Project_Tracker!$AL$2:$AL$101,0)),""))</f>
        <v/>
      </c>
      <c r="P87" s="17" t="str">
        <f>IF($A87="","",IFERROR(INDEX(Project_Tracker!$S$2:$S$101,MATCH($A87,Project_Tracker!$AL$2:$AL$101,0)),""))</f>
        <v/>
      </c>
      <c r="Q87" s="17" t="str">
        <f>IF($A87="","",IFERROR(INDEX(Project_Tracker!$T$2:$T$101,MATCH($A87,Project_Tracker!$AL$2:$AL$101,0)),""))</f>
        <v/>
      </c>
      <c r="R87" s="17" t="str">
        <f>IF($A87="","",IFERROR(INDEX(Project_Tracker!$AA$2:$AA$101,MATCH($A87,Project_Tracker!$AL$2:$AL$101,0)),""))</f>
        <v/>
      </c>
      <c r="S87" s="18" t="str">
        <f>IF($A87="","",IFERROR(INDEX(Project_Tracker!$AI$2:$AI$101,MATCH($A87,Project_Tracker!$AL$2:$AL$101,0)),""))</f>
        <v/>
      </c>
    </row>
    <row r="88" spans="1:19" x14ac:dyDescent="0.2">
      <c r="A88" s="9"/>
      <c r="B88" s="7"/>
      <c r="C88" s="9"/>
      <c r="D88" s="7"/>
      <c r="E88" s="16"/>
      <c r="F88" s="16"/>
      <c r="G88" s="7"/>
      <c r="H88" s="7"/>
      <c r="I88" s="7"/>
      <c r="J88" s="7"/>
      <c r="K88" s="7"/>
      <c r="L88" s="7"/>
      <c r="M88" s="7"/>
      <c r="N88" s="7"/>
      <c r="O88" s="17" t="str">
        <f>IF($A88="","",IFERROR(INDEX(Project_Tracker!$N$2:$N$101,MATCH($A88,Project_Tracker!$AL$2:$AL$101,0)),""))</f>
        <v/>
      </c>
      <c r="P88" s="17" t="str">
        <f>IF($A88="","",IFERROR(INDEX(Project_Tracker!$S$2:$S$101,MATCH($A88,Project_Tracker!$AL$2:$AL$101,0)),""))</f>
        <v/>
      </c>
      <c r="Q88" s="17" t="str">
        <f>IF($A88="","",IFERROR(INDEX(Project_Tracker!$T$2:$T$101,MATCH($A88,Project_Tracker!$AL$2:$AL$101,0)),""))</f>
        <v/>
      </c>
      <c r="R88" s="17" t="str">
        <f>IF($A88="","",IFERROR(INDEX(Project_Tracker!$AA$2:$AA$101,MATCH($A88,Project_Tracker!$AL$2:$AL$101,0)),""))</f>
        <v/>
      </c>
      <c r="S88" s="18" t="str">
        <f>IF($A88="","",IFERROR(INDEX(Project_Tracker!$AI$2:$AI$101,MATCH($A88,Project_Tracker!$AL$2:$AL$101,0)),""))</f>
        <v/>
      </c>
    </row>
    <row r="89" spans="1:19" x14ac:dyDescent="0.2">
      <c r="A89" s="9"/>
      <c r="B89" s="7"/>
      <c r="C89" s="9"/>
      <c r="D89" s="7"/>
      <c r="E89" s="16"/>
      <c r="F89" s="16"/>
      <c r="G89" s="7"/>
      <c r="H89" s="7"/>
      <c r="I89" s="7"/>
      <c r="J89" s="7"/>
      <c r="K89" s="7"/>
      <c r="L89" s="7"/>
      <c r="M89" s="7"/>
      <c r="N89" s="7"/>
      <c r="O89" s="17" t="str">
        <f>IF($A89="","",IFERROR(INDEX(Project_Tracker!$N$2:$N$101,MATCH($A89,Project_Tracker!$AL$2:$AL$101,0)),""))</f>
        <v/>
      </c>
      <c r="P89" s="17" t="str">
        <f>IF($A89="","",IFERROR(INDEX(Project_Tracker!$S$2:$S$101,MATCH($A89,Project_Tracker!$AL$2:$AL$101,0)),""))</f>
        <v/>
      </c>
      <c r="Q89" s="17" t="str">
        <f>IF($A89="","",IFERROR(INDEX(Project_Tracker!$T$2:$T$101,MATCH($A89,Project_Tracker!$AL$2:$AL$101,0)),""))</f>
        <v/>
      </c>
      <c r="R89" s="17" t="str">
        <f>IF($A89="","",IFERROR(INDEX(Project_Tracker!$AA$2:$AA$101,MATCH($A89,Project_Tracker!$AL$2:$AL$101,0)),""))</f>
        <v/>
      </c>
      <c r="S89" s="18" t="str">
        <f>IF($A89="","",IFERROR(INDEX(Project_Tracker!$AI$2:$AI$101,MATCH($A89,Project_Tracker!$AL$2:$AL$101,0)),""))</f>
        <v/>
      </c>
    </row>
    <row r="90" spans="1:19" x14ac:dyDescent="0.2">
      <c r="A90" s="9"/>
      <c r="B90" s="7"/>
      <c r="C90" s="9"/>
      <c r="D90" s="7"/>
      <c r="E90" s="16"/>
      <c r="F90" s="16"/>
      <c r="G90" s="7"/>
      <c r="H90" s="7"/>
      <c r="I90" s="7"/>
      <c r="J90" s="7"/>
      <c r="K90" s="7"/>
      <c r="L90" s="7"/>
      <c r="M90" s="7"/>
      <c r="N90" s="7"/>
      <c r="O90" s="17" t="str">
        <f>IF($A90="","",IFERROR(INDEX(Project_Tracker!$N$2:$N$101,MATCH($A90,Project_Tracker!$AL$2:$AL$101,0)),""))</f>
        <v/>
      </c>
      <c r="P90" s="17" t="str">
        <f>IF($A90="","",IFERROR(INDEX(Project_Tracker!$S$2:$S$101,MATCH($A90,Project_Tracker!$AL$2:$AL$101,0)),""))</f>
        <v/>
      </c>
      <c r="Q90" s="17" t="str">
        <f>IF($A90="","",IFERROR(INDEX(Project_Tracker!$T$2:$T$101,MATCH($A90,Project_Tracker!$AL$2:$AL$101,0)),""))</f>
        <v/>
      </c>
      <c r="R90" s="17" t="str">
        <f>IF($A90="","",IFERROR(INDEX(Project_Tracker!$AA$2:$AA$101,MATCH($A90,Project_Tracker!$AL$2:$AL$101,0)),""))</f>
        <v/>
      </c>
      <c r="S90" s="18" t="str">
        <f>IF($A90="","",IFERROR(INDEX(Project_Tracker!$AI$2:$AI$101,MATCH($A90,Project_Tracker!$AL$2:$AL$101,0)),""))</f>
        <v/>
      </c>
    </row>
    <row r="91" spans="1:19" x14ac:dyDescent="0.2">
      <c r="A91" s="9"/>
      <c r="B91" s="7"/>
      <c r="C91" s="9"/>
      <c r="D91" s="7"/>
      <c r="E91" s="16"/>
      <c r="F91" s="16"/>
      <c r="G91" s="7"/>
      <c r="H91" s="7"/>
      <c r="I91" s="7"/>
      <c r="J91" s="7"/>
      <c r="K91" s="7"/>
      <c r="L91" s="7"/>
      <c r="M91" s="7"/>
      <c r="N91" s="7"/>
      <c r="O91" s="17" t="str">
        <f>IF($A91="","",IFERROR(INDEX(Project_Tracker!$N$2:$N$101,MATCH($A91,Project_Tracker!$AL$2:$AL$101,0)),""))</f>
        <v/>
      </c>
      <c r="P91" s="17" t="str">
        <f>IF($A91="","",IFERROR(INDEX(Project_Tracker!$S$2:$S$101,MATCH($A91,Project_Tracker!$AL$2:$AL$101,0)),""))</f>
        <v/>
      </c>
      <c r="Q91" s="17" t="str">
        <f>IF($A91="","",IFERROR(INDEX(Project_Tracker!$T$2:$T$101,MATCH($A91,Project_Tracker!$AL$2:$AL$101,0)),""))</f>
        <v/>
      </c>
      <c r="R91" s="17" t="str">
        <f>IF($A91="","",IFERROR(INDEX(Project_Tracker!$AA$2:$AA$101,MATCH($A91,Project_Tracker!$AL$2:$AL$101,0)),""))</f>
        <v/>
      </c>
      <c r="S91" s="18" t="str">
        <f>IF($A91="","",IFERROR(INDEX(Project_Tracker!$AI$2:$AI$101,MATCH($A91,Project_Tracker!$AL$2:$AL$101,0)),""))</f>
        <v/>
      </c>
    </row>
    <row r="92" spans="1:19" x14ac:dyDescent="0.2">
      <c r="A92" s="9"/>
      <c r="B92" s="7"/>
      <c r="C92" s="9"/>
      <c r="D92" s="7"/>
      <c r="E92" s="16"/>
      <c r="F92" s="16"/>
      <c r="G92" s="7"/>
      <c r="H92" s="7"/>
      <c r="I92" s="7"/>
      <c r="J92" s="7"/>
      <c r="K92" s="7"/>
      <c r="L92" s="7"/>
      <c r="M92" s="7"/>
      <c r="N92" s="7"/>
      <c r="O92" s="17" t="str">
        <f>IF($A92="","",IFERROR(INDEX(Project_Tracker!$N$2:$N$101,MATCH($A92,Project_Tracker!$AL$2:$AL$101,0)),""))</f>
        <v/>
      </c>
      <c r="P92" s="17" t="str">
        <f>IF($A92="","",IFERROR(INDEX(Project_Tracker!$S$2:$S$101,MATCH($A92,Project_Tracker!$AL$2:$AL$101,0)),""))</f>
        <v/>
      </c>
      <c r="Q92" s="17" t="str">
        <f>IF($A92="","",IFERROR(INDEX(Project_Tracker!$T$2:$T$101,MATCH($A92,Project_Tracker!$AL$2:$AL$101,0)),""))</f>
        <v/>
      </c>
      <c r="R92" s="17" t="str">
        <f>IF($A92="","",IFERROR(INDEX(Project_Tracker!$AA$2:$AA$101,MATCH($A92,Project_Tracker!$AL$2:$AL$101,0)),""))</f>
        <v/>
      </c>
      <c r="S92" s="18" t="str">
        <f>IF($A92="","",IFERROR(INDEX(Project_Tracker!$AI$2:$AI$101,MATCH($A92,Project_Tracker!$AL$2:$AL$101,0)),""))</f>
        <v/>
      </c>
    </row>
    <row r="93" spans="1:19" x14ac:dyDescent="0.2">
      <c r="A93" s="9"/>
      <c r="B93" s="7"/>
      <c r="C93" s="9"/>
      <c r="D93" s="7"/>
      <c r="E93" s="16"/>
      <c r="F93" s="16"/>
      <c r="G93" s="7"/>
      <c r="H93" s="7"/>
      <c r="I93" s="7"/>
      <c r="J93" s="7"/>
      <c r="K93" s="7"/>
      <c r="L93" s="7"/>
      <c r="M93" s="7"/>
      <c r="N93" s="7"/>
      <c r="O93" s="17" t="str">
        <f>IF($A93="","",IFERROR(INDEX(Project_Tracker!$N$2:$N$101,MATCH($A93,Project_Tracker!$AL$2:$AL$101,0)),""))</f>
        <v/>
      </c>
      <c r="P93" s="17" t="str">
        <f>IF($A93="","",IFERROR(INDEX(Project_Tracker!$S$2:$S$101,MATCH($A93,Project_Tracker!$AL$2:$AL$101,0)),""))</f>
        <v/>
      </c>
      <c r="Q93" s="17" t="str">
        <f>IF($A93="","",IFERROR(INDEX(Project_Tracker!$T$2:$T$101,MATCH($A93,Project_Tracker!$AL$2:$AL$101,0)),""))</f>
        <v/>
      </c>
      <c r="R93" s="17" t="str">
        <f>IF($A93="","",IFERROR(INDEX(Project_Tracker!$AA$2:$AA$101,MATCH($A93,Project_Tracker!$AL$2:$AL$101,0)),""))</f>
        <v/>
      </c>
      <c r="S93" s="18" t="str">
        <f>IF($A93="","",IFERROR(INDEX(Project_Tracker!$AI$2:$AI$101,MATCH($A93,Project_Tracker!$AL$2:$AL$101,0)),""))</f>
        <v/>
      </c>
    </row>
    <row r="94" spans="1:19" x14ac:dyDescent="0.2">
      <c r="A94" s="9"/>
      <c r="B94" s="7"/>
      <c r="C94" s="9"/>
      <c r="D94" s="7"/>
      <c r="E94" s="16"/>
      <c r="F94" s="16"/>
      <c r="G94" s="7"/>
      <c r="H94" s="7"/>
      <c r="I94" s="7"/>
      <c r="J94" s="7"/>
      <c r="K94" s="7"/>
      <c r="L94" s="7"/>
      <c r="M94" s="7"/>
      <c r="N94" s="7"/>
      <c r="O94" s="17" t="str">
        <f>IF($A94="","",IFERROR(INDEX(Project_Tracker!$N$2:$N$101,MATCH($A94,Project_Tracker!$AL$2:$AL$101,0)),""))</f>
        <v/>
      </c>
      <c r="P94" s="17" t="str">
        <f>IF($A94="","",IFERROR(INDEX(Project_Tracker!$S$2:$S$101,MATCH($A94,Project_Tracker!$AL$2:$AL$101,0)),""))</f>
        <v/>
      </c>
      <c r="Q94" s="17" t="str">
        <f>IF($A94="","",IFERROR(INDEX(Project_Tracker!$T$2:$T$101,MATCH($A94,Project_Tracker!$AL$2:$AL$101,0)),""))</f>
        <v/>
      </c>
      <c r="R94" s="17" t="str">
        <f>IF($A94="","",IFERROR(INDEX(Project_Tracker!$AA$2:$AA$101,MATCH($A94,Project_Tracker!$AL$2:$AL$101,0)),""))</f>
        <v/>
      </c>
      <c r="S94" s="18" t="str">
        <f>IF($A94="","",IFERROR(INDEX(Project_Tracker!$AI$2:$AI$101,MATCH($A94,Project_Tracker!$AL$2:$AL$101,0)),""))</f>
        <v/>
      </c>
    </row>
    <row r="95" spans="1:19" x14ac:dyDescent="0.2">
      <c r="A95" s="9"/>
      <c r="B95" s="7"/>
      <c r="C95" s="9"/>
      <c r="D95" s="7"/>
      <c r="E95" s="16"/>
      <c r="F95" s="16"/>
      <c r="G95" s="7"/>
      <c r="H95" s="7"/>
      <c r="I95" s="7"/>
      <c r="J95" s="7"/>
      <c r="K95" s="7"/>
      <c r="L95" s="7"/>
      <c r="M95" s="7"/>
      <c r="N95" s="7"/>
      <c r="O95" s="17" t="str">
        <f>IF($A95="","",IFERROR(INDEX(Project_Tracker!$N$2:$N$101,MATCH($A95,Project_Tracker!$AL$2:$AL$101,0)),""))</f>
        <v/>
      </c>
      <c r="P95" s="17" t="str">
        <f>IF($A95="","",IFERROR(INDEX(Project_Tracker!$S$2:$S$101,MATCH($A95,Project_Tracker!$AL$2:$AL$101,0)),""))</f>
        <v/>
      </c>
      <c r="Q95" s="17" t="str">
        <f>IF($A95="","",IFERROR(INDEX(Project_Tracker!$T$2:$T$101,MATCH($A95,Project_Tracker!$AL$2:$AL$101,0)),""))</f>
        <v/>
      </c>
      <c r="R95" s="17" t="str">
        <f>IF($A95="","",IFERROR(INDEX(Project_Tracker!$AA$2:$AA$101,MATCH($A95,Project_Tracker!$AL$2:$AL$101,0)),""))</f>
        <v/>
      </c>
      <c r="S95" s="18" t="str">
        <f>IF($A95="","",IFERROR(INDEX(Project_Tracker!$AI$2:$AI$101,MATCH($A95,Project_Tracker!$AL$2:$AL$101,0)),""))</f>
        <v/>
      </c>
    </row>
    <row r="96" spans="1:19" x14ac:dyDescent="0.2">
      <c r="A96" s="9"/>
      <c r="B96" s="7"/>
      <c r="C96" s="9"/>
      <c r="D96" s="7"/>
      <c r="E96" s="16"/>
      <c r="F96" s="16"/>
      <c r="G96" s="7"/>
      <c r="H96" s="7"/>
      <c r="I96" s="7"/>
      <c r="J96" s="7"/>
      <c r="K96" s="7"/>
      <c r="L96" s="7"/>
      <c r="M96" s="7"/>
      <c r="N96" s="7"/>
      <c r="O96" s="17" t="str">
        <f>IF($A96="","",IFERROR(INDEX(Project_Tracker!$N$2:$N$101,MATCH($A96,Project_Tracker!$AL$2:$AL$101,0)),""))</f>
        <v/>
      </c>
      <c r="P96" s="17" t="str">
        <f>IF($A96="","",IFERROR(INDEX(Project_Tracker!$S$2:$S$101,MATCH($A96,Project_Tracker!$AL$2:$AL$101,0)),""))</f>
        <v/>
      </c>
      <c r="Q96" s="17" t="str">
        <f>IF($A96="","",IFERROR(INDEX(Project_Tracker!$T$2:$T$101,MATCH($A96,Project_Tracker!$AL$2:$AL$101,0)),""))</f>
        <v/>
      </c>
      <c r="R96" s="17" t="str">
        <f>IF($A96="","",IFERROR(INDEX(Project_Tracker!$AA$2:$AA$101,MATCH($A96,Project_Tracker!$AL$2:$AL$101,0)),""))</f>
        <v/>
      </c>
      <c r="S96" s="18" t="str">
        <f>IF($A96="","",IFERROR(INDEX(Project_Tracker!$AI$2:$AI$101,MATCH($A96,Project_Tracker!$AL$2:$AL$101,0)),""))</f>
        <v/>
      </c>
    </row>
    <row r="97" spans="1:19" x14ac:dyDescent="0.2">
      <c r="A97" s="9"/>
      <c r="B97" s="7"/>
      <c r="C97" s="9"/>
      <c r="D97" s="7"/>
      <c r="E97" s="16"/>
      <c r="F97" s="16"/>
      <c r="G97" s="7"/>
      <c r="H97" s="7"/>
      <c r="I97" s="7"/>
      <c r="J97" s="7"/>
      <c r="K97" s="7"/>
      <c r="L97" s="7"/>
      <c r="M97" s="7"/>
      <c r="N97" s="7"/>
      <c r="O97" s="17" t="str">
        <f>IF($A97="","",IFERROR(INDEX(Project_Tracker!$N$2:$N$101,MATCH($A97,Project_Tracker!$AL$2:$AL$101,0)),""))</f>
        <v/>
      </c>
      <c r="P97" s="17" t="str">
        <f>IF($A97="","",IFERROR(INDEX(Project_Tracker!$S$2:$S$101,MATCH($A97,Project_Tracker!$AL$2:$AL$101,0)),""))</f>
        <v/>
      </c>
      <c r="Q97" s="17" t="str">
        <f>IF($A97="","",IFERROR(INDEX(Project_Tracker!$T$2:$T$101,MATCH($A97,Project_Tracker!$AL$2:$AL$101,0)),""))</f>
        <v/>
      </c>
      <c r="R97" s="17" t="str">
        <f>IF($A97="","",IFERROR(INDEX(Project_Tracker!$AA$2:$AA$101,MATCH($A97,Project_Tracker!$AL$2:$AL$101,0)),""))</f>
        <v/>
      </c>
      <c r="S97" s="18" t="str">
        <f>IF($A97="","",IFERROR(INDEX(Project_Tracker!$AI$2:$AI$101,MATCH($A97,Project_Tracker!$AL$2:$AL$101,0)),""))</f>
        <v/>
      </c>
    </row>
    <row r="98" spans="1:19" x14ac:dyDescent="0.2">
      <c r="A98" s="9"/>
      <c r="B98" s="7"/>
      <c r="C98" s="9"/>
      <c r="D98" s="7"/>
      <c r="E98" s="16"/>
      <c r="F98" s="16"/>
      <c r="G98" s="7"/>
      <c r="H98" s="7"/>
      <c r="I98" s="7"/>
      <c r="J98" s="7"/>
      <c r="K98" s="7"/>
      <c r="L98" s="7"/>
      <c r="M98" s="7"/>
      <c r="N98" s="7"/>
      <c r="O98" s="17" t="str">
        <f>IF($A98="","",IFERROR(INDEX(Project_Tracker!$N$2:$N$101,MATCH($A98,Project_Tracker!$AL$2:$AL$101,0)),""))</f>
        <v/>
      </c>
      <c r="P98" s="17" t="str">
        <f>IF($A98="","",IFERROR(INDEX(Project_Tracker!$S$2:$S$101,MATCH($A98,Project_Tracker!$AL$2:$AL$101,0)),""))</f>
        <v/>
      </c>
      <c r="Q98" s="17" t="str">
        <f>IF($A98="","",IFERROR(INDEX(Project_Tracker!$T$2:$T$101,MATCH($A98,Project_Tracker!$AL$2:$AL$101,0)),""))</f>
        <v/>
      </c>
      <c r="R98" s="17" t="str">
        <f>IF($A98="","",IFERROR(INDEX(Project_Tracker!$AA$2:$AA$101,MATCH($A98,Project_Tracker!$AL$2:$AL$101,0)),""))</f>
        <v/>
      </c>
      <c r="S98" s="18" t="str">
        <f>IF($A98="","",IFERROR(INDEX(Project_Tracker!$AI$2:$AI$101,MATCH($A98,Project_Tracker!$AL$2:$AL$101,0)),""))</f>
        <v/>
      </c>
    </row>
    <row r="99" spans="1:19" x14ac:dyDescent="0.2">
      <c r="A99" s="9"/>
      <c r="B99" s="7"/>
      <c r="C99" s="9"/>
      <c r="D99" s="7"/>
      <c r="E99" s="16"/>
      <c r="F99" s="16"/>
      <c r="G99" s="7"/>
      <c r="H99" s="7"/>
      <c r="I99" s="7"/>
      <c r="J99" s="7"/>
      <c r="K99" s="7"/>
      <c r="L99" s="7"/>
      <c r="M99" s="7"/>
      <c r="N99" s="7"/>
      <c r="O99" s="17" t="str">
        <f>IF($A99="","",IFERROR(INDEX(Project_Tracker!$N$2:$N$101,MATCH($A99,Project_Tracker!$AL$2:$AL$101,0)),""))</f>
        <v/>
      </c>
      <c r="P99" s="17" t="str">
        <f>IF($A99="","",IFERROR(INDEX(Project_Tracker!$S$2:$S$101,MATCH($A99,Project_Tracker!$AL$2:$AL$101,0)),""))</f>
        <v/>
      </c>
      <c r="Q99" s="17" t="str">
        <f>IF($A99="","",IFERROR(INDEX(Project_Tracker!$T$2:$T$101,MATCH($A99,Project_Tracker!$AL$2:$AL$101,0)),""))</f>
        <v/>
      </c>
      <c r="R99" s="17" t="str">
        <f>IF($A99="","",IFERROR(INDEX(Project_Tracker!$AA$2:$AA$101,MATCH($A99,Project_Tracker!$AL$2:$AL$101,0)),""))</f>
        <v/>
      </c>
      <c r="S99" s="18" t="str">
        <f>IF($A99="","",IFERROR(INDEX(Project_Tracker!$AI$2:$AI$101,MATCH($A99,Project_Tracker!$AL$2:$AL$101,0)),""))</f>
        <v/>
      </c>
    </row>
    <row r="100" spans="1:19" x14ac:dyDescent="0.2">
      <c r="A100" s="9"/>
      <c r="B100" s="7"/>
      <c r="C100" s="9"/>
      <c r="D100" s="7"/>
      <c r="E100" s="16"/>
      <c r="F100" s="16"/>
      <c r="G100" s="7"/>
      <c r="H100" s="7"/>
      <c r="I100" s="7"/>
      <c r="J100" s="7"/>
      <c r="K100" s="7"/>
      <c r="L100" s="7"/>
      <c r="M100" s="7"/>
      <c r="N100" s="7"/>
      <c r="O100" s="17" t="str">
        <f>IF($A100="","",IFERROR(INDEX(Project_Tracker!$N$2:$N$101,MATCH($A100,Project_Tracker!$AL$2:$AL$101,0)),""))</f>
        <v/>
      </c>
      <c r="P100" s="17" t="str">
        <f>IF($A100="","",IFERROR(INDEX(Project_Tracker!$S$2:$S$101,MATCH($A100,Project_Tracker!$AL$2:$AL$101,0)),""))</f>
        <v/>
      </c>
      <c r="Q100" s="17" t="str">
        <f>IF($A100="","",IFERROR(INDEX(Project_Tracker!$T$2:$T$101,MATCH($A100,Project_Tracker!$AL$2:$AL$101,0)),""))</f>
        <v/>
      </c>
      <c r="R100" s="17" t="str">
        <f>IF($A100="","",IFERROR(INDEX(Project_Tracker!$AA$2:$AA$101,MATCH($A100,Project_Tracker!$AL$2:$AL$101,0)),""))</f>
        <v/>
      </c>
      <c r="S100" s="18" t="str">
        <f>IF($A100="","",IFERROR(INDEX(Project_Tracker!$AI$2:$AI$101,MATCH($A100,Project_Tracker!$AL$2:$AL$101,0)),""))</f>
        <v/>
      </c>
    </row>
    <row r="101" spans="1:19" x14ac:dyDescent="0.2">
      <c r="A101" s="9"/>
      <c r="B101" s="7"/>
      <c r="C101" s="9"/>
      <c r="D101" s="7"/>
      <c r="E101" s="16"/>
      <c r="F101" s="16"/>
      <c r="G101" s="7"/>
      <c r="H101" s="7"/>
      <c r="I101" s="7"/>
      <c r="J101" s="7"/>
      <c r="K101" s="7"/>
      <c r="L101" s="7"/>
      <c r="M101" s="7"/>
      <c r="N101" s="7"/>
      <c r="O101" s="17" t="str">
        <f>IF($A101="","",IFERROR(INDEX(Project_Tracker!$N$2:$N$101,MATCH($A101,Project_Tracker!$AL$2:$AL$101,0)),""))</f>
        <v/>
      </c>
      <c r="P101" s="17" t="str">
        <f>IF($A101="","",IFERROR(INDEX(Project_Tracker!$S$2:$S$101,MATCH($A101,Project_Tracker!$AL$2:$AL$101,0)),""))</f>
        <v/>
      </c>
      <c r="Q101" s="17" t="str">
        <f>IF($A101="","",IFERROR(INDEX(Project_Tracker!$T$2:$T$101,MATCH($A101,Project_Tracker!$AL$2:$AL$101,0)),""))</f>
        <v/>
      </c>
      <c r="R101" s="17" t="str">
        <f>IF($A101="","",IFERROR(INDEX(Project_Tracker!$AA$2:$AA$101,MATCH($A101,Project_Tracker!$AL$2:$AL$101,0)),""))</f>
        <v/>
      </c>
      <c r="S101" s="18" t="str">
        <f>IF($A101="","",IFERROR(INDEX(Project_Tracker!$AI$2:$AI$101,MATCH($A101,Project_Tracker!$AL$2:$AL$101,0)),""))</f>
        <v/>
      </c>
    </row>
    <row r="103" spans="1:19" ht="86.5" customHeight="1" x14ac:dyDescent="0.2">
      <c r="A103" s="13" t="s">
        <v>122</v>
      </c>
    </row>
  </sheetData>
  <conditionalFormatting sqref="S2:S101">
    <cfRule type="cellIs" dxfId="6" priority="1" operator="lessThan">
      <formula>0</formula>
    </cfRule>
    <cfRule type="cellIs" dxfId="5" priority="2" operator="between">
      <formula>0</formula>
      <formula>30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705"/>
  <sheetViews>
    <sheetView topLeftCell="I1" zoomScale="125" workbookViewId="0">
      <selection activeCell="A6" sqref="A6"/>
    </sheetView>
  </sheetViews>
  <sheetFormatPr baseColWidth="10" defaultColWidth="8.83203125" defaultRowHeight="15" x14ac:dyDescent="0.2"/>
  <cols>
    <col min="1" max="1" width="12" customWidth="1"/>
    <col min="2" max="2" width="24" customWidth="1"/>
    <col min="3" max="4" width="15" customWidth="1"/>
    <col min="5" max="5" width="6" customWidth="1"/>
    <col min="6" max="6" width="34" customWidth="1"/>
    <col min="7" max="7" width="14" customWidth="1"/>
    <col min="8" max="8" width="17" customWidth="1"/>
    <col min="9" max="9" width="13" customWidth="1"/>
    <col min="10" max="10" width="12" customWidth="1"/>
    <col min="11" max="11" width="14" customWidth="1"/>
    <col min="12" max="12" width="15" customWidth="1"/>
    <col min="13" max="13" width="18" customWidth="1"/>
    <col min="14" max="14" width="14" customWidth="1"/>
    <col min="15" max="15" width="24" customWidth="1"/>
    <col min="16" max="16" width="16" customWidth="1"/>
    <col min="17" max="17" width="18" customWidth="1"/>
  </cols>
  <sheetData>
    <row r="1" spans="1:17" x14ac:dyDescent="0.2">
      <c r="A1" s="58" t="s">
        <v>179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49"/>
    </row>
    <row r="2" spans="1:17" ht="48" customHeight="1" x14ac:dyDescent="0.2">
      <c r="A2" s="4"/>
      <c r="B2" s="5"/>
      <c r="C2" s="4"/>
      <c r="D2" s="5"/>
      <c r="E2" s="4"/>
      <c r="F2" s="6"/>
      <c r="G2" s="4"/>
      <c r="H2" s="6"/>
      <c r="I2" s="4"/>
      <c r="J2" s="18"/>
      <c r="K2" s="4"/>
      <c r="L2" s="5"/>
      <c r="M2" s="13"/>
    </row>
    <row r="5" spans="1:17" x14ac:dyDescent="0.2">
      <c r="A5" s="24" t="s">
        <v>94</v>
      </c>
      <c r="B5" s="24" t="s">
        <v>95</v>
      </c>
      <c r="C5" s="24" t="s">
        <v>96</v>
      </c>
      <c r="D5" s="24" t="s">
        <v>180</v>
      </c>
      <c r="E5" s="24" t="s">
        <v>181</v>
      </c>
      <c r="F5" s="24" t="s">
        <v>182</v>
      </c>
      <c r="G5" s="24" t="s">
        <v>183</v>
      </c>
      <c r="H5" s="24" t="s">
        <v>184</v>
      </c>
      <c r="I5" s="24" t="s">
        <v>185</v>
      </c>
      <c r="J5" s="24" t="s">
        <v>186</v>
      </c>
      <c r="K5" s="24" t="s">
        <v>187</v>
      </c>
      <c r="L5" s="24" t="s">
        <v>188</v>
      </c>
      <c r="M5" s="24" t="s">
        <v>189</v>
      </c>
      <c r="N5" s="24" t="s">
        <v>190</v>
      </c>
      <c r="O5" s="24" t="s">
        <v>106</v>
      </c>
      <c r="P5" s="24" t="s">
        <v>101</v>
      </c>
      <c r="Q5" s="24" t="s">
        <v>103</v>
      </c>
    </row>
    <row r="6" spans="1:17" ht="22" customHeight="1" x14ac:dyDescent="0.2">
      <c r="A6" s="20">
        <f>IF(INDEX(Project_Tracker!$AL$2:$AL$101,INT((ROW()-6)/17)+1)="","",INDEX(Project_Tracker!$AL$2:$AL$101,INT((ROW()-6)/17)+1))</f>
        <v>123456</v>
      </c>
      <c r="B6" s="21" t="str">
        <f>IF($A6="","",INDEX(Project_Tracker!$AM$2:$AM$101,INT((ROW()-6)/17)+1))</f>
        <v>Chiller Water Unit</v>
      </c>
      <c r="C6" s="20" t="str">
        <f>IF($A6="","",INDEX(Project_Tracker!$C$2:$C$101,INT((ROW()-6)/17)+1))</f>
        <v>冷水机组</v>
      </c>
      <c r="D6" s="6">
        <f>IF($A6="","",INDEX(Project_Tracker!$T$2:$T$101,INT((ROW()-6)/17)+1))</f>
        <v>46244</v>
      </c>
      <c r="E6" s="18">
        <f t="shared" ref="E6:E69" si="0">MOD(ROW()-6,17)+1</f>
        <v>1</v>
      </c>
      <c r="F6" s="23" t="str">
        <f>IF($A6="","",INDEX('Logic &amp; Lists'!$I$4:$I$20,$E6))</f>
        <v>非防爆压缩机 Non Ex-proof COMPRESSOR</v>
      </c>
      <c r="G6" s="18">
        <f>IF($A6="","",INDEX('Logic &amp; Lists'!$J$4:$J$20,$E6))</f>
        <v>45</v>
      </c>
      <c r="H6" s="6">
        <f t="shared" ref="H6:H69" si="1">IF($D6="","",$D6-$G6)</f>
        <v>46199</v>
      </c>
      <c r="I6" s="18">
        <f t="shared" ref="I6:I69" ca="1" si="2">IF($H6="","",$H6-TODAY())</f>
        <v>-53</v>
      </c>
      <c r="J6" s="5" t="str">
        <f t="shared" ref="J6:J69" ca="1" si="3">IF($A6="","",IF($K6&lt;&gt;"","ORDERED",IF($I6&lt;0,"OVERDUE",IF($I6&lt;=7,"URGENT",IF($I6&lt;=14,"PREPARE","OK")))))</f>
        <v>OVERDUE</v>
      </c>
      <c r="K6" s="25"/>
      <c r="L6" s="5" t="str">
        <f t="shared" ref="L6:L69" ca="1" si="4">IF($A6="","",IF($K6="",$J6,IF($K6&lt;=$H6,"Ordered On Time","Ordered Late")))</f>
        <v>OVERDUE</v>
      </c>
      <c r="M6" s="7"/>
      <c r="N6" s="7"/>
      <c r="O6" s="7"/>
      <c r="P6" s="20" t="str">
        <f>IF($A6="","",INDEX(Project_Tracker!$I$2:$I$101,INT((ROW()-6)/17)+1))</f>
        <v>PM Owner</v>
      </c>
      <c r="Q6" s="20" t="str">
        <f>IF($A6="","",INDEX(Project_Tracker!$K$2:$K$101,INT((ROW()-6)/17)+1))</f>
        <v>Procurement Owner</v>
      </c>
    </row>
    <row r="7" spans="1:17" x14ac:dyDescent="0.2">
      <c r="A7" s="20">
        <f>IF(INDEX(Project_Tracker!$AL$2:$AL$101,INT((ROW()-6)/17)+1)="","",INDEX(Project_Tracker!$AL$2:$AL$101,INT((ROW()-6)/17)+1))</f>
        <v>123456</v>
      </c>
      <c r="B7" s="21" t="str">
        <f>IF($A7="","",INDEX(Project_Tracker!$AM$2:$AM$101,INT((ROW()-6)/17)+1))</f>
        <v>Chiller Water Unit</v>
      </c>
      <c r="C7" s="20" t="str">
        <f>IF($A7="","",INDEX(Project_Tracker!$C$2:$C$101,INT((ROW()-6)/17)+1))</f>
        <v>冷水机组</v>
      </c>
      <c r="D7" s="6">
        <f>IF($A7="","",INDEX(Project_Tracker!$T$2:$T$101,INT((ROW()-6)/17)+1))</f>
        <v>46244</v>
      </c>
      <c r="E7" s="18">
        <f t="shared" si="0"/>
        <v>2</v>
      </c>
      <c r="F7" s="23" t="str">
        <f>IF($A7="","",INDEX('Logic &amp; Lists'!$I$4:$I$20,$E7))</f>
        <v>防爆压缩机 COMPRESSOR</v>
      </c>
      <c r="G7" s="18">
        <f>IF($A7="","",INDEX('Logic &amp; Lists'!$J$4:$J$20,$E7))</f>
        <v>90</v>
      </c>
      <c r="H7" s="6">
        <f t="shared" si="1"/>
        <v>46154</v>
      </c>
      <c r="I7" s="18">
        <f t="shared" ca="1" si="2"/>
        <v>-98</v>
      </c>
      <c r="J7" s="5" t="str">
        <f t="shared" ca="1" si="3"/>
        <v>OVERDUE</v>
      </c>
      <c r="K7" s="25"/>
      <c r="L7" s="5" t="str">
        <f t="shared" ca="1" si="4"/>
        <v>OVERDUE</v>
      </c>
      <c r="M7" s="7"/>
      <c r="N7" s="7"/>
      <c r="O7" s="7"/>
      <c r="P7" s="20" t="str">
        <f>IF($A7="","",INDEX(Project_Tracker!$I$2:$I$101,INT((ROW()-6)/17)+1))</f>
        <v>PM Owner</v>
      </c>
      <c r="Q7" s="20" t="str">
        <f>IF($A7="","",INDEX(Project_Tracker!$K$2:$K$101,INT((ROW()-6)/17)+1))</f>
        <v>Procurement Owner</v>
      </c>
    </row>
    <row r="8" spans="1:17" x14ac:dyDescent="0.2">
      <c r="A8" s="20">
        <f>IF(INDEX(Project_Tracker!$AL$2:$AL$101,INT((ROW()-6)/17)+1)="","",INDEX(Project_Tracker!$AL$2:$AL$101,INT((ROW()-6)/17)+1))</f>
        <v>123456</v>
      </c>
      <c r="B8" s="21" t="str">
        <f>IF($A8="","",INDEX(Project_Tracker!$AM$2:$AM$101,INT((ROW()-6)/17)+1))</f>
        <v>Chiller Water Unit</v>
      </c>
      <c r="C8" s="20" t="str">
        <f>IF($A8="","",INDEX(Project_Tracker!$C$2:$C$101,INT((ROW()-6)/17)+1))</f>
        <v>冷水机组</v>
      </c>
      <c r="D8" s="6">
        <f>IF($A8="","",INDEX(Project_Tracker!$T$2:$T$101,INT((ROW()-6)/17)+1))</f>
        <v>46244</v>
      </c>
      <c r="E8" s="18">
        <f t="shared" si="0"/>
        <v>3</v>
      </c>
      <c r="F8" s="23" t="str">
        <f>IF($A8="","",INDEX('Logic &amp; Lists'!$I$4:$I$20,$E8))</f>
        <v>蒸发器 EVAPORATOR</v>
      </c>
      <c r="G8" s="18">
        <f>IF($A8="","",INDEX('Logic &amp; Lists'!$J$4:$J$20,$E8))</f>
        <v>90</v>
      </c>
      <c r="H8" s="6">
        <f t="shared" si="1"/>
        <v>46154</v>
      </c>
      <c r="I8" s="18">
        <f t="shared" ca="1" si="2"/>
        <v>-98</v>
      </c>
      <c r="J8" s="5" t="str">
        <f t="shared" ca="1" si="3"/>
        <v>OVERDUE</v>
      </c>
      <c r="K8" s="25"/>
      <c r="L8" s="5" t="str">
        <f t="shared" ca="1" si="4"/>
        <v>OVERDUE</v>
      </c>
      <c r="M8" s="7"/>
      <c r="N8" s="7"/>
      <c r="O8" s="7"/>
      <c r="P8" s="20" t="str">
        <f>IF($A8="","",INDEX(Project_Tracker!$I$2:$I$101,INT((ROW()-6)/17)+1))</f>
        <v>PM Owner</v>
      </c>
      <c r="Q8" s="20" t="str">
        <f>IF($A8="","",INDEX(Project_Tracker!$K$2:$K$101,INT((ROW()-6)/17)+1))</f>
        <v>Procurement Owner</v>
      </c>
    </row>
    <row r="9" spans="1:17" x14ac:dyDescent="0.2">
      <c r="A9" s="20">
        <f>IF(INDEX(Project_Tracker!$AL$2:$AL$101,INT((ROW()-6)/17)+1)="","",INDEX(Project_Tracker!$AL$2:$AL$101,INT((ROW()-6)/17)+1))</f>
        <v>123456</v>
      </c>
      <c r="B9" s="21" t="str">
        <f>IF($A9="","",INDEX(Project_Tracker!$AM$2:$AM$101,INT((ROW()-6)/17)+1))</f>
        <v>Chiller Water Unit</v>
      </c>
      <c r="C9" s="20" t="str">
        <f>IF($A9="","",INDEX(Project_Tracker!$C$2:$C$101,INT((ROW()-6)/17)+1))</f>
        <v>冷水机组</v>
      </c>
      <c r="D9" s="6">
        <f>IF($A9="","",INDEX(Project_Tracker!$T$2:$T$101,INT((ROW()-6)/17)+1))</f>
        <v>46244</v>
      </c>
      <c r="E9" s="18">
        <f t="shared" si="0"/>
        <v>4</v>
      </c>
      <c r="F9" s="23" t="str">
        <f>IF($A9="","",INDEX('Logic &amp; Lists'!$I$4:$I$20,$E9))</f>
        <v>冷凝器 CONDENSER</v>
      </c>
      <c r="G9" s="18">
        <f>IF($A9="","",INDEX('Logic &amp; Lists'!$J$4:$J$20,$E9))</f>
        <v>90</v>
      </c>
      <c r="H9" s="6">
        <f t="shared" si="1"/>
        <v>46154</v>
      </c>
      <c r="I9" s="18">
        <f t="shared" ca="1" si="2"/>
        <v>-98</v>
      </c>
      <c r="J9" s="5" t="str">
        <f t="shared" ca="1" si="3"/>
        <v>OVERDUE</v>
      </c>
      <c r="K9" s="25"/>
      <c r="L9" s="5" t="str">
        <f t="shared" ca="1" si="4"/>
        <v>OVERDUE</v>
      </c>
      <c r="M9" s="7"/>
      <c r="N9" s="7"/>
      <c r="O9" s="7"/>
      <c r="P9" s="20" t="str">
        <f>IF($A9="","",INDEX(Project_Tracker!$I$2:$I$101,INT((ROW()-6)/17)+1))</f>
        <v>PM Owner</v>
      </c>
      <c r="Q9" s="20" t="str">
        <f>IF($A9="","",INDEX(Project_Tracker!$K$2:$K$101,INT((ROW()-6)/17)+1))</f>
        <v>Procurement Owner</v>
      </c>
    </row>
    <row r="10" spans="1:17" x14ac:dyDescent="0.2">
      <c r="A10" s="20">
        <f>IF(INDEX(Project_Tracker!$AL$2:$AL$101,INT((ROW()-6)/17)+1)="","",INDEX(Project_Tracker!$AL$2:$AL$101,INT((ROW()-6)/17)+1))</f>
        <v>123456</v>
      </c>
      <c r="B10" s="21" t="str">
        <f>IF($A10="","",INDEX(Project_Tracker!$AM$2:$AM$101,INT((ROW()-6)/17)+1))</f>
        <v>Chiller Water Unit</v>
      </c>
      <c r="C10" s="20" t="str">
        <f>IF($A10="","",INDEX(Project_Tracker!$C$2:$C$101,INT((ROW()-6)/17)+1))</f>
        <v>冷水机组</v>
      </c>
      <c r="D10" s="6">
        <f>IF($A10="","",INDEX(Project_Tracker!$T$2:$T$101,INT((ROW()-6)/17)+1))</f>
        <v>46244</v>
      </c>
      <c r="E10" s="18">
        <f t="shared" si="0"/>
        <v>5</v>
      </c>
      <c r="F10" s="23" t="str">
        <f>IF($A10="","",INDEX('Logic &amp; Lists'!$I$4:$I$20,$E10))</f>
        <v>底座框架</v>
      </c>
      <c r="G10" s="18">
        <f>IF($A10="","",INDEX('Logic &amp; Lists'!$J$4:$J$20,$E10))</f>
        <v>30</v>
      </c>
      <c r="H10" s="6">
        <f t="shared" si="1"/>
        <v>46214</v>
      </c>
      <c r="I10" s="18">
        <f t="shared" ca="1" si="2"/>
        <v>-38</v>
      </c>
      <c r="J10" s="5" t="str">
        <f t="shared" ca="1" si="3"/>
        <v>OVERDUE</v>
      </c>
      <c r="K10" s="25"/>
      <c r="L10" s="5" t="str">
        <f t="shared" ca="1" si="4"/>
        <v>OVERDUE</v>
      </c>
      <c r="M10" s="7"/>
      <c r="N10" s="7"/>
      <c r="O10" s="7"/>
      <c r="P10" s="20" t="str">
        <f>IF($A10="","",INDEX(Project_Tracker!$I$2:$I$101,INT((ROW()-6)/17)+1))</f>
        <v>PM Owner</v>
      </c>
      <c r="Q10" s="20" t="str">
        <f>IF($A10="","",INDEX(Project_Tracker!$K$2:$K$101,INT((ROW()-6)/17)+1))</f>
        <v>Procurement Owner</v>
      </c>
    </row>
    <row r="11" spans="1:17" x14ac:dyDescent="0.2">
      <c r="A11" s="20">
        <f>IF(INDEX(Project_Tracker!$AL$2:$AL$101,INT((ROW()-6)/17)+1)="","",INDEX(Project_Tracker!$AL$2:$AL$101,INT((ROW()-6)/17)+1))</f>
        <v>123456</v>
      </c>
      <c r="B11" s="21" t="str">
        <f>IF($A11="","",INDEX(Project_Tracker!$AM$2:$AM$101,INT((ROW()-6)/17)+1))</f>
        <v>Chiller Water Unit</v>
      </c>
      <c r="C11" s="20" t="str">
        <f>IF($A11="","",INDEX(Project_Tracker!$C$2:$C$101,INT((ROW()-6)/17)+1))</f>
        <v>冷水机组</v>
      </c>
      <c r="D11" s="6">
        <f>IF($A11="","",INDEX(Project_Tracker!$T$2:$T$101,INT((ROW()-6)/17)+1))</f>
        <v>46244</v>
      </c>
      <c r="E11" s="18">
        <f t="shared" si="0"/>
        <v>6</v>
      </c>
      <c r="F11" s="23" t="str">
        <f>IF($A11="","",INDEX('Logic &amp; Lists'!$I$4:$I$20,$E11))</f>
        <v>干燥过滤器</v>
      </c>
      <c r="G11" s="18">
        <f>IF($A11="","",INDEX('Logic &amp; Lists'!$J$4:$J$20,$E11))</f>
        <v>10</v>
      </c>
      <c r="H11" s="6">
        <f t="shared" si="1"/>
        <v>46234</v>
      </c>
      <c r="I11" s="18">
        <f t="shared" ca="1" si="2"/>
        <v>-18</v>
      </c>
      <c r="J11" s="5" t="str">
        <f t="shared" ca="1" si="3"/>
        <v>OVERDUE</v>
      </c>
      <c r="K11" s="25"/>
      <c r="L11" s="5" t="str">
        <f t="shared" ca="1" si="4"/>
        <v>OVERDUE</v>
      </c>
      <c r="M11" s="7"/>
      <c r="N11" s="7"/>
      <c r="O11" s="7"/>
      <c r="P11" s="20" t="str">
        <f>IF($A11="","",INDEX(Project_Tracker!$I$2:$I$101,INT((ROW()-6)/17)+1))</f>
        <v>PM Owner</v>
      </c>
      <c r="Q11" s="20" t="str">
        <f>IF($A11="","",INDEX(Project_Tracker!$K$2:$K$101,INT((ROW()-6)/17)+1))</f>
        <v>Procurement Owner</v>
      </c>
    </row>
    <row r="12" spans="1:17" x14ac:dyDescent="0.2">
      <c r="A12" s="20">
        <f>IF(INDEX(Project_Tracker!$AL$2:$AL$101,INT((ROW()-6)/17)+1)="","",INDEX(Project_Tracker!$AL$2:$AL$101,INT((ROW()-6)/17)+1))</f>
        <v>123456</v>
      </c>
      <c r="B12" s="21" t="str">
        <f>IF($A12="","",INDEX(Project_Tracker!$AM$2:$AM$101,INT((ROW()-6)/17)+1))</f>
        <v>Chiller Water Unit</v>
      </c>
      <c r="C12" s="20" t="str">
        <f>IF($A12="","",INDEX(Project_Tracker!$C$2:$C$101,INT((ROW()-6)/17)+1))</f>
        <v>冷水机组</v>
      </c>
      <c r="D12" s="6">
        <f>IF($A12="","",INDEX(Project_Tracker!$T$2:$T$101,INT((ROW()-6)/17)+1))</f>
        <v>46244</v>
      </c>
      <c r="E12" s="18">
        <f t="shared" si="0"/>
        <v>7</v>
      </c>
      <c r="F12" s="23" t="str">
        <f>IF($A12="","",INDEX('Logic &amp; Lists'!$I$4:$I$20,$E12))</f>
        <v>油分离器</v>
      </c>
      <c r="G12" s="18">
        <f>IF($A12="","",INDEX('Logic &amp; Lists'!$J$4:$J$20,$E12))</f>
        <v>10</v>
      </c>
      <c r="H12" s="6">
        <f t="shared" si="1"/>
        <v>46234</v>
      </c>
      <c r="I12" s="18">
        <f t="shared" ca="1" si="2"/>
        <v>-18</v>
      </c>
      <c r="J12" s="5" t="str">
        <f t="shared" ca="1" si="3"/>
        <v>OVERDUE</v>
      </c>
      <c r="K12" s="25"/>
      <c r="L12" s="5" t="str">
        <f t="shared" ca="1" si="4"/>
        <v>OVERDUE</v>
      </c>
      <c r="M12" s="7"/>
      <c r="N12" s="7"/>
      <c r="O12" s="7"/>
      <c r="P12" s="20" t="str">
        <f>IF($A12="","",INDEX(Project_Tracker!$I$2:$I$101,INT((ROW()-6)/17)+1))</f>
        <v>PM Owner</v>
      </c>
      <c r="Q12" s="20" t="str">
        <f>IF($A12="","",INDEX(Project_Tracker!$K$2:$K$101,INT((ROW()-6)/17)+1))</f>
        <v>Procurement Owner</v>
      </c>
    </row>
    <row r="13" spans="1:17" x14ac:dyDescent="0.2">
      <c r="A13" s="20">
        <f>IF(INDEX(Project_Tracker!$AL$2:$AL$101,INT((ROW()-6)/17)+1)="","",INDEX(Project_Tracker!$AL$2:$AL$101,INT((ROW()-6)/17)+1))</f>
        <v>123456</v>
      </c>
      <c r="B13" s="21" t="str">
        <f>IF($A13="","",INDEX(Project_Tracker!$AM$2:$AM$101,INT((ROW()-6)/17)+1))</f>
        <v>Chiller Water Unit</v>
      </c>
      <c r="C13" s="20" t="str">
        <f>IF($A13="","",INDEX(Project_Tracker!$C$2:$C$101,INT((ROW()-6)/17)+1))</f>
        <v>冷水机组</v>
      </c>
      <c r="D13" s="6">
        <f>IF($A13="","",INDEX(Project_Tracker!$T$2:$T$101,INT((ROW()-6)/17)+1))</f>
        <v>46244</v>
      </c>
      <c r="E13" s="18">
        <f t="shared" si="0"/>
        <v>8</v>
      </c>
      <c r="F13" s="23" t="str">
        <f>IF($A13="","",INDEX('Logic &amp; Lists'!$I$4:$I$20,$E13))</f>
        <v>阀件类</v>
      </c>
      <c r="G13" s="18">
        <f>IF($A13="","",INDEX('Logic &amp; Lists'!$J$4:$J$20,$E13))</f>
        <v>30</v>
      </c>
      <c r="H13" s="6">
        <f t="shared" si="1"/>
        <v>46214</v>
      </c>
      <c r="I13" s="18">
        <f t="shared" ca="1" si="2"/>
        <v>-38</v>
      </c>
      <c r="J13" s="5" t="str">
        <f t="shared" ca="1" si="3"/>
        <v>OVERDUE</v>
      </c>
      <c r="K13" s="25"/>
      <c r="L13" s="5" t="str">
        <f t="shared" ca="1" si="4"/>
        <v>OVERDUE</v>
      </c>
      <c r="M13" s="7"/>
      <c r="N13" s="7"/>
      <c r="O13" s="7"/>
      <c r="P13" s="20" t="str">
        <f>IF($A13="","",INDEX(Project_Tracker!$I$2:$I$101,INT((ROW()-6)/17)+1))</f>
        <v>PM Owner</v>
      </c>
      <c r="Q13" s="20" t="str">
        <f>IF($A13="","",INDEX(Project_Tracker!$K$2:$K$101,INT((ROW()-6)/17)+1))</f>
        <v>Procurement Owner</v>
      </c>
    </row>
    <row r="14" spans="1:17" x14ac:dyDescent="0.2">
      <c r="A14" s="20">
        <f>IF(INDEX(Project_Tracker!$AL$2:$AL$101,INT((ROW()-6)/17)+1)="","",INDEX(Project_Tracker!$AL$2:$AL$101,INT((ROW()-6)/17)+1))</f>
        <v>123456</v>
      </c>
      <c r="B14" s="21" t="str">
        <f>IF($A14="","",INDEX(Project_Tracker!$AM$2:$AM$101,INT((ROW()-6)/17)+1))</f>
        <v>Chiller Water Unit</v>
      </c>
      <c r="C14" s="20" t="str">
        <f>IF($A14="","",INDEX(Project_Tracker!$C$2:$C$101,INT((ROW()-6)/17)+1))</f>
        <v>冷水机组</v>
      </c>
      <c r="D14" s="6">
        <f>IF($A14="","",INDEX(Project_Tracker!$T$2:$T$101,INT((ROW()-6)/17)+1))</f>
        <v>46244</v>
      </c>
      <c r="E14" s="18">
        <f t="shared" si="0"/>
        <v>9</v>
      </c>
      <c r="F14" s="23" t="str">
        <f>IF($A14="","",INDEX('Logic &amp; Lists'!$I$4:$I$20,$E14))</f>
        <v>橡胶软接头 / RUBBER FLEXIBLE JOINT</v>
      </c>
      <c r="G14" s="18">
        <f>IF($A14="","",INDEX('Logic &amp; Lists'!$J$4:$J$20,$E14))</f>
        <v>30</v>
      </c>
      <c r="H14" s="6">
        <f t="shared" si="1"/>
        <v>46214</v>
      </c>
      <c r="I14" s="18">
        <f t="shared" ca="1" si="2"/>
        <v>-38</v>
      </c>
      <c r="J14" s="5" t="str">
        <f t="shared" ca="1" si="3"/>
        <v>OVERDUE</v>
      </c>
      <c r="K14" s="25"/>
      <c r="L14" s="5" t="str">
        <f t="shared" ca="1" si="4"/>
        <v>OVERDUE</v>
      </c>
      <c r="M14" s="7"/>
      <c r="N14" s="7"/>
      <c r="O14" s="7"/>
      <c r="P14" s="20" t="str">
        <f>IF($A14="","",INDEX(Project_Tracker!$I$2:$I$101,INT((ROW()-6)/17)+1))</f>
        <v>PM Owner</v>
      </c>
      <c r="Q14" s="20" t="str">
        <f>IF($A14="","",INDEX(Project_Tracker!$K$2:$K$101,INT((ROW()-6)/17)+1))</f>
        <v>Procurement Owner</v>
      </c>
    </row>
    <row r="15" spans="1:17" x14ac:dyDescent="0.2">
      <c r="A15" s="20">
        <f>IF(INDEX(Project_Tracker!$AL$2:$AL$101,INT((ROW()-6)/17)+1)="","",INDEX(Project_Tracker!$AL$2:$AL$101,INT((ROW()-6)/17)+1))</f>
        <v>123456</v>
      </c>
      <c r="B15" s="21" t="str">
        <f>IF($A15="","",INDEX(Project_Tracker!$AM$2:$AM$101,INT((ROW()-6)/17)+1))</f>
        <v>Chiller Water Unit</v>
      </c>
      <c r="C15" s="20" t="str">
        <f>IF($A15="","",INDEX(Project_Tracker!$C$2:$C$101,INT((ROW()-6)/17)+1))</f>
        <v>冷水机组</v>
      </c>
      <c r="D15" s="6">
        <f>IF($A15="","",INDEX(Project_Tracker!$T$2:$T$101,INT((ROW()-6)/17)+1))</f>
        <v>46244</v>
      </c>
      <c r="E15" s="18">
        <f t="shared" si="0"/>
        <v>10</v>
      </c>
      <c r="F15" s="23" t="str">
        <f>IF($A15="","",INDEX('Logic &amp; Lists'!$I$4:$I$20,$E15))</f>
        <v>减震垫 / DAMPING PAD VCS</v>
      </c>
      <c r="G15" s="18">
        <f>IF($A15="","",INDEX('Logic &amp; Lists'!$J$4:$J$20,$E15))</f>
        <v>30</v>
      </c>
      <c r="H15" s="6">
        <f t="shared" si="1"/>
        <v>46214</v>
      </c>
      <c r="I15" s="18">
        <f t="shared" ca="1" si="2"/>
        <v>-38</v>
      </c>
      <c r="J15" s="5" t="str">
        <f t="shared" ca="1" si="3"/>
        <v>OVERDUE</v>
      </c>
      <c r="K15" s="25"/>
      <c r="L15" s="5" t="str">
        <f t="shared" ca="1" si="4"/>
        <v>OVERDUE</v>
      </c>
      <c r="M15" s="7"/>
      <c r="N15" s="7"/>
      <c r="O15" s="7"/>
      <c r="P15" s="20" t="str">
        <f>IF($A15="","",INDEX(Project_Tracker!$I$2:$I$101,INT((ROW()-6)/17)+1))</f>
        <v>PM Owner</v>
      </c>
      <c r="Q15" s="20" t="str">
        <f>IF($A15="","",INDEX(Project_Tracker!$K$2:$K$101,INT((ROW()-6)/17)+1))</f>
        <v>Procurement Owner</v>
      </c>
    </row>
    <row r="16" spans="1:17" x14ac:dyDescent="0.2">
      <c r="A16" s="20">
        <f>IF(INDEX(Project_Tracker!$AL$2:$AL$101,INT((ROW()-6)/17)+1)="","",INDEX(Project_Tracker!$AL$2:$AL$101,INT((ROW()-6)/17)+1))</f>
        <v>123456</v>
      </c>
      <c r="B16" s="21" t="str">
        <f>IF($A16="","",INDEX(Project_Tracker!$AM$2:$AM$101,INT((ROW()-6)/17)+1))</f>
        <v>Chiller Water Unit</v>
      </c>
      <c r="C16" s="20" t="str">
        <f>IF($A16="","",INDEX(Project_Tracker!$C$2:$C$101,INT((ROW()-6)/17)+1))</f>
        <v>冷水机组</v>
      </c>
      <c r="D16" s="6">
        <f>IF($A16="","",INDEX(Project_Tracker!$T$2:$T$101,INT((ROW()-6)/17)+1))</f>
        <v>46244</v>
      </c>
      <c r="E16" s="18">
        <f t="shared" si="0"/>
        <v>11</v>
      </c>
      <c r="F16" s="23" t="str">
        <f>IF($A16="","",INDEX('Logic &amp; Lists'!$I$4:$I$20,$E16))</f>
        <v>铜管及配套弯头</v>
      </c>
      <c r="G16" s="18">
        <f>IF($A16="","",INDEX('Logic &amp; Lists'!$J$4:$J$20,$E16))</f>
        <v>10</v>
      </c>
      <c r="H16" s="6">
        <f t="shared" si="1"/>
        <v>46234</v>
      </c>
      <c r="I16" s="18">
        <f t="shared" ca="1" si="2"/>
        <v>-18</v>
      </c>
      <c r="J16" s="5" t="str">
        <f t="shared" ca="1" si="3"/>
        <v>OVERDUE</v>
      </c>
      <c r="K16" s="25"/>
      <c r="L16" s="5" t="str">
        <f t="shared" ca="1" si="4"/>
        <v>OVERDUE</v>
      </c>
      <c r="M16" s="7"/>
      <c r="N16" s="7"/>
      <c r="O16" s="7"/>
      <c r="P16" s="20" t="str">
        <f>IF($A16="","",INDEX(Project_Tracker!$I$2:$I$101,INT((ROW()-6)/17)+1))</f>
        <v>PM Owner</v>
      </c>
      <c r="Q16" s="20" t="str">
        <f>IF($A16="","",INDEX(Project_Tracker!$K$2:$K$101,INT((ROW()-6)/17)+1))</f>
        <v>Procurement Owner</v>
      </c>
    </row>
    <row r="17" spans="1:17" x14ac:dyDescent="0.2">
      <c r="A17" s="20">
        <f>IF(INDEX(Project_Tracker!$AL$2:$AL$101,INT((ROW()-6)/17)+1)="","",INDEX(Project_Tracker!$AL$2:$AL$101,INT((ROW()-6)/17)+1))</f>
        <v>123456</v>
      </c>
      <c r="B17" s="21" t="str">
        <f>IF($A17="","",INDEX(Project_Tracker!$AM$2:$AM$101,INT((ROW()-6)/17)+1))</f>
        <v>Chiller Water Unit</v>
      </c>
      <c r="C17" s="20" t="str">
        <f>IF($A17="","",INDEX(Project_Tracker!$C$2:$C$101,INT((ROW()-6)/17)+1))</f>
        <v>冷水机组</v>
      </c>
      <c r="D17" s="6">
        <f>IF($A17="","",INDEX(Project_Tracker!$T$2:$T$101,INT((ROW()-6)/17)+1))</f>
        <v>46244</v>
      </c>
      <c r="E17" s="18">
        <f t="shared" si="0"/>
        <v>12</v>
      </c>
      <c r="F17" s="23" t="str">
        <f>IF($A17="","",INDEX('Logic &amp; Lists'!$I$4:$I$20,$E17))</f>
        <v>仪器仪表</v>
      </c>
      <c r="G17" s="18">
        <f>IF($A17="","",INDEX('Logic &amp; Lists'!$J$4:$J$20,$E17))</f>
        <v>60</v>
      </c>
      <c r="H17" s="6">
        <f t="shared" si="1"/>
        <v>46184</v>
      </c>
      <c r="I17" s="18">
        <f t="shared" ca="1" si="2"/>
        <v>-68</v>
      </c>
      <c r="J17" s="5" t="str">
        <f t="shared" ca="1" si="3"/>
        <v>OVERDUE</v>
      </c>
      <c r="K17" s="25"/>
      <c r="L17" s="5" t="str">
        <f t="shared" ca="1" si="4"/>
        <v>OVERDUE</v>
      </c>
      <c r="M17" s="7"/>
      <c r="N17" s="7"/>
      <c r="O17" s="7"/>
      <c r="P17" s="20" t="str">
        <f>IF($A17="","",INDEX(Project_Tracker!$I$2:$I$101,INT((ROW()-6)/17)+1))</f>
        <v>PM Owner</v>
      </c>
      <c r="Q17" s="20" t="str">
        <f>IF($A17="","",INDEX(Project_Tracker!$K$2:$K$101,INT((ROW()-6)/17)+1))</f>
        <v>Procurement Owner</v>
      </c>
    </row>
    <row r="18" spans="1:17" x14ac:dyDescent="0.2">
      <c r="A18" s="20">
        <f>IF(INDEX(Project_Tracker!$AL$2:$AL$101,INT((ROW()-6)/17)+1)="","",INDEX(Project_Tracker!$AL$2:$AL$101,INT((ROW()-6)/17)+1))</f>
        <v>123456</v>
      </c>
      <c r="B18" s="21" t="str">
        <f>IF($A18="","",INDEX(Project_Tracker!$AM$2:$AM$101,INT((ROW()-6)/17)+1))</f>
        <v>Chiller Water Unit</v>
      </c>
      <c r="C18" s="20" t="str">
        <f>IF($A18="","",INDEX(Project_Tracker!$C$2:$C$101,INT((ROW()-6)/17)+1))</f>
        <v>冷水机组</v>
      </c>
      <c r="D18" s="6">
        <f>IF($A18="","",INDEX(Project_Tracker!$T$2:$T$101,INT((ROW()-6)/17)+1))</f>
        <v>46244</v>
      </c>
      <c r="E18" s="18">
        <f t="shared" si="0"/>
        <v>13</v>
      </c>
      <c r="F18" s="23" t="str">
        <f>IF($A18="","",INDEX('Logic &amp; Lists'!$I$4:$I$20,$E18))</f>
        <v>电箱（FUCA）</v>
      </c>
      <c r="G18" s="18">
        <f>IF($A18="","",INDEX('Logic &amp; Lists'!$J$4:$J$20,$E18))</f>
        <v>45</v>
      </c>
      <c r="H18" s="6">
        <f t="shared" si="1"/>
        <v>46199</v>
      </c>
      <c r="I18" s="18">
        <f t="shared" ca="1" si="2"/>
        <v>-53</v>
      </c>
      <c r="J18" s="5" t="str">
        <f t="shared" ca="1" si="3"/>
        <v>OVERDUE</v>
      </c>
      <c r="K18" s="25"/>
      <c r="L18" s="5" t="str">
        <f t="shared" ca="1" si="4"/>
        <v>OVERDUE</v>
      </c>
      <c r="M18" s="7"/>
      <c r="N18" s="7"/>
      <c r="O18" s="7"/>
      <c r="P18" s="20" t="str">
        <f>IF($A18="","",INDEX(Project_Tracker!$I$2:$I$101,INT((ROW()-6)/17)+1))</f>
        <v>PM Owner</v>
      </c>
      <c r="Q18" s="20" t="str">
        <f>IF($A18="","",INDEX(Project_Tracker!$K$2:$K$101,INT((ROW()-6)/17)+1))</f>
        <v>Procurement Owner</v>
      </c>
    </row>
    <row r="19" spans="1:17" x14ac:dyDescent="0.2">
      <c r="A19" s="20">
        <f>IF(INDEX(Project_Tracker!$AL$2:$AL$101,INT((ROW()-6)/17)+1)="","",INDEX(Project_Tracker!$AL$2:$AL$101,INT((ROW()-6)/17)+1))</f>
        <v>123456</v>
      </c>
      <c r="B19" s="21" t="str">
        <f>IF($A19="","",INDEX(Project_Tracker!$AM$2:$AM$101,INT((ROW()-6)/17)+1))</f>
        <v>Chiller Water Unit</v>
      </c>
      <c r="C19" s="20" t="str">
        <f>IF($A19="","",INDEX(Project_Tracker!$C$2:$C$101,INT((ROW()-6)/17)+1))</f>
        <v>冷水机组</v>
      </c>
      <c r="D19" s="6">
        <f>IF($A19="","",INDEX(Project_Tracker!$T$2:$T$101,INT((ROW()-6)/17)+1))</f>
        <v>46244</v>
      </c>
      <c r="E19" s="18">
        <f t="shared" si="0"/>
        <v>14</v>
      </c>
      <c r="F19" s="23" t="str">
        <f>IF($A19="","",INDEX('Logic &amp; Lists'!$I$4:$I$20,$E19))</f>
        <v>填料函</v>
      </c>
      <c r="G19" s="18">
        <f>IF($A19="","",INDEX('Logic &amp; Lists'!$J$4:$J$20,$E19))</f>
        <v>30</v>
      </c>
      <c r="H19" s="6">
        <f t="shared" si="1"/>
        <v>46214</v>
      </c>
      <c r="I19" s="18">
        <f t="shared" ca="1" si="2"/>
        <v>-38</v>
      </c>
      <c r="J19" s="5" t="str">
        <f t="shared" ca="1" si="3"/>
        <v>OVERDUE</v>
      </c>
      <c r="K19" s="25"/>
      <c r="L19" s="5" t="str">
        <f t="shared" ca="1" si="4"/>
        <v>OVERDUE</v>
      </c>
      <c r="M19" s="7"/>
      <c r="N19" s="7"/>
      <c r="O19" s="7"/>
      <c r="P19" s="20" t="str">
        <f>IF($A19="","",INDEX(Project_Tracker!$I$2:$I$101,INT((ROW()-6)/17)+1))</f>
        <v>PM Owner</v>
      </c>
      <c r="Q19" s="20" t="str">
        <f>IF($A19="","",INDEX(Project_Tracker!$K$2:$K$101,INT((ROW()-6)/17)+1))</f>
        <v>Procurement Owner</v>
      </c>
    </row>
    <row r="20" spans="1:17" x14ac:dyDescent="0.2">
      <c r="A20" s="20">
        <f>IF(INDEX(Project_Tracker!$AL$2:$AL$101,INT((ROW()-6)/17)+1)="","",INDEX(Project_Tracker!$AL$2:$AL$101,INT((ROW()-6)/17)+1))</f>
        <v>123456</v>
      </c>
      <c r="B20" s="21" t="str">
        <f>IF($A20="","",INDEX(Project_Tracker!$AM$2:$AM$101,INT((ROW()-6)/17)+1))</f>
        <v>Chiller Water Unit</v>
      </c>
      <c r="C20" s="20" t="str">
        <f>IF($A20="","",INDEX(Project_Tracker!$C$2:$C$101,INT((ROW()-6)/17)+1))</f>
        <v>冷水机组</v>
      </c>
      <c r="D20" s="6">
        <f>IF($A20="","",INDEX(Project_Tracker!$T$2:$T$101,INT((ROW()-6)/17)+1))</f>
        <v>46244</v>
      </c>
      <c r="E20" s="18">
        <f t="shared" si="0"/>
        <v>15</v>
      </c>
      <c r="F20" s="23" t="str">
        <f>IF($A20="","",INDEX('Logic &amp; Lists'!$I$4:$I$20,$E20))</f>
        <v>电缆</v>
      </c>
      <c r="G20" s="18">
        <f>IF($A20="","",INDEX('Logic &amp; Lists'!$J$4:$J$20,$E20))</f>
        <v>30</v>
      </c>
      <c r="H20" s="6">
        <f t="shared" si="1"/>
        <v>46214</v>
      </c>
      <c r="I20" s="18">
        <f t="shared" ca="1" si="2"/>
        <v>-38</v>
      </c>
      <c r="J20" s="5" t="str">
        <f t="shared" ca="1" si="3"/>
        <v>OVERDUE</v>
      </c>
      <c r="K20" s="25"/>
      <c r="L20" s="5" t="str">
        <f t="shared" ca="1" si="4"/>
        <v>OVERDUE</v>
      </c>
      <c r="M20" s="7"/>
      <c r="N20" s="7"/>
      <c r="O20" s="7"/>
      <c r="P20" s="20" t="str">
        <f>IF($A20="","",INDEX(Project_Tracker!$I$2:$I$101,INT((ROW()-6)/17)+1))</f>
        <v>PM Owner</v>
      </c>
      <c r="Q20" s="20" t="str">
        <f>IF($A20="","",INDEX(Project_Tracker!$K$2:$K$101,INT((ROW()-6)/17)+1))</f>
        <v>Procurement Owner</v>
      </c>
    </row>
    <row r="21" spans="1:17" x14ac:dyDescent="0.2">
      <c r="A21" s="20">
        <f>IF(INDEX(Project_Tracker!$AL$2:$AL$101,INT((ROW()-6)/17)+1)="","",INDEX(Project_Tracker!$AL$2:$AL$101,INT((ROW()-6)/17)+1))</f>
        <v>123456</v>
      </c>
      <c r="B21" s="21" t="str">
        <f>IF($A21="","",INDEX(Project_Tracker!$AM$2:$AM$101,INT((ROW()-6)/17)+1))</f>
        <v>Chiller Water Unit</v>
      </c>
      <c r="C21" s="20" t="str">
        <f>IF($A21="","",INDEX(Project_Tracker!$C$2:$C$101,INT((ROW()-6)/17)+1))</f>
        <v>冷水机组</v>
      </c>
      <c r="D21" s="6">
        <f>IF($A21="","",INDEX(Project_Tracker!$T$2:$T$101,INT((ROW()-6)/17)+1))</f>
        <v>46244</v>
      </c>
      <c r="E21" s="18">
        <f t="shared" si="0"/>
        <v>16</v>
      </c>
      <c r="F21" s="23" t="str">
        <f>IF($A21="","",INDEX('Logic &amp; Lists'!$I$4:$I$20,$E21))</f>
        <v>保温材料</v>
      </c>
      <c r="G21" s="18">
        <f>IF($A21="","",INDEX('Logic &amp; Lists'!$J$4:$J$20,$E21))</f>
        <v>25</v>
      </c>
      <c r="H21" s="6">
        <f t="shared" si="1"/>
        <v>46219</v>
      </c>
      <c r="I21" s="18">
        <f t="shared" ca="1" si="2"/>
        <v>-33</v>
      </c>
      <c r="J21" s="5" t="str">
        <f t="shared" ca="1" si="3"/>
        <v>OVERDUE</v>
      </c>
      <c r="K21" s="25"/>
      <c r="L21" s="5" t="str">
        <f t="shared" ca="1" si="4"/>
        <v>OVERDUE</v>
      </c>
      <c r="M21" s="7"/>
      <c r="N21" s="7"/>
      <c r="O21" s="7"/>
      <c r="P21" s="20" t="str">
        <f>IF($A21="","",INDEX(Project_Tracker!$I$2:$I$101,INT((ROW()-6)/17)+1))</f>
        <v>PM Owner</v>
      </c>
      <c r="Q21" s="20" t="str">
        <f>IF($A21="","",INDEX(Project_Tracker!$K$2:$K$101,INT((ROW()-6)/17)+1))</f>
        <v>Procurement Owner</v>
      </c>
    </row>
    <row r="22" spans="1:17" x14ac:dyDescent="0.2">
      <c r="A22" s="20">
        <f>IF(INDEX(Project_Tracker!$AL$2:$AL$101,INT((ROW()-6)/17)+1)="","",INDEX(Project_Tracker!$AL$2:$AL$101,INT((ROW()-6)/17)+1))</f>
        <v>123456</v>
      </c>
      <c r="B22" s="21" t="str">
        <f>IF($A22="","",INDEX(Project_Tracker!$AM$2:$AM$101,INT((ROW()-6)/17)+1))</f>
        <v>Chiller Water Unit</v>
      </c>
      <c r="C22" s="20" t="str">
        <f>IF($A22="","",INDEX(Project_Tracker!$C$2:$C$101,INT((ROW()-6)/17)+1))</f>
        <v>冷水机组</v>
      </c>
      <c r="D22" s="6">
        <f>IF($A22="","",INDEX(Project_Tracker!$T$2:$T$101,INT((ROW()-6)/17)+1))</f>
        <v>46244</v>
      </c>
      <c r="E22" s="18">
        <f t="shared" si="0"/>
        <v>17</v>
      </c>
      <c r="F22" s="23" t="str">
        <f>IF($A22="","",INDEX('Logic &amp; Lists'!$I$4:$I$20,$E22))</f>
        <v>生产辅料</v>
      </c>
      <c r="G22" s="18">
        <f>IF($A22="","",INDEX('Logic &amp; Lists'!$J$4:$J$20,$E22))</f>
        <v>5</v>
      </c>
      <c r="H22" s="6">
        <f t="shared" si="1"/>
        <v>46239</v>
      </c>
      <c r="I22" s="18">
        <f t="shared" ca="1" si="2"/>
        <v>-13</v>
      </c>
      <c r="J22" s="5" t="str">
        <f t="shared" ca="1" si="3"/>
        <v>OVERDUE</v>
      </c>
      <c r="K22" s="25"/>
      <c r="L22" s="5" t="str">
        <f t="shared" ca="1" si="4"/>
        <v>OVERDUE</v>
      </c>
      <c r="M22" s="7"/>
      <c r="N22" s="7"/>
      <c r="O22" s="7"/>
      <c r="P22" s="20" t="str">
        <f>IF($A22="","",INDEX(Project_Tracker!$I$2:$I$101,INT((ROW()-6)/17)+1))</f>
        <v>PM Owner</v>
      </c>
      <c r="Q22" s="20" t="str">
        <f>IF($A22="","",INDEX(Project_Tracker!$K$2:$K$101,INT((ROW()-6)/17)+1))</f>
        <v>Procurement Owner</v>
      </c>
    </row>
    <row r="23" spans="1:17" ht="22" customHeight="1" x14ac:dyDescent="0.2">
      <c r="A23" s="20" t="str">
        <f>IF(INDEX(Project_Tracker!$AL$2:$AL$101,INT((ROW()-6)/17)+1)="","",INDEX(Project_Tracker!$AL$2:$AL$101,INT((ROW()-6)/17)+1))</f>
        <v/>
      </c>
      <c r="B23" s="21" t="str">
        <f>IF($A23="","",INDEX(Project_Tracker!$AM$2:$AM$101,INT((ROW()-6)/17)+1))</f>
        <v/>
      </c>
      <c r="C23" s="20" t="str">
        <f>IF($A23="","",INDEX(Project_Tracker!$C$2:$C$101,INT((ROW()-6)/17)+1))</f>
        <v/>
      </c>
      <c r="D23" s="6" t="str">
        <f>IF($A23="","",INDEX(Project_Tracker!$T$2:$T$101,INT((ROW()-6)/17)+1))</f>
        <v/>
      </c>
      <c r="E23" s="18">
        <f t="shared" si="0"/>
        <v>1</v>
      </c>
      <c r="F23" s="23" t="str">
        <f>IF($A23="","",INDEX('Logic &amp; Lists'!$I$4:$I$20,$E23))</f>
        <v/>
      </c>
      <c r="G23" s="18" t="str">
        <f>IF($A23="","",INDEX('Logic &amp; Lists'!$J$4:$J$20,$E23))</f>
        <v/>
      </c>
      <c r="H23" s="6" t="str">
        <f t="shared" si="1"/>
        <v/>
      </c>
      <c r="I23" s="18" t="str">
        <f t="shared" ca="1" si="2"/>
        <v/>
      </c>
      <c r="J23" s="5" t="str">
        <f t="shared" si="3"/>
        <v/>
      </c>
      <c r="K23" s="25"/>
      <c r="L23" s="5" t="str">
        <f t="shared" si="4"/>
        <v/>
      </c>
      <c r="M23" s="7"/>
      <c r="N23" s="7"/>
      <c r="O23" s="7"/>
      <c r="P23" s="20" t="str">
        <f>IF($A23="","",INDEX(Project_Tracker!$I$2:$I$101,INT((ROW()-6)/17)+1))</f>
        <v/>
      </c>
      <c r="Q23" s="20" t="str">
        <f>IF($A23="","",INDEX(Project_Tracker!$K$2:$K$101,INT((ROW()-6)/17)+1))</f>
        <v/>
      </c>
    </row>
    <row r="24" spans="1:17" x14ac:dyDescent="0.2">
      <c r="A24" s="20" t="str">
        <f>IF(INDEX(Project_Tracker!$AL$2:$AL$101,INT((ROW()-6)/17)+1)="","",INDEX(Project_Tracker!$AL$2:$AL$101,INT((ROW()-6)/17)+1))</f>
        <v/>
      </c>
      <c r="B24" s="21" t="str">
        <f>IF($A24="","",INDEX(Project_Tracker!$AM$2:$AM$101,INT((ROW()-6)/17)+1))</f>
        <v/>
      </c>
      <c r="C24" s="20" t="str">
        <f>IF($A24="","",INDEX(Project_Tracker!$C$2:$C$101,INT((ROW()-6)/17)+1))</f>
        <v/>
      </c>
      <c r="D24" s="6" t="str">
        <f>IF($A24="","",INDEX(Project_Tracker!$T$2:$T$101,INT((ROW()-6)/17)+1))</f>
        <v/>
      </c>
      <c r="E24" s="18">
        <f t="shared" si="0"/>
        <v>2</v>
      </c>
      <c r="F24" s="23" t="str">
        <f>IF($A24="","",INDEX('Logic &amp; Lists'!$I$4:$I$20,$E24))</f>
        <v/>
      </c>
      <c r="G24" s="18" t="str">
        <f>IF($A24="","",INDEX('Logic &amp; Lists'!$J$4:$J$20,$E24))</f>
        <v/>
      </c>
      <c r="H24" s="6" t="str">
        <f t="shared" si="1"/>
        <v/>
      </c>
      <c r="I24" s="18" t="str">
        <f t="shared" ca="1" si="2"/>
        <v/>
      </c>
      <c r="J24" s="5" t="str">
        <f t="shared" si="3"/>
        <v/>
      </c>
      <c r="K24" s="25"/>
      <c r="L24" s="5" t="str">
        <f t="shared" si="4"/>
        <v/>
      </c>
      <c r="M24" s="7"/>
      <c r="N24" s="7"/>
      <c r="O24" s="7"/>
      <c r="P24" s="20" t="str">
        <f>IF($A24="","",INDEX(Project_Tracker!$I$2:$I$101,INT((ROW()-6)/17)+1))</f>
        <v/>
      </c>
      <c r="Q24" s="20" t="str">
        <f>IF($A24="","",INDEX(Project_Tracker!$K$2:$K$101,INT((ROW()-6)/17)+1))</f>
        <v/>
      </c>
    </row>
    <row r="25" spans="1:17" x14ac:dyDescent="0.2">
      <c r="A25" s="20" t="str">
        <f>IF(INDEX(Project_Tracker!$AL$2:$AL$101,INT((ROW()-6)/17)+1)="","",INDEX(Project_Tracker!$AL$2:$AL$101,INT((ROW()-6)/17)+1))</f>
        <v/>
      </c>
      <c r="B25" s="21" t="str">
        <f>IF($A25="","",INDEX(Project_Tracker!$AM$2:$AM$101,INT((ROW()-6)/17)+1))</f>
        <v/>
      </c>
      <c r="C25" s="20" t="str">
        <f>IF($A25="","",INDEX(Project_Tracker!$C$2:$C$101,INT((ROW()-6)/17)+1))</f>
        <v/>
      </c>
      <c r="D25" s="6" t="str">
        <f>IF($A25="","",INDEX(Project_Tracker!$T$2:$T$101,INT((ROW()-6)/17)+1))</f>
        <v/>
      </c>
      <c r="E25" s="18">
        <f t="shared" si="0"/>
        <v>3</v>
      </c>
      <c r="F25" s="23" t="str">
        <f>IF($A25="","",INDEX('Logic &amp; Lists'!$I$4:$I$20,$E25))</f>
        <v/>
      </c>
      <c r="G25" s="18" t="str">
        <f>IF($A25="","",INDEX('Logic &amp; Lists'!$J$4:$J$20,$E25))</f>
        <v/>
      </c>
      <c r="H25" s="6" t="str">
        <f t="shared" si="1"/>
        <v/>
      </c>
      <c r="I25" s="18" t="str">
        <f t="shared" ca="1" si="2"/>
        <v/>
      </c>
      <c r="J25" s="5" t="str">
        <f t="shared" si="3"/>
        <v/>
      </c>
      <c r="K25" s="25"/>
      <c r="L25" s="5" t="str">
        <f t="shared" si="4"/>
        <v/>
      </c>
      <c r="M25" s="7"/>
      <c r="N25" s="7"/>
      <c r="O25" s="7"/>
      <c r="P25" s="20" t="str">
        <f>IF($A25="","",INDEX(Project_Tracker!$I$2:$I$101,INT((ROW()-6)/17)+1))</f>
        <v/>
      </c>
      <c r="Q25" s="20" t="str">
        <f>IF($A25="","",INDEX(Project_Tracker!$K$2:$K$101,INT((ROW()-6)/17)+1))</f>
        <v/>
      </c>
    </row>
    <row r="26" spans="1:17" x14ac:dyDescent="0.2">
      <c r="A26" s="20" t="str">
        <f>IF(INDEX(Project_Tracker!$AL$2:$AL$101,INT((ROW()-6)/17)+1)="","",INDEX(Project_Tracker!$AL$2:$AL$101,INT((ROW()-6)/17)+1))</f>
        <v/>
      </c>
      <c r="B26" s="21" t="str">
        <f>IF($A26="","",INDEX(Project_Tracker!$AM$2:$AM$101,INT((ROW()-6)/17)+1))</f>
        <v/>
      </c>
      <c r="C26" s="20" t="str">
        <f>IF($A26="","",INDEX(Project_Tracker!$C$2:$C$101,INT((ROW()-6)/17)+1))</f>
        <v/>
      </c>
      <c r="D26" s="6" t="str">
        <f>IF($A26="","",INDEX(Project_Tracker!$T$2:$T$101,INT((ROW()-6)/17)+1))</f>
        <v/>
      </c>
      <c r="E26" s="18">
        <f t="shared" si="0"/>
        <v>4</v>
      </c>
      <c r="F26" s="23" t="str">
        <f>IF($A26="","",INDEX('Logic &amp; Lists'!$I$4:$I$20,$E26))</f>
        <v/>
      </c>
      <c r="G26" s="18" t="str">
        <f>IF($A26="","",INDEX('Logic &amp; Lists'!$J$4:$J$20,$E26))</f>
        <v/>
      </c>
      <c r="H26" s="6" t="str">
        <f t="shared" si="1"/>
        <v/>
      </c>
      <c r="I26" s="18" t="str">
        <f t="shared" ca="1" si="2"/>
        <v/>
      </c>
      <c r="J26" s="5" t="str">
        <f t="shared" si="3"/>
        <v/>
      </c>
      <c r="K26" s="25"/>
      <c r="L26" s="5" t="str">
        <f t="shared" si="4"/>
        <v/>
      </c>
      <c r="M26" s="7"/>
      <c r="N26" s="7"/>
      <c r="O26" s="7"/>
      <c r="P26" s="20" t="str">
        <f>IF($A26="","",INDEX(Project_Tracker!$I$2:$I$101,INT((ROW()-6)/17)+1))</f>
        <v/>
      </c>
      <c r="Q26" s="20" t="str">
        <f>IF($A26="","",INDEX(Project_Tracker!$K$2:$K$101,INT((ROW()-6)/17)+1))</f>
        <v/>
      </c>
    </row>
    <row r="27" spans="1:17" x14ac:dyDescent="0.2">
      <c r="A27" s="20" t="str">
        <f>IF(INDEX(Project_Tracker!$AL$2:$AL$101,INT((ROW()-6)/17)+1)="","",INDEX(Project_Tracker!$AL$2:$AL$101,INT((ROW()-6)/17)+1))</f>
        <v/>
      </c>
      <c r="B27" s="21" t="str">
        <f>IF($A27="","",INDEX(Project_Tracker!$AM$2:$AM$101,INT((ROW()-6)/17)+1))</f>
        <v/>
      </c>
      <c r="C27" s="20" t="str">
        <f>IF($A27="","",INDEX(Project_Tracker!$C$2:$C$101,INT((ROW()-6)/17)+1))</f>
        <v/>
      </c>
      <c r="D27" s="6" t="str">
        <f>IF($A27="","",INDEX(Project_Tracker!$T$2:$T$101,INT((ROW()-6)/17)+1))</f>
        <v/>
      </c>
      <c r="E27" s="18">
        <f t="shared" si="0"/>
        <v>5</v>
      </c>
      <c r="F27" s="23" t="str">
        <f>IF($A27="","",INDEX('Logic &amp; Lists'!$I$4:$I$20,$E27))</f>
        <v/>
      </c>
      <c r="G27" s="18" t="str">
        <f>IF($A27="","",INDEX('Logic &amp; Lists'!$J$4:$J$20,$E27))</f>
        <v/>
      </c>
      <c r="H27" s="6" t="str">
        <f t="shared" si="1"/>
        <v/>
      </c>
      <c r="I27" s="18" t="str">
        <f t="shared" ca="1" si="2"/>
        <v/>
      </c>
      <c r="J27" s="5" t="str">
        <f t="shared" si="3"/>
        <v/>
      </c>
      <c r="K27" s="25"/>
      <c r="L27" s="5" t="str">
        <f t="shared" si="4"/>
        <v/>
      </c>
      <c r="M27" s="7"/>
      <c r="N27" s="7"/>
      <c r="O27" s="7"/>
      <c r="P27" s="20" t="str">
        <f>IF($A27="","",INDEX(Project_Tracker!$I$2:$I$101,INT((ROW()-6)/17)+1))</f>
        <v/>
      </c>
      <c r="Q27" s="20" t="str">
        <f>IF($A27="","",INDEX(Project_Tracker!$K$2:$K$101,INT((ROW()-6)/17)+1))</f>
        <v/>
      </c>
    </row>
    <row r="28" spans="1:17" x14ac:dyDescent="0.2">
      <c r="A28" s="20" t="str">
        <f>IF(INDEX(Project_Tracker!$AL$2:$AL$101,INT((ROW()-6)/17)+1)="","",INDEX(Project_Tracker!$AL$2:$AL$101,INT((ROW()-6)/17)+1))</f>
        <v/>
      </c>
      <c r="B28" s="21" t="str">
        <f>IF($A28="","",INDEX(Project_Tracker!$AM$2:$AM$101,INT((ROW()-6)/17)+1))</f>
        <v/>
      </c>
      <c r="C28" s="20" t="str">
        <f>IF($A28="","",INDEX(Project_Tracker!$C$2:$C$101,INT((ROW()-6)/17)+1))</f>
        <v/>
      </c>
      <c r="D28" s="6" t="str">
        <f>IF($A28="","",INDEX(Project_Tracker!$T$2:$T$101,INT((ROW()-6)/17)+1))</f>
        <v/>
      </c>
      <c r="E28" s="18">
        <f t="shared" si="0"/>
        <v>6</v>
      </c>
      <c r="F28" s="23" t="str">
        <f>IF($A28="","",INDEX('Logic &amp; Lists'!$I$4:$I$20,$E28))</f>
        <v/>
      </c>
      <c r="G28" s="18" t="str">
        <f>IF($A28="","",INDEX('Logic &amp; Lists'!$J$4:$J$20,$E28))</f>
        <v/>
      </c>
      <c r="H28" s="6" t="str">
        <f t="shared" si="1"/>
        <v/>
      </c>
      <c r="I28" s="18" t="str">
        <f t="shared" ca="1" si="2"/>
        <v/>
      </c>
      <c r="J28" s="5" t="str">
        <f t="shared" si="3"/>
        <v/>
      </c>
      <c r="K28" s="25"/>
      <c r="L28" s="5" t="str">
        <f t="shared" si="4"/>
        <v/>
      </c>
      <c r="M28" s="7"/>
      <c r="N28" s="7"/>
      <c r="O28" s="7"/>
      <c r="P28" s="20" t="str">
        <f>IF($A28="","",INDEX(Project_Tracker!$I$2:$I$101,INT((ROW()-6)/17)+1))</f>
        <v/>
      </c>
      <c r="Q28" s="20" t="str">
        <f>IF($A28="","",INDEX(Project_Tracker!$K$2:$K$101,INT((ROW()-6)/17)+1))</f>
        <v/>
      </c>
    </row>
    <row r="29" spans="1:17" x14ac:dyDescent="0.2">
      <c r="A29" s="20" t="str">
        <f>IF(INDEX(Project_Tracker!$AL$2:$AL$101,INT((ROW()-6)/17)+1)="","",INDEX(Project_Tracker!$AL$2:$AL$101,INT((ROW()-6)/17)+1))</f>
        <v/>
      </c>
      <c r="B29" s="21" t="str">
        <f>IF($A29="","",INDEX(Project_Tracker!$AM$2:$AM$101,INT((ROW()-6)/17)+1))</f>
        <v/>
      </c>
      <c r="C29" s="20" t="str">
        <f>IF($A29="","",INDEX(Project_Tracker!$C$2:$C$101,INT((ROW()-6)/17)+1))</f>
        <v/>
      </c>
      <c r="D29" s="6" t="str">
        <f>IF($A29="","",INDEX(Project_Tracker!$T$2:$T$101,INT((ROW()-6)/17)+1))</f>
        <v/>
      </c>
      <c r="E29" s="18">
        <f t="shared" si="0"/>
        <v>7</v>
      </c>
      <c r="F29" s="23" t="str">
        <f>IF($A29="","",INDEX('Logic &amp; Lists'!$I$4:$I$20,$E29))</f>
        <v/>
      </c>
      <c r="G29" s="18" t="str">
        <f>IF($A29="","",INDEX('Logic &amp; Lists'!$J$4:$J$20,$E29))</f>
        <v/>
      </c>
      <c r="H29" s="6" t="str">
        <f t="shared" si="1"/>
        <v/>
      </c>
      <c r="I29" s="18" t="str">
        <f t="shared" ca="1" si="2"/>
        <v/>
      </c>
      <c r="J29" s="5" t="str">
        <f t="shared" si="3"/>
        <v/>
      </c>
      <c r="K29" s="25"/>
      <c r="L29" s="5" t="str">
        <f t="shared" si="4"/>
        <v/>
      </c>
      <c r="M29" s="7"/>
      <c r="N29" s="7"/>
      <c r="O29" s="7"/>
      <c r="P29" s="20" t="str">
        <f>IF($A29="","",INDEX(Project_Tracker!$I$2:$I$101,INT((ROW()-6)/17)+1))</f>
        <v/>
      </c>
      <c r="Q29" s="20" t="str">
        <f>IF($A29="","",INDEX(Project_Tracker!$K$2:$K$101,INT((ROW()-6)/17)+1))</f>
        <v/>
      </c>
    </row>
    <row r="30" spans="1:17" x14ac:dyDescent="0.2">
      <c r="A30" s="20" t="str">
        <f>IF(INDEX(Project_Tracker!$AL$2:$AL$101,INT((ROW()-6)/17)+1)="","",INDEX(Project_Tracker!$AL$2:$AL$101,INT((ROW()-6)/17)+1))</f>
        <v/>
      </c>
      <c r="B30" s="21" t="str">
        <f>IF($A30="","",INDEX(Project_Tracker!$AM$2:$AM$101,INT((ROW()-6)/17)+1))</f>
        <v/>
      </c>
      <c r="C30" s="20" t="str">
        <f>IF($A30="","",INDEX(Project_Tracker!$C$2:$C$101,INT((ROW()-6)/17)+1))</f>
        <v/>
      </c>
      <c r="D30" s="6" t="str">
        <f>IF($A30="","",INDEX(Project_Tracker!$T$2:$T$101,INT((ROW()-6)/17)+1))</f>
        <v/>
      </c>
      <c r="E30" s="18">
        <f t="shared" si="0"/>
        <v>8</v>
      </c>
      <c r="F30" s="23" t="str">
        <f>IF($A30="","",INDEX('Logic &amp; Lists'!$I$4:$I$20,$E30))</f>
        <v/>
      </c>
      <c r="G30" s="18" t="str">
        <f>IF($A30="","",INDEX('Logic &amp; Lists'!$J$4:$J$20,$E30))</f>
        <v/>
      </c>
      <c r="H30" s="6" t="str">
        <f t="shared" si="1"/>
        <v/>
      </c>
      <c r="I30" s="18" t="str">
        <f t="shared" ca="1" si="2"/>
        <v/>
      </c>
      <c r="J30" s="5" t="str">
        <f t="shared" si="3"/>
        <v/>
      </c>
      <c r="K30" s="25"/>
      <c r="L30" s="5" t="str">
        <f t="shared" si="4"/>
        <v/>
      </c>
      <c r="M30" s="7"/>
      <c r="N30" s="7"/>
      <c r="O30" s="7"/>
      <c r="P30" s="20" t="str">
        <f>IF($A30="","",INDEX(Project_Tracker!$I$2:$I$101,INT((ROW()-6)/17)+1))</f>
        <v/>
      </c>
      <c r="Q30" s="20" t="str">
        <f>IF($A30="","",INDEX(Project_Tracker!$K$2:$K$101,INT((ROW()-6)/17)+1))</f>
        <v/>
      </c>
    </row>
    <row r="31" spans="1:17" x14ac:dyDescent="0.2">
      <c r="A31" s="20" t="str">
        <f>IF(INDEX(Project_Tracker!$AL$2:$AL$101,INT((ROW()-6)/17)+1)="","",INDEX(Project_Tracker!$AL$2:$AL$101,INT((ROW()-6)/17)+1))</f>
        <v/>
      </c>
      <c r="B31" s="21" t="str">
        <f>IF($A31="","",INDEX(Project_Tracker!$AM$2:$AM$101,INT((ROW()-6)/17)+1))</f>
        <v/>
      </c>
      <c r="C31" s="20" t="str">
        <f>IF($A31="","",INDEX(Project_Tracker!$C$2:$C$101,INT((ROW()-6)/17)+1))</f>
        <v/>
      </c>
      <c r="D31" s="6" t="str">
        <f>IF($A31="","",INDEX(Project_Tracker!$T$2:$T$101,INT((ROW()-6)/17)+1))</f>
        <v/>
      </c>
      <c r="E31" s="18">
        <f t="shared" si="0"/>
        <v>9</v>
      </c>
      <c r="F31" s="23" t="str">
        <f>IF($A31="","",INDEX('Logic &amp; Lists'!$I$4:$I$20,$E31))</f>
        <v/>
      </c>
      <c r="G31" s="18" t="str">
        <f>IF($A31="","",INDEX('Logic &amp; Lists'!$J$4:$J$20,$E31))</f>
        <v/>
      </c>
      <c r="H31" s="6" t="str">
        <f t="shared" si="1"/>
        <v/>
      </c>
      <c r="I31" s="18" t="str">
        <f t="shared" ca="1" si="2"/>
        <v/>
      </c>
      <c r="J31" s="5" t="str">
        <f t="shared" si="3"/>
        <v/>
      </c>
      <c r="K31" s="25"/>
      <c r="L31" s="5" t="str">
        <f t="shared" si="4"/>
        <v/>
      </c>
      <c r="M31" s="7"/>
      <c r="N31" s="7"/>
      <c r="O31" s="7"/>
      <c r="P31" s="20" t="str">
        <f>IF($A31="","",INDEX(Project_Tracker!$I$2:$I$101,INT((ROW()-6)/17)+1))</f>
        <v/>
      </c>
      <c r="Q31" s="20" t="str">
        <f>IF($A31="","",INDEX(Project_Tracker!$K$2:$K$101,INT((ROW()-6)/17)+1))</f>
        <v/>
      </c>
    </row>
    <row r="32" spans="1:17" x14ac:dyDescent="0.2">
      <c r="A32" s="20" t="str">
        <f>IF(INDEX(Project_Tracker!$AL$2:$AL$101,INT((ROW()-6)/17)+1)="","",INDEX(Project_Tracker!$AL$2:$AL$101,INT((ROW()-6)/17)+1))</f>
        <v/>
      </c>
      <c r="B32" s="21" t="str">
        <f>IF($A32="","",INDEX(Project_Tracker!$AM$2:$AM$101,INT((ROW()-6)/17)+1))</f>
        <v/>
      </c>
      <c r="C32" s="20" t="str">
        <f>IF($A32="","",INDEX(Project_Tracker!$C$2:$C$101,INT((ROW()-6)/17)+1))</f>
        <v/>
      </c>
      <c r="D32" s="6" t="str">
        <f>IF($A32="","",INDEX(Project_Tracker!$T$2:$T$101,INT((ROW()-6)/17)+1))</f>
        <v/>
      </c>
      <c r="E32" s="18">
        <f t="shared" si="0"/>
        <v>10</v>
      </c>
      <c r="F32" s="23" t="str">
        <f>IF($A32="","",INDEX('Logic &amp; Lists'!$I$4:$I$20,$E32))</f>
        <v/>
      </c>
      <c r="G32" s="18" t="str">
        <f>IF($A32="","",INDEX('Logic &amp; Lists'!$J$4:$J$20,$E32))</f>
        <v/>
      </c>
      <c r="H32" s="6" t="str">
        <f t="shared" si="1"/>
        <v/>
      </c>
      <c r="I32" s="18" t="str">
        <f t="shared" ca="1" si="2"/>
        <v/>
      </c>
      <c r="J32" s="5" t="str">
        <f t="shared" si="3"/>
        <v/>
      </c>
      <c r="K32" s="25"/>
      <c r="L32" s="5" t="str">
        <f t="shared" si="4"/>
        <v/>
      </c>
      <c r="M32" s="7"/>
      <c r="N32" s="7"/>
      <c r="O32" s="7"/>
      <c r="P32" s="20" t="str">
        <f>IF($A32="","",INDEX(Project_Tracker!$I$2:$I$101,INT((ROW()-6)/17)+1))</f>
        <v/>
      </c>
      <c r="Q32" s="20" t="str">
        <f>IF($A32="","",INDEX(Project_Tracker!$K$2:$K$101,INT((ROW()-6)/17)+1))</f>
        <v/>
      </c>
    </row>
    <row r="33" spans="1:17" x14ac:dyDescent="0.2">
      <c r="A33" s="20" t="str">
        <f>IF(INDEX(Project_Tracker!$AL$2:$AL$101,INT((ROW()-6)/17)+1)="","",INDEX(Project_Tracker!$AL$2:$AL$101,INT((ROW()-6)/17)+1))</f>
        <v/>
      </c>
      <c r="B33" s="21" t="str">
        <f>IF($A33="","",INDEX(Project_Tracker!$AM$2:$AM$101,INT((ROW()-6)/17)+1))</f>
        <v/>
      </c>
      <c r="C33" s="20" t="str">
        <f>IF($A33="","",INDEX(Project_Tracker!$C$2:$C$101,INT((ROW()-6)/17)+1))</f>
        <v/>
      </c>
      <c r="D33" s="6" t="str">
        <f>IF($A33="","",INDEX(Project_Tracker!$T$2:$T$101,INT((ROW()-6)/17)+1))</f>
        <v/>
      </c>
      <c r="E33" s="18">
        <f t="shared" si="0"/>
        <v>11</v>
      </c>
      <c r="F33" s="23" t="str">
        <f>IF($A33="","",INDEX('Logic &amp; Lists'!$I$4:$I$20,$E33))</f>
        <v/>
      </c>
      <c r="G33" s="18" t="str">
        <f>IF($A33="","",INDEX('Logic &amp; Lists'!$J$4:$J$20,$E33))</f>
        <v/>
      </c>
      <c r="H33" s="6" t="str">
        <f t="shared" si="1"/>
        <v/>
      </c>
      <c r="I33" s="18" t="str">
        <f t="shared" ca="1" si="2"/>
        <v/>
      </c>
      <c r="J33" s="5" t="str">
        <f t="shared" si="3"/>
        <v/>
      </c>
      <c r="K33" s="25"/>
      <c r="L33" s="5" t="str">
        <f t="shared" si="4"/>
        <v/>
      </c>
      <c r="M33" s="7"/>
      <c r="N33" s="7"/>
      <c r="O33" s="7"/>
      <c r="P33" s="20" t="str">
        <f>IF($A33="","",INDEX(Project_Tracker!$I$2:$I$101,INT((ROW()-6)/17)+1))</f>
        <v/>
      </c>
      <c r="Q33" s="20" t="str">
        <f>IF($A33="","",INDEX(Project_Tracker!$K$2:$K$101,INT((ROW()-6)/17)+1))</f>
        <v/>
      </c>
    </row>
    <row r="34" spans="1:17" x14ac:dyDescent="0.2">
      <c r="A34" s="20" t="str">
        <f>IF(INDEX(Project_Tracker!$AL$2:$AL$101,INT((ROW()-6)/17)+1)="","",INDEX(Project_Tracker!$AL$2:$AL$101,INT((ROW()-6)/17)+1))</f>
        <v/>
      </c>
      <c r="B34" s="21" t="str">
        <f>IF($A34="","",INDEX(Project_Tracker!$AM$2:$AM$101,INT((ROW()-6)/17)+1))</f>
        <v/>
      </c>
      <c r="C34" s="20" t="str">
        <f>IF($A34="","",INDEX(Project_Tracker!$C$2:$C$101,INT((ROW()-6)/17)+1))</f>
        <v/>
      </c>
      <c r="D34" s="6" t="str">
        <f>IF($A34="","",INDEX(Project_Tracker!$T$2:$T$101,INT((ROW()-6)/17)+1))</f>
        <v/>
      </c>
      <c r="E34" s="18">
        <f t="shared" si="0"/>
        <v>12</v>
      </c>
      <c r="F34" s="23" t="str">
        <f>IF($A34="","",INDEX('Logic &amp; Lists'!$I$4:$I$20,$E34))</f>
        <v/>
      </c>
      <c r="G34" s="18" t="str">
        <f>IF($A34="","",INDEX('Logic &amp; Lists'!$J$4:$J$20,$E34))</f>
        <v/>
      </c>
      <c r="H34" s="6" t="str">
        <f t="shared" si="1"/>
        <v/>
      </c>
      <c r="I34" s="18" t="str">
        <f t="shared" ca="1" si="2"/>
        <v/>
      </c>
      <c r="J34" s="5" t="str">
        <f t="shared" si="3"/>
        <v/>
      </c>
      <c r="K34" s="25"/>
      <c r="L34" s="5" t="str">
        <f t="shared" si="4"/>
        <v/>
      </c>
      <c r="M34" s="7"/>
      <c r="N34" s="7"/>
      <c r="O34" s="7"/>
      <c r="P34" s="20" t="str">
        <f>IF($A34="","",INDEX(Project_Tracker!$I$2:$I$101,INT((ROW()-6)/17)+1))</f>
        <v/>
      </c>
      <c r="Q34" s="20" t="str">
        <f>IF($A34="","",INDEX(Project_Tracker!$K$2:$K$101,INT((ROW()-6)/17)+1))</f>
        <v/>
      </c>
    </row>
    <row r="35" spans="1:17" x14ac:dyDescent="0.2">
      <c r="A35" s="20" t="str">
        <f>IF(INDEX(Project_Tracker!$AL$2:$AL$101,INT((ROW()-6)/17)+1)="","",INDEX(Project_Tracker!$AL$2:$AL$101,INT((ROW()-6)/17)+1))</f>
        <v/>
      </c>
      <c r="B35" s="21" t="str">
        <f>IF($A35="","",INDEX(Project_Tracker!$AM$2:$AM$101,INT((ROW()-6)/17)+1))</f>
        <v/>
      </c>
      <c r="C35" s="20" t="str">
        <f>IF($A35="","",INDEX(Project_Tracker!$C$2:$C$101,INT((ROW()-6)/17)+1))</f>
        <v/>
      </c>
      <c r="D35" s="6" t="str">
        <f>IF($A35="","",INDEX(Project_Tracker!$T$2:$T$101,INT((ROW()-6)/17)+1))</f>
        <v/>
      </c>
      <c r="E35" s="18">
        <f t="shared" si="0"/>
        <v>13</v>
      </c>
      <c r="F35" s="23" t="str">
        <f>IF($A35="","",INDEX('Logic &amp; Lists'!$I$4:$I$20,$E35))</f>
        <v/>
      </c>
      <c r="G35" s="18" t="str">
        <f>IF($A35="","",INDEX('Logic &amp; Lists'!$J$4:$J$20,$E35))</f>
        <v/>
      </c>
      <c r="H35" s="6" t="str">
        <f t="shared" si="1"/>
        <v/>
      </c>
      <c r="I35" s="18" t="str">
        <f t="shared" ca="1" si="2"/>
        <v/>
      </c>
      <c r="J35" s="5" t="str">
        <f t="shared" si="3"/>
        <v/>
      </c>
      <c r="K35" s="25"/>
      <c r="L35" s="5" t="str">
        <f t="shared" si="4"/>
        <v/>
      </c>
      <c r="M35" s="7"/>
      <c r="N35" s="7"/>
      <c r="O35" s="7"/>
      <c r="P35" s="20" t="str">
        <f>IF($A35="","",INDEX(Project_Tracker!$I$2:$I$101,INT((ROW()-6)/17)+1))</f>
        <v/>
      </c>
      <c r="Q35" s="20" t="str">
        <f>IF($A35="","",INDEX(Project_Tracker!$K$2:$K$101,INT((ROW()-6)/17)+1))</f>
        <v/>
      </c>
    </row>
    <row r="36" spans="1:17" x14ac:dyDescent="0.2">
      <c r="A36" s="20" t="str">
        <f>IF(INDEX(Project_Tracker!$AL$2:$AL$101,INT((ROW()-6)/17)+1)="","",INDEX(Project_Tracker!$AL$2:$AL$101,INT((ROW()-6)/17)+1))</f>
        <v/>
      </c>
      <c r="B36" s="21" t="str">
        <f>IF($A36="","",INDEX(Project_Tracker!$AM$2:$AM$101,INT((ROW()-6)/17)+1))</f>
        <v/>
      </c>
      <c r="C36" s="20" t="str">
        <f>IF($A36="","",INDEX(Project_Tracker!$C$2:$C$101,INT((ROW()-6)/17)+1))</f>
        <v/>
      </c>
      <c r="D36" s="6" t="str">
        <f>IF($A36="","",INDEX(Project_Tracker!$T$2:$T$101,INT((ROW()-6)/17)+1))</f>
        <v/>
      </c>
      <c r="E36" s="18">
        <f t="shared" si="0"/>
        <v>14</v>
      </c>
      <c r="F36" s="23" t="str">
        <f>IF($A36="","",INDEX('Logic &amp; Lists'!$I$4:$I$20,$E36))</f>
        <v/>
      </c>
      <c r="G36" s="18" t="str">
        <f>IF($A36="","",INDEX('Logic &amp; Lists'!$J$4:$J$20,$E36))</f>
        <v/>
      </c>
      <c r="H36" s="6" t="str">
        <f t="shared" si="1"/>
        <v/>
      </c>
      <c r="I36" s="18" t="str">
        <f t="shared" ca="1" si="2"/>
        <v/>
      </c>
      <c r="J36" s="5" t="str">
        <f t="shared" si="3"/>
        <v/>
      </c>
      <c r="K36" s="25"/>
      <c r="L36" s="5" t="str">
        <f t="shared" si="4"/>
        <v/>
      </c>
      <c r="M36" s="7"/>
      <c r="N36" s="7"/>
      <c r="O36" s="7"/>
      <c r="P36" s="20" t="str">
        <f>IF($A36="","",INDEX(Project_Tracker!$I$2:$I$101,INT((ROW()-6)/17)+1))</f>
        <v/>
      </c>
      <c r="Q36" s="20" t="str">
        <f>IF($A36="","",INDEX(Project_Tracker!$K$2:$K$101,INT((ROW()-6)/17)+1))</f>
        <v/>
      </c>
    </row>
    <row r="37" spans="1:17" x14ac:dyDescent="0.2">
      <c r="A37" s="20" t="str">
        <f>IF(INDEX(Project_Tracker!$AL$2:$AL$101,INT((ROW()-6)/17)+1)="","",INDEX(Project_Tracker!$AL$2:$AL$101,INT((ROW()-6)/17)+1))</f>
        <v/>
      </c>
      <c r="B37" s="21" t="str">
        <f>IF($A37="","",INDEX(Project_Tracker!$AM$2:$AM$101,INT((ROW()-6)/17)+1))</f>
        <v/>
      </c>
      <c r="C37" s="20" t="str">
        <f>IF($A37="","",INDEX(Project_Tracker!$C$2:$C$101,INT((ROW()-6)/17)+1))</f>
        <v/>
      </c>
      <c r="D37" s="6" t="str">
        <f>IF($A37="","",INDEX(Project_Tracker!$T$2:$T$101,INT((ROW()-6)/17)+1))</f>
        <v/>
      </c>
      <c r="E37" s="18">
        <f t="shared" si="0"/>
        <v>15</v>
      </c>
      <c r="F37" s="23" t="str">
        <f>IF($A37="","",INDEX('Logic &amp; Lists'!$I$4:$I$20,$E37))</f>
        <v/>
      </c>
      <c r="G37" s="18" t="str">
        <f>IF($A37="","",INDEX('Logic &amp; Lists'!$J$4:$J$20,$E37))</f>
        <v/>
      </c>
      <c r="H37" s="6" t="str">
        <f t="shared" si="1"/>
        <v/>
      </c>
      <c r="I37" s="18" t="str">
        <f t="shared" ca="1" si="2"/>
        <v/>
      </c>
      <c r="J37" s="5" t="str">
        <f t="shared" si="3"/>
        <v/>
      </c>
      <c r="K37" s="25"/>
      <c r="L37" s="5" t="str">
        <f t="shared" si="4"/>
        <v/>
      </c>
      <c r="M37" s="7"/>
      <c r="N37" s="7"/>
      <c r="O37" s="7"/>
      <c r="P37" s="20" t="str">
        <f>IF($A37="","",INDEX(Project_Tracker!$I$2:$I$101,INT((ROW()-6)/17)+1))</f>
        <v/>
      </c>
      <c r="Q37" s="20" t="str">
        <f>IF($A37="","",INDEX(Project_Tracker!$K$2:$K$101,INT((ROW()-6)/17)+1))</f>
        <v/>
      </c>
    </row>
    <row r="38" spans="1:17" x14ac:dyDescent="0.2">
      <c r="A38" s="20" t="str">
        <f>IF(INDEX(Project_Tracker!$AL$2:$AL$101,INT((ROW()-6)/17)+1)="","",INDEX(Project_Tracker!$AL$2:$AL$101,INT((ROW()-6)/17)+1))</f>
        <v/>
      </c>
      <c r="B38" s="21" t="str">
        <f>IF($A38="","",INDEX(Project_Tracker!$AM$2:$AM$101,INT((ROW()-6)/17)+1))</f>
        <v/>
      </c>
      <c r="C38" s="20" t="str">
        <f>IF($A38="","",INDEX(Project_Tracker!$C$2:$C$101,INT((ROW()-6)/17)+1))</f>
        <v/>
      </c>
      <c r="D38" s="6" t="str">
        <f>IF($A38="","",INDEX(Project_Tracker!$T$2:$T$101,INT((ROW()-6)/17)+1))</f>
        <v/>
      </c>
      <c r="E38" s="18">
        <f t="shared" si="0"/>
        <v>16</v>
      </c>
      <c r="F38" s="23" t="str">
        <f>IF($A38="","",INDEX('Logic &amp; Lists'!$I$4:$I$20,$E38))</f>
        <v/>
      </c>
      <c r="G38" s="18" t="str">
        <f>IF($A38="","",INDEX('Logic &amp; Lists'!$J$4:$J$20,$E38))</f>
        <v/>
      </c>
      <c r="H38" s="6" t="str">
        <f t="shared" si="1"/>
        <v/>
      </c>
      <c r="I38" s="18" t="str">
        <f t="shared" ca="1" si="2"/>
        <v/>
      </c>
      <c r="J38" s="5" t="str">
        <f t="shared" si="3"/>
        <v/>
      </c>
      <c r="K38" s="25"/>
      <c r="L38" s="5" t="str">
        <f t="shared" si="4"/>
        <v/>
      </c>
      <c r="M38" s="7"/>
      <c r="N38" s="7"/>
      <c r="O38" s="7"/>
      <c r="P38" s="20" t="str">
        <f>IF($A38="","",INDEX(Project_Tracker!$I$2:$I$101,INT((ROW()-6)/17)+1))</f>
        <v/>
      </c>
      <c r="Q38" s="20" t="str">
        <f>IF($A38="","",INDEX(Project_Tracker!$K$2:$K$101,INT((ROW()-6)/17)+1))</f>
        <v/>
      </c>
    </row>
    <row r="39" spans="1:17" x14ac:dyDescent="0.2">
      <c r="A39" s="20" t="str">
        <f>IF(INDEX(Project_Tracker!$AL$2:$AL$101,INT((ROW()-6)/17)+1)="","",INDEX(Project_Tracker!$AL$2:$AL$101,INT((ROW()-6)/17)+1))</f>
        <v/>
      </c>
      <c r="B39" s="21" t="str">
        <f>IF($A39="","",INDEX(Project_Tracker!$AM$2:$AM$101,INT((ROW()-6)/17)+1))</f>
        <v/>
      </c>
      <c r="C39" s="20" t="str">
        <f>IF($A39="","",INDEX(Project_Tracker!$C$2:$C$101,INT((ROW()-6)/17)+1))</f>
        <v/>
      </c>
      <c r="D39" s="6" t="str">
        <f>IF($A39="","",INDEX(Project_Tracker!$T$2:$T$101,INT((ROW()-6)/17)+1))</f>
        <v/>
      </c>
      <c r="E39" s="18">
        <f t="shared" si="0"/>
        <v>17</v>
      </c>
      <c r="F39" s="23" t="str">
        <f>IF($A39="","",INDEX('Logic &amp; Lists'!$I$4:$I$20,$E39))</f>
        <v/>
      </c>
      <c r="G39" s="18" t="str">
        <f>IF($A39="","",INDEX('Logic &amp; Lists'!$J$4:$J$20,$E39))</f>
        <v/>
      </c>
      <c r="H39" s="6" t="str">
        <f t="shared" si="1"/>
        <v/>
      </c>
      <c r="I39" s="18" t="str">
        <f t="shared" ca="1" si="2"/>
        <v/>
      </c>
      <c r="J39" s="5" t="str">
        <f t="shared" si="3"/>
        <v/>
      </c>
      <c r="K39" s="25"/>
      <c r="L39" s="5" t="str">
        <f t="shared" si="4"/>
        <v/>
      </c>
      <c r="M39" s="7"/>
      <c r="N39" s="7"/>
      <c r="O39" s="7"/>
      <c r="P39" s="20" t="str">
        <f>IF($A39="","",INDEX(Project_Tracker!$I$2:$I$101,INT((ROW()-6)/17)+1))</f>
        <v/>
      </c>
      <c r="Q39" s="20" t="str">
        <f>IF($A39="","",INDEX(Project_Tracker!$K$2:$K$101,INT((ROW()-6)/17)+1))</f>
        <v/>
      </c>
    </row>
    <row r="40" spans="1:17" ht="22" customHeight="1" x14ac:dyDescent="0.2">
      <c r="A40" s="20" t="str">
        <f>IF(INDEX(Project_Tracker!$AL$2:$AL$101,INT((ROW()-6)/17)+1)="","",INDEX(Project_Tracker!$AL$2:$AL$101,INT((ROW()-6)/17)+1))</f>
        <v/>
      </c>
      <c r="B40" s="21" t="str">
        <f>IF($A40="","",INDEX(Project_Tracker!$AM$2:$AM$101,INT((ROW()-6)/17)+1))</f>
        <v/>
      </c>
      <c r="C40" s="20" t="str">
        <f>IF($A40="","",INDEX(Project_Tracker!$C$2:$C$101,INT((ROW()-6)/17)+1))</f>
        <v/>
      </c>
      <c r="D40" s="6" t="str">
        <f>IF($A40="","",INDEX(Project_Tracker!$T$2:$T$101,INT((ROW()-6)/17)+1))</f>
        <v/>
      </c>
      <c r="E40" s="18">
        <f t="shared" si="0"/>
        <v>1</v>
      </c>
      <c r="F40" s="23" t="str">
        <f>IF($A40="","",INDEX('Logic &amp; Lists'!$I$4:$I$20,$E40))</f>
        <v/>
      </c>
      <c r="G40" s="18" t="str">
        <f>IF($A40="","",INDEX('Logic &amp; Lists'!$J$4:$J$20,$E40))</f>
        <v/>
      </c>
      <c r="H40" s="6" t="str">
        <f t="shared" si="1"/>
        <v/>
      </c>
      <c r="I40" s="18" t="str">
        <f t="shared" ca="1" si="2"/>
        <v/>
      </c>
      <c r="J40" s="5" t="str">
        <f t="shared" si="3"/>
        <v/>
      </c>
      <c r="K40" s="25"/>
      <c r="L40" s="5" t="str">
        <f t="shared" si="4"/>
        <v/>
      </c>
      <c r="M40" s="7"/>
      <c r="N40" s="7"/>
      <c r="O40" s="7"/>
      <c r="P40" s="20" t="str">
        <f>IF($A40="","",INDEX(Project_Tracker!$I$2:$I$101,INT((ROW()-6)/17)+1))</f>
        <v/>
      </c>
      <c r="Q40" s="20" t="str">
        <f>IF($A40="","",INDEX(Project_Tracker!$K$2:$K$101,INT((ROW()-6)/17)+1))</f>
        <v/>
      </c>
    </row>
    <row r="41" spans="1:17" x14ac:dyDescent="0.2">
      <c r="A41" s="20" t="str">
        <f>IF(INDEX(Project_Tracker!$AL$2:$AL$101,INT((ROW()-6)/17)+1)="","",INDEX(Project_Tracker!$AL$2:$AL$101,INT((ROW()-6)/17)+1))</f>
        <v/>
      </c>
      <c r="B41" s="21" t="str">
        <f>IF($A41="","",INDEX(Project_Tracker!$AM$2:$AM$101,INT((ROW()-6)/17)+1))</f>
        <v/>
      </c>
      <c r="C41" s="20" t="str">
        <f>IF($A41="","",INDEX(Project_Tracker!$C$2:$C$101,INT((ROW()-6)/17)+1))</f>
        <v/>
      </c>
      <c r="D41" s="6" t="str">
        <f>IF($A41="","",INDEX(Project_Tracker!$T$2:$T$101,INT((ROW()-6)/17)+1))</f>
        <v/>
      </c>
      <c r="E41" s="18">
        <f t="shared" si="0"/>
        <v>2</v>
      </c>
      <c r="F41" s="23" t="str">
        <f>IF($A41="","",INDEX('Logic &amp; Lists'!$I$4:$I$20,$E41))</f>
        <v/>
      </c>
      <c r="G41" s="18" t="str">
        <f>IF($A41="","",INDEX('Logic &amp; Lists'!$J$4:$J$20,$E41))</f>
        <v/>
      </c>
      <c r="H41" s="6" t="str">
        <f t="shared" si="1"/>
        <v/>
      </c>
      <c r="I41" s="18" t="str">
        <f t="shared" ca="1" si="2"/>
        <v/>
      </c>
      <c r="J41" s="5" t="str">
        <f t="shared" si="3"/>
        <v/>
      </c>
      <c r="K41" s="25"/>
      <c r="L41" s="5" t="str">
        <f t="shared" si="4"/>
        <v/>
      </c>
      <c r="M41" s="7"/>
      <c r="N41" s="7"/>
      <c r="O41" s="7"/>
      <c r="P41" s="20" t="str">
        <f>IF($A41="","",INDEX(Project_Tracker!$I$2:$I$101,INT((ROW()-6)/17)+1))</f>
        <v/>
      </c>
      <c r="Q41" s="20" t="str">
        <f>IF($A41="","",INDEX(Project_Tracker!$K$2:$K$101,INT((ROW()-6)/17)+1))</f>
        <v/>
      </c>
    </row>
    <row r="42" spans="1:17" x14ac:dyDescent="0.2">
      <c r="A42" s="20" t="str">
        <f>IF(INDEX(Project_Tracker!$AL$2:$AL$101,INT((ROW()-6)/17)+1)="","",INDEX(Project_Tracker!$AL$2:$AL$101,INT((ROW()-6)/17)+1))</f>
        <v/>
      </c>
      <c r="B42" s="21" t="str">
        <f>IF($A42="","",INDEX(Project_Tracker!$AM$2:$AM$101,INT((ROW()-6)/17)+1))</f>
        <v/>
      </c>
      <c r="C42" s="20" t="str">
        <f>IF($A42="","",INDEX(Project_Tracker!$C$2:$C$101,INT((ROW()-6)/17)+1))</f>
        <v/>
      </c>
      <c r="D42" s="6" t="str">
        <f>IF($A42="","",INDEX(Project_Tracker!$T$2:$T$101,INT((ROW()-6)/17)+1))</f>
        <v/>
      </c>
      <c r="E42" s="18">
        <f t="shared" si="0"/>
        <v>3</v>
      </c>
      <c r="F42" s="23" t="str">
        <f>IF($A42="","",INDEX('Logic &amp; Lists'!$I$4:$I$20,$E42))</f>
        <v/>
      </c>
      <c r="G42" s="18" t="str">
        <f>IF($A42="","",INDEX('Logic &amp; Lists'!$J$4:$J$20,$E42))</f>
        <v/>
      </c>
      <c r="H42" s="6" t="str">
        <f t="shared" si="1"/>
        <v/>
      </c>
      <c r="I42" s="18" t="str">
        <f t="shared" ca="1" si="2"/>
        <v/>
      </c>
      <c r="J42" s="5" t="str">
        <f t="shared" si="3"/>
        <v/>
      </c>
      <c r="K42" s="25"/>
      <c r="L42" s="5" t="str">
        <f t="shared" si="4"/>
        <v/>
      </c>
      <c r="M42" s="7"/>
      <c r="N42" s="7"/>
      <c r="O42" s="7"/>
      <c r="P42" s="20" t="str">
        <f>IF($A42="","",INDEX(Project_Tracker!$I$2:$I$101,INT((ROW()-6)/17)+1))</f>
        <v/>
      </c>
      <c r="Q42" s="20" t="str">
        <f>IF($A42="","",INDEX(Project_Tracker!$K$2:$K$101,INT((ROW()-6)/17)+1))</f>
        <v/>
      </c>
    </row>
    <row r="43" spans="1:17" x14ac:dyDescent="0.2">
      <c r="A43" s="20" t="str">
        <f>IF(INDEX(Project_Tracker!$AL$2:$AL$101,INT((ROW()-6)/17)+1)="","",INDEX(Project_Tracker!$AL$2:$AL$101,INT((ROW()-6)/17)+1))</f>
        <v/>
      </c>
      <c r="B43" s="21" t="str">
        <f>IF($A43="","",INDEX(Project_Tracker!$AM$2:$AM$101,INT((ROW()-6)/17)+1))</f>
        <v/>
      </c>
      <c r="C43" s="20" t="str">
        <f>IF($A43="","",INDEX(Project_Tracker!$C$2:$C$101,INT((ROW()-6)/17)+1))</f>
        <v/>
      </c>
      <c r="D43" s="6" t="str">
        <f>IF($A43="","",INDEX(Project_Tracker!$T$2:$T$101,INT((ROW()-6)/17)+1))</f>
        <v/>
      </c>
      <c r="E43" s="18">
        <f t="shared" si="0"/>
        <v>4</v>
      </c>
      <c r="F43" s="23" t="str">
        <f>IF($A43="","",INDEX('Logic &amp; Lists'!$I$4:$I$20,$E43))</f>
        <v/>
      </c>
      <c r="G43" s="18" t="str">
        <f>IF($A43="","",INDEX('Logic &amp; Lists'!$J$4:$J$20,$E43))</f>
        <v/>
      </c>
      <c r="H43" s="6" t="str">
        <f t="shared" si="1"/>
        <v/>
      </c>
      <c r="I43" s="18" t="str">
        <f t="shared" ca="1" si="2"/>
        <v/>
      </c>
      <c r="J43" s="5" t="str">
        <f t="shared" si="3"/>
        <v/>
      </c>
      <c r="K43" s="25"/>
      <c r="L43" s="5" t="str">
        <f t="shared" si="4"/>
        <v/>
      </c>
      <c r="M43" s="7"/>
      <c r="N43" s="7"/>
      <c r="O43" s="7"/>
      <c r="P43" s="20" t="str">
        <f>IF($A43="","",INDEX(Project_Tracker!$I$2:$I$101,INT((ROW()-6)/17)+1))</f>
        <v/>
      </c>
      <c r="Q43" s="20" t="str">
        <f>IF($A43="","",INDEX(Project_Tracker!$K$2:$K$101,INT((ROW()-6)/17)+1))</f>
        <v/>
      </c>
    </row>
    <row r="44" spans="1:17" x14ac:dyDescent="0.2">
      <c r="A44" s="20" t="str">
        <f>IF(INDEX(Project_Tracker!$AL$2:$AL$101,INT((ROW()-6)/17)+1)="","",INDEX(Project_Tracker!$AL$2:$AL$101,INT((ROW()-6)/17)+1))</f>
        <v/>
      </c>
      <c r="B44" s="21" t="str">
        <f>IF($A44="","",INDEX(Project_Tracker!$AM$2:$AM$101,INT((ROW()-6)/17)+1))</f>
        <v/>
      </c>
      <c r="C44" s="20" t="str">
        <f>IF($A44="","",INDEX(Project_Tracker!$C$2:$C$101,INT((ROW()-6)/17)+1))</f>
        <v/>
      </c>
      <c r="D44" s="6" t="str">
        <f>IF($A44="","",INDEX(Project_Tracker!$T$2:$T$101,INT((ROW()-6)/17)+1))</f>
        <v/>
      </c>
      <c r="E44" s="18">
        <f t="shared" si="0"/>
        <v>5</v>
      </c>
      <c r="F44" s="23" t="str">
        <f>IF($A44="","",INDEX('Logic &amp; Lists'!$I$4:$I$20,$E44))</f>
        <v/>
      </c>
      <c r="G44" s="18" t="str">
        <f>IF($A44="","",INDEX('Logic &amp; Lists'!$J$4:$J$20,$E44))</f>
        <v/>
      </c>
      <c r="H44" s="6" t="str">
        <f t="shared" si="1"/>
        <v/>
      </c>
      <c r="I44" s="18" t="str">
        <f t="shared" ca="1" si="2"/>
        <v/>
      </c>
      <c r="J44" s="5" t="str">
        <f t="shared" si="3"/>
        <v/>
      </c>
      <c r="K44" s="25"/>
      <c r="L44" s="5" t="str">
        <f t="shared" si="4"/>
        <v/>
      </c>
      <c r="M44" s="7"/>
      <c r="N44" s="7"/>
      <c r="O44" s="7"/>
      <c r="P44" s="20" t="str">
        <f>IF($A44="","",INDEX(Project_Tracker!$I$2:$I$101,INT((ROW()-6)/17)+1))</f>
        <v/>
      </c>
      <c r="Q44" s="20" t="str">
        <f>IF($A44="","",INDEX(Project_Tracker!$K$2:$K$101,INT((ROW()-6)/17)+1))</f>
        <v/>
      </c>
    </row>
    <row r="45" spans="1:17" x14ac:dyDescent="0.2">
      <c r="A45" s="20" t="str">
        <f>IF(INDEX(Project_Tracker!$AL$2:$AL$101,INT((ROW()-6)/17)+1)="","",INDEX(Project_Tracker!$AL$2:$AL$101,INT((ROW()-6)/17)+1))</f>
        <v/>
      </c>
      <c r="B45" s="21" t="str">
        <f>IF($A45="","",INDEX(Project_Tracker!$AM$2:$AM$101,INT((ROW()-6)/17)+1))</f>
        <v/>
      </c>
      <c r="C45" s="20" t="str">
        <f>IF($A45="","",INDEX(Project_Tracker!$C$2:$C$101,INT((ROW()-6)/17)+1))</f>
        <v/>
      </c>
      <c r="D45" s="6" t="str">
        <f>IF($A45="","",INDEX(Project_Tracker!$T$2:$T$101,INT((ROW()-6)/17)+1))</f>
        <v/>
      </c>
      <c r="E45" s="18">
        <f t="shared" si="0"/>
        <v>6</v>
      </c>
      <c r="F45" s="23" t="str">
        <f>IF($A45="","",INDEX('Logic &amp; Lists'!$I$4:$I$20,$E45))</f>
        <v/>
      </c>
      <c r="G45" s="18" t="str">
        <f>IF($A45="","",INDEX('Logic &amp; Lists'!$J$4:$J$20,$E45))</f>
        <v/>
      </c>
      <c r="H45" s="6" t="str">
        <f t="shared" si="1"/>
        <v/>
      </c>
      <c r="I45" s="18" t="str">
        <f t="shared" ca="1" si="2"/>
        <v/>
      </c>
      <c r="J45" s="5" t="str">
        <f t="shared" si="3"/>
        <v/>
      </c>
      <c r="K45" s="25"/>
      <c r="L45" s="5" t="str">
        <f t="shared" si="4"/>
        <v/>
      </c>
      <c r="M45" s="7"/>
      <c r="N45" s="7"/>
      <c r="O45" s="7"/>
      <c r="P45" s="20" t="str">
        <f>IF($A45="","",INDEX(Project_Tracker!$I$2:$I$101,INT((ROW()-6)/17)+1))</f>
        <v/>
      </c>
      <c r="Q45" s="20" t="str">
        <f>IF($A45="","",INDEX(Project_Tracker!$K$2:$K$101,INT((ROW()-6)/17)+1))</f>
        <v/>
      </c>
    </row>
    <row r="46" spans="1:17" x14ac:dyDescent="0.2">
      <c r="A46" s="20" t="str">
        <f>IF(INDEX(Project_Tracker!$AL$2:$AL$101,INT((ROW()-6)/17)+1)="","",INDEX(Project_Tracker!$AL$2:$AL$101,INT((ROW()-6)/17)+1))</f>
        <v/>
      </c>
      <c r="B46" s="21" t="str">
        <f>IF($A46="","",INDEX(Project_Tracker!$AM$2:$AM$101,INT((ROW()-6)/17)+1))</f>
        <v/>
      </c>
      <c r="C46" s="20" t="str">
        <f>IF($A46="","",INDEX(Project_Tracker!$C$2:$C$101,INT((ROW()-6)/17)+1))</f>
        <v/>
      </c>
      <c r="D46" s="6" t="str">
        <f>IF($A46="","",INDEX(Project_Tracker!$T$2:$T$101,INT((ROW()-6)/17)+1))</f>
        <v/>
      </c>
      <c r="E46" s="18">
        <f t="shared" si="0"/>
        <v>7</v>
      </c>
      <c r="F46" s="23" t="str">
        <f>IF($A46="","",INDEX('Logic &amp; Lists'!$I$4:$I$20,$E46))</f>
        <v/>
      </c>
      <c r="G46" s="18" t="str">
        <f>IF($A46="","",INDEX('Logic &amp; Lists'!$J$4:$J$20,$E46))</f>
        <v/>
      </c>
      <c r="H46" s="6" t="str">
        <f t="shared" si="1"/>
        <v/>
      </c>
      <c r="I46" s="18" t="str">
        <f t="shared" ca="1" si="2"/>
        <v/>
      </c>
      <c r="J46" s="5" t="str">
        <f t="shared" si="3"/>
        <v/>
      </c>
      <c r="K46" s="25"/>
      <c r="L46" s="5" t="str">
        <f t="shared" si="4"/>
        <v/>
      </c>
      <c r="M46" s="7"/>
      <c r="N46" s="7"/>
      <c r="O46" s="7"/>
      <c r="P46" s="20" t="str">
        <f>IF($A46="","",INDEX(Project_Tracker!$I$2:$I$101,INT((ROW()-6)/17)+1))</f>
        <v/>
      </c>
      <c r="Q46" s="20" t="str">
        <f>IF($A46="","",INDEX(Project_Tracker!$K$2:$K$101,INT((ROW()-6)/17)+1))</f>
        <v/>
      </c>
    </row>
    <row r="47" spans="1:17" x14ac:dyDescent="0.2">
      <c r="A47" s="20" t="str">
        <f>IF(INDEX(Project_Tracker!$AL$2:$AL$101,INT((ROW()-6)/17)+1)="","",INDEX(Project_Tracker!$AL$2:$AL$101,INT((ROW()-6)/17)+1))</f>
        <v/>
      </c>
      <c r="B47" s="21" t="str">
        <f>IF($A47="","",INDEX(Project_Tracker!$AM$2:$AM$101,INT((ROW()-6)/17)+1))</f>
        <v/>
      </c>
      <c r="C47" s="20" t="str">
        <f>IF($A47="","",INDEX(Project_Tracker!$C$2:$C$101,INT((ROW()-6)/17)+1))</f>
        <v/>
      </c>
      <c r="D47" s="6" t="str">
        <f>IF($A47="","",INDEX(Project_Tracker!$T$2:$T$101,INT((ROW()-6)/17)+1))</f>
        <v/>
      </c>
      <c r="E47" s="18">
        <f t="shared" si="0"/>
        <v>8</v>
      </c>
      <c r="F47" s="23" t="str">
        <f>IF($A47="","",INDEX('Logic &amp; Lists'!$I$4:$I$20,$E47))</f>
        <v/>
      </c>
      <c r="G47" s="18" t="str">
        <f>IF($A47="","",INDEX('Logic &amp; Lists'!$J$4:$J$20,$E47))</f>
        <v/>
      </c>
      <c r="H47" s="6" t="str">
        <f t="shared" si="1"/>
        <v/>
      </c>
      <c r="I47" s="18" t="str">
        <f t="shared" ca="1" si="2"/>
        <v/>
      </c>
      <c r="J47" s="5" t="str">
        <f t="shared" si="3"/>
        <v/>
      </c>
      <c r="K47" s="25"/>
      <c r="L47" s="5" t="str">
        <f t="shared" si="4"/>
        <v/>
      </c>
      <c r="M47" s="7"/>
      <c r="N47" s="7"/>
      <c r="O47" s="7"/>
      <c r="P47" s="20" t="str">
        <f>IF($A47="","",INDEX(Project_Tracker!$I$2:$I$101,INT((ROW()-6)/17)+1))</f>
        <v/>
      </c>
      <c r="Q47" s="20" t="str">
        <f>IF($A47="","",INDEX(Project_Tracker!$K$2:$K$101,INT((ROW()-6)/17)+1))</f>
        <v/>
      </c>
    </row>
    <row r="48" spans="1:17" x14ac:dyDescent="0.2">
      <c r="A48" s="20" t="str">
        <f>IF(INDEX(Project_Tracker!$AL$2:$AL$101,INT((ROW()-6)/17)+1)="","",INDEX(Project_Tracker!$AL$2:$AL$101,INT((ROW()-6)/17)+1))</f>
        <v/>
      </c>
      <c r="B48" s="21" t="str">
        <f>IF($A48="","",INDEX(Project_Tracker!$AM$2:$AM$101,INT((ROW()-6)/17)+1))</f>
        <v/>
      </c>
      <c r="C48" s="20" t="str">
        <f>IF($A48="","",INDEX(Project_Tracker!$C$2:$C$101,INT((ROW()-6)/17)+1))</f>
        <v/>
      </c>
      <c r="D48" s="6" t="str">
        <f>IF($A48="","",INDEX(Project_Tracker!$T$2:$T$101,INT((ROW()-6)/17)+1))</f>
        <v/>
      </c>
      <c r="E48" s="18">
        <f t="shared" si="0"/>
        <v>9</v>
      </c>
      <c r="F48" s="23" t="str">
        <f>IF($A48="","",INDEX('Logic &amp; Lists'!$I$4:$I$20,$E48))</f>
        <v/>
      </c>
      <c r="G48" s="18" t="str">
        <f>IF($A48="","",INDEX('Logic &amp; Lists'!$J$4:$J$20,$E48))</f>
        <v/>
      </c>
      <c r="H48" s="6" t="str">
        <f t="shared" si="1"/>
        <v/>
      </c>
      <c r="I48" s="18" t="str">
        <f t="shared" ca="1" si="2"/>
        <v/>
      </c>
      <c r="J48" s="5" t="str">
        <f t="shared" si="3"/>
        <v/>
      </c>
      <c r="K48" s="25"/>
      <c r="L48" s="5" t="str">
        <f t="shared" si="4"/>
        <v/>
      </c>
      <c r="M48" s="7"/>
      <c r="N48" s="7"/>
      <c r="O48" s="7"/>
      <c r="P48" s="20" t="str">
        <f>IF($A48="","",INDEX(Project_Tracker!$I$2:$I$101,INT((ROW()-6)/17)+1))</f>
        <v/>
      </c>
      <c r="Q48" s="20" t="str">
        <f>IF($A48="","",INDEX(Project_Tracker!$K$2:$K$101,INT((ROW()-6)/17)+1))</f>
        <v/>
      </c>
    </row>
    <row r="49" spans="1:17" x14ac:dyDescent="0.2">
      <c r="A49" s="20" t="str">
        <f>IF(INDEX(Project_Tracker!$AL$2:$AL$101,INT((ROW()-6)/17)+1)="","",INDEX(Project_Tracker!$AL$2:$AL$101,INT((ROW()-6)/17)+1))</f>
        <v/>
      </c>
      <c r="B49" s="21" t="str">
        <f>IF($A49="","",INDEX(Project_Tracker!$AM$2:$AM$101,INT((ROW()-6)/17)+1))</f>
        <v/>
      </c>
      <c r="C49" s="20" t="str">
        <f>IF($A49="","",INDEX(Project_Tracker!$C$2:$C$101,INT((ROW()-6)/17)+1))</f>
        <v/>
      </c>
      <c r="D49" s="6" t="str">
        <f>IF($A49="","",INDEX(Project_Tracker!$T$2:$T$101,INT((ROW()-6)/17)+1))</f>
        <v/>
      </c>
      <c r="E49" s="18">
        <f t="shared" si="0"/>
        <v>10</v>
      </c>
      <c r="F49" s="23" t="str">
        <f>IF($A49="","",INDEX('Logic &amp; Lists'!$I$4:$I$20,$E49))</f>
        <v/>
      </c>
      <c r="G49" s="18" t="str">
        <f>IF($A49="","",INDEX('Logic &amp; Lists'!$J$4:$J$20,$E49))</f>
        <v/>
      </c>
      <c r="H49" s="6" t="str">
        <f t="shared" si="1"/>
        <v/>
      </c>
      <c r="I49" s="18" t="str">
        <f t="shared" ca="1" si="2"/>
        <v/>
      </c>
      <c r="J49" s="5" t="str">
        <f t="shared" si="3"/>
        <v/>
      </c>
      <c r="K49" s="25"/>
      <c r="L49" s="5" t="str">
        <f t="shared" si="4"/>
        <v/>
      </c>
      <c r="M49" s="7"/>
      <c r="N49" s="7"/>
      <c r="O49" s="7"/>
      <c r="P49" s="20" t="str">
        <f>IF($A49="","",INDEX(Project_Tracker!$I$2:$I$101,INT((ROW()-6)/17)+1))</f>
        <v/>
      </c>
      <c r="Q49" s="20" t="str">
        <f>IF($A49="","",INDEX(Project_Tracker!$K$2:$K$101,INT((ROW()-6)/17)+1))</f>
        <v/>
      </c>
    </row>
    <row r="50" spans="1:17" x14ac:dyDescent="0.2">
      <c r="A50" s="20" t="str">
        <f>IF(INDEX(Project_Tracker!$AL$2:$AL$101,INT((ROW()-6)/17)+1)="","",INDEX(Project_Tracker!$AL$2:$AL$101,INT((ROW()-6)/17)+1))</f>
        <v/>
      </c>
      <c r="B50" s="21" t="str">
        <f>IF($A50="","",INDEX(Project_Tracker!$AM$2:$AM$101,INT((ROW()-6)/17)+1))</f>
        <v/>
      </c>
      <c r="C50" s="20" t="str">
        <f>IF($A50="","",INDEX(Project_Tracker!$C$2:$C$101,INT((ROW()-6)/17)+1))</f>
        <v/>
      </c>
      <c r="D50" s="6" t="str">
        <f>IF($A50="","",INDEX(Project_Tracker!$T$2:$T$101,INT((ROW()-6)/17)+1))</f>
        <v/>
      </c>
      <c r="E50" s="18">
        <f t="shared" si="0"/>
        <v>11</v>
      </c>
      <c r="F50" s="23" t="str">
        <f>IF($A50="","",INDEX('Logic &amp; Lists'!$I$4:$I$20,$E50))</f>
        <v/>
      </c>
      <c r="G50" s="18" t="str">
        <f>IF($A50="","",INDEX('Logic &amp; Lists'!$J$4:$J$20,$E50))</f>
        <v/>
      </c>
      <c r="H50" s="6" t="str">
        <f t="shared" si="1"/>
        <v/>
      </c>
      <c r="I50" s="18" t="str">
        <f t="shared" ca="1" si="2"/>
        <v/>
      </c>
      <c r="J50" s="5" t="str">
        <f t="shared" si="3"/>
        <v/>
      </c>
      <c r="K50" s="25"/>
      <c r="L50" s="5" t="str">
        <f t="shared" si="4"/>
        <v/>
      </c>
      <c r="M50" s="7"/>
      <c r="N50" s="7"/>
      <c r="O50" s="7"/>
      <c r="P50" s="20" t="str">
        <f>IF($A50="","",INDEX(Project_Tracker!$I$2:$I$101,INT((ROW()-6)/17)+1))</f>
        <v/>
      </c>
      <c r="Q50" s="20" t="str">
        <f>IF($A50="","",INDEX(Project_Tracker!$K$2:$K$101,INT((ROW()-6)/17)+1))</f>
        <v/>
      </c>
    </row>
    <row r="51" spans="1:17" x14ac:dyDescent="0.2">
      <c r="A51" s="20" t="str">
        <f>IF(INDEX(Project_Tracker!$AL$2:$AL$101,INT((ROW()-6)/17)+1)="","",INDEX(Project_Tracker!$AL$2:$AL$101,INT((ROW()-6)/17)+1))</f>
        <v/>
      </c>
      <c r="B51" s="21" t="str">
        <f>IF($A51="","",INDEX(Project_Tracker!$AM$2:$AM$101,INT((ROW()-6)/17)+1))</f>
        <v/>
      </c>
      <c r="C51" s="20" t="str">
        <f>IF($A51="","",INDEX(Project_Tracker!$C$2:$C$101,INT((ROW()-6)/17)+1))</f>
        <v/>
      </c>
      <c r="D51" s="6" t="str">
        <f>IF($A51="","",INDEX(Project_Tracker!$T$2:$T$101,INT((ROW()-6)/17)+1))</f>
        <v/>
      </c>
      <c r="E51" s="18">
        <f t="shared" si="0"/>
        <v>12</v>
      </c>
      <c r="F51" s="23" t="str">
        <f>IF($A51="","",INDEX('Logic &amp; Lists'!$I$4:$I$20,$E51))</f>
        <v/>
      </c>
      <c r="G51" s="18" t="str">
        <f>IF($A51="","",INDEX('Logic &amp; Lists'!$J$4:$J$20,$E51))</f>
        <v/>
      </c>
      <c r="H51" s="6" t="str">
        <f t="shared" si="1"/>
        <v/>
      </c>
      <c r="I51" s="18" t="str">
        <f t="shared" ca="1" si="2"/>
        <v/>
      </c>
      <c r="J51" s="5" t="str">
        <f t="shared" si="3"/>
        <v/>
      </c>
      <c r="K51" s="25"/>
      <c r="L51" s="5" t="str">
        <f t="shared" si="4"/>
        <v/>
      </c>
      <c r="M51" s="7"/>
      <c r="N51" s="7"/>
      <c r="O51" s="7"/>
      <c r="P51" s="20" t="str">
        <f>IF($A51="","",INDEX(Project_Tracker!$I$2:$I$101,INT((ROW()-6)/17)+1))</f>
        <v/>
      </c>
      <c r="Q51" s="20" t="str">
        <f>IF($A51="","",INDEX(Project_Tracker!$K$2:$K$101,INT((ROW()-6)/17)+1))</f>
        <v/>
      </c>
    </row>
    <row r="52" spans="1:17" x14ac:dyDescent="0.2">
      <c r="A52" s="20" t="str">
        <f>IF(INDEX(Project_Tracker!$AL$2:$AL$101,INT((ROW()-6)/17)+1)="","",INDEX(Project_Tracker!$AL$2:$AL$101,INT((ROW()-6)/17)+1))</f>
        <v/>
      </c>
      <c r="B52" s="21" t="str">
        <f>IF($A52="","",INDEX(Project_Tracker!$AM$2:$AM$101,INT((ROW()-6)/17)+1))</f>
        <v/>
      </c>
      <c r="C52" s="20" t="str">
        <f>IF($A52="","",INDEX(Project_Tracker!$C$2:$C$101,INT((ROW()-6)/17)+1))</f>
        <v/>
      </c>
      <c r="D52" s="6" t="str">
        <f>IF($A52="","",INDEX(Project_Tracker!$T$2:$T$101,INT((ROW()-6)/17)+1))</f>
        <v/>
      </c>
      <c r="E52" s="18">
        <f t="shared" si="0"/>
        <v>13</v>
      </c>
      <c r="F52" s="23" t="str">
        <f>IF($A52="","",INDEX('Logic &amp; Lists'!$I$4:$I$20,$E52))</f>
        <v/>
      </c>
      <c r="G52" s="18" t="str">
        <f>IF($A52="","",INDEX('Logic &amp; Lists'!$J$4:$J$20,$E52))</f>
        <v/>
      </c>
      <c r="H52" s="6" t="str">
        <f t="shared" si="1"/>
        <v/>
      </c>
      <c r="I52" s="18" t="str">
        <f t="shared" ca="1" si="2"/>
        <v/>
      </c>
      <c r="J52" s="5" t="str">
        <f t="shared" si="3"/>
        <v/>
      </c>
      <c r="K52" s="25"/>
      <c r="L52" s="5" t="str">
        <f t="shared" si="4"/>
        <v/>
      </c>
      <c r="M52" s="7"/>
      <c r="N52" s="7"/>
      <c r="O52" s="7"/>
      <c r="P52" s="20" t="str">
        <f>IF($A52="","",INDEX(Project_Tracker!$I$2:$I$101,INT((ROW()-6)/17)+1))</f>
        <v/>
      </c>
      <c r="Q52" s="20" t="str">
        <f>IF($A52="","",INDEX(Project_Tracker!$K$2:$K$101,INT((ROW()-6)/17)+1))</f>
        <v/>
      </c>
    </row>
    <row r="53" spans="1:17" x14ac:dyDescent="0.2">
      <c r="A53" s="20" t="str">
        <f>IF(INDEX(Project_Tracker!$AL$2:$AL$101,INT((ROW()-6)/17)+1)="","",INDEX(Project_Tracker!$AL$2:$AL$101,INT((ROW()-6)/17)+1))</f>
        <v/>
      </c>
      <c r="B53" s="21" t="str">
        <f>IF($A53="","",INDEX(Project_Tracker!$AM$2:$AM$101,INT((ROW()-6)/17)+1))</f>
        <v/>
      </c>
      <c r="C53" s="20" t="str">
        <f>IF($A53="","",INDEX(Project_Tracker!$C$2:$C$101,INT((ROW()-6)/17)+1))</f>
        <v/>
      </c>
      <c r="D53" s="6" t="str">
        <f>IF($A53="","",INDEX(Project_Tracker!$T$2:$T$101,INT((ROW()-6)/17)+1))</f>
        <v/>
      </c>
      <c r="E53" s="18">
        <f t="shared" si="0"/>
        <v>14</v>
      </c>
      <c r="F53" s="23" t="str">
        <f>IF($A53="","",INDEX('Logic &amp; Lists'!$I$4:$I$20,$E53))</f>
        <v/>
      </c>
      <c r="G53" s="18" t="str">
        <f>IF($A53="","",INDEX('Logic &amp; Lists'!$J$4:$J$20,$E53))</f>
        <v/>
      </c>
      <c r="H53" s="6" t="str">
        <f t="shared" si="1"/>
        <v/>
      </c>
      <c r="I53" s="18" t="str">
        <f t="shared" ca="1" si="2"/>
        <v/>
      </c>
      <c r="J53" s="5" t="str">
        <f t="shared" si="3"/>
        <v/>
      </c>
      <c r="K53" s="25"/>
      <c r="L53" s="5" t="str">
        <f t="shared" si="4"/>
        <v/>
      </c>
      <c r="M53" s="7"/>
      <c r="N53" s="7"/>
      <c r="O53" s="7"/>
      <c r="P53" s="20" t="str">
        <f>IF($A53="","",INDEX(Project_Tracker!$I$2:$I$101,INT((ROW()-6)/17)+1))</f>
        <v/>
      </c>
      <c r="Q53" s="20" t="str">
        <f>IF($A53="","",INDEX(Project_Tracker!$K$2:$K$101,INT((ROW()-6)/17)+1))</f>
        <v/>
      </c>
    </row>
    <row r="54" spans="1:17" x14ac:dyDescent="0.2">
      <c r="A54" s="20" t="str">
        <f>IF(INDEX(Project_Tracker!$AL$2:$AL$101,INT((ROW()-6)/17)+1)="","",INDEX(Project_Tracker!$AL$2:$AL$101,INT((ROW()-6)/17)+1))</f>
        <v/>
      </c>
      <c r="B54" s="21" t="str">
        <f>IF($A54="","",INDEX(Project_Tracker!$AM$2:$AM$101,INT((ROW()-6)/17)+1))</f>
        <v/>
      </c>
      <c r="C54" s="20" t="str">
        <f>IF($A54="","",INDEX(Project_Tracker!$C$2:$C$101,INT((ROW()-6)/17)+1))</f>
        <v/>
      </c>
      <c r="D54" s="6" t="str">
        <f>IF($A54="","",INDEX(Project_Tracker!$T$2:$T$101,INT((ROW()-6)/17)+1))</f>
        <v/>
      </c>
      <c r="E54" s="18">
        <f t="shared" si="0"/>
        <v>15</v>
      </c>
      <c r="F54" s="23" t="str">
        <f>IF($A54="","",INDEX('Logic &amp; Lists'!$I$4:$I$20,$E54))</f>
        <v/>
      </c>
      <c r="G54" s="18" t="str">
        <f>IF($A54="","",INDEX('Logic &amp; Lists'!$J$4:$J$20,$E54))</f>
        <v/>
      </c>
      <c r="H54" s="6" t="str">
        <f t="shared" si="1"/>
        <v/>
      </c>
      <c r="I54" s="18" t="str">
        <f t="shared" ca="1" si="2"/>
        <v/>
      </c>
      <c r="J54" s="5" t="str">
        <f t="shared" si="3"/>
        <v/>
      </c>
      <c r="K54" s="25"/>
      <c r="L54" s="5" t="str">
        <f t="shared" si="4"/>
        <v/>
      </c>
      <c r="M54" s="7"/>
      <c r="N54" s="7"/>
      <c r="O54" s="7"/>
      <c r="P54" s="20" t="str">
        <f>IF($A54="","",INDEX(Project_Tracker!$I$2:$I$101,INT((ROW()-6)/17)+1))</f>
        <v/>
      </c>
      <c r="Q54" s="20" t="str">
        <f>IF($A54="","",INDEX(Project_Tracker!$K$2:$K$101,INT((ROW()-6)/17)+1))</f>
        <v/>
      </c>
    </row>
    <row r="55" spans="1:17" x14ac:dyDescent="0.2">
      <c r="A55" s="20" t="str">
        <f>IF(INDEX(Project_Tracker!$AL$2:$AL$101,INT((ROW()-6)/17)+1)="","",INDEX(Project_Tracker!$AL$2:$AL$101,INT((ROW()-6)/17)+1))</f>
        <v/>
      </c>
      <c r="B55" s="21" t="str">
        <f>IF($A55="","",INDEX(Project_Tracker!$AM$2:$AM$101,INT((ROW()-6)/17)+1))</f>
        <v/>
      </c>
      <c r="C55" s="20" t="str">
        <f>IF($A55="","",INDEX(Project_Tracker!$C$2:$C$101,INT((ROW()-6)/17)+1))</f>
        <v/>
      </c>
      <c r="D55" s="6" t="str">
        <f>IF($A55="","",INDEX(Project_Tracker!$T$2:$T$101,INT((ROW()-6)/17)+1))</f>
        <v/>
      </c>
      <c r="E55" s="18">
        <f t="shared" si="0"/>
        <v>16</v>
      </c>
      <c r="F55" s="23" t="str">
        <f>IF($A55="","",INDEX('Logic &amp; Lists'!$I$4:$I$20,$E55))</f>
        <v/>
      </c>
      <c r="G55" s="18" t="str">
        <f>IF($A55="","",INDEX('Logic &amp; Lists'!$J$4:$J$20,$E55))</f>
        <v/>
      </c>
      <c r="H55" s="6" t="str">
        <f t="shared" si="1"/>
        <v/>
      </c>
      <c r="I55" s="18" t="str">
        <f t="shared" ca="1" si="2"/>
        <v/>
      </c>
      <c r="J55" s="5" t="str">
        <f t="shared" si="3"/>
        <v/>
      </c>
      <c r="K55" s="25"/>
      <c r="L55" s="5" t="str">
        <f t="shared" si="4"/>
        <v/>
      </c>
      <c r="M55" s="7"/>
      <c r="N55" s="7"/>
      <c r="O55" s="7"/>
      <c r="P55" s="20" t="str">
        <f>IF($A55="","",INDEX(Project_Tracker!$I$2:$I$101,INT((ROW()-6)/17)+1))</f>
        <v/>
      </c>
      <c r="Q55" s="20" t="str">
        <f>IF($A55="","",INDEX(Project_Tracker!$K$2:$K$101,INT((ROW()-6)/17)+1))</f>
        <v/>
      </c>
    </row>
    <row r="56" spans="1:17" x14ac:dyDescent="0.2">
      <c r="A56" s="20" t="str">
        <f>IF(INDEX(Project_Tracker!$AL$2:$AL$101,INT((ROW()-6)/17)+1)="","",INDEX(Project_Tracker!$AL$2:$AL$101,INT((ROW()-6)/17)+1))</f>
        <v/>
      </c>
      <c r="B56" s="21" t="str">
        <f>IF($A56="","",INDEX(Project_Tracker!$AM$2:$AM$101,INT((ROW()-6)/17)+1))</f>
        <v/>
      </c>
      <c r="C56" s="20" t="str">
        <f>IF($A56="","",INDEX(Project_Tracker!$C$2:$C$101,INT((ROW()-6)/17)+1))</f>
        <v/>
      </c>
      <c r="D56" s="6" t="str">
        <f>IF($A56="","",INDEX(Project_Tracker!$T$2:$T$101,INT((ROW()-6)/17)+1))</f>
        <v/>
      </c>
      <c r="E56" s="18">
        <f t="shared" si="0"/>
        <v>17</v>
      </c>
      <c r="F56" s="23" t="str">
        <f>IF($A56="","",INDEX('Logic &amp; Lists'!$I$4:$I$20,$E56))</f>
        <v/>
      </c>
      <c r="G56" s="18" t="str">
        <f>IF($A56="","",INDEX('Logic &amp; Lists'!$J$4:$J$20,$E56))</f>
        <v/>
      </c>
      <c r="H56" s="6" t="str">
        <f t="shared" si="1"/>
        <v/>
      </c>
      <c r="I56" s="18" t="str">
        <f t="shared" ca="1" si="2"/>
        <v/>
      </c>
      <c r="J56" s="5" t="str">
        <f t="shared" si="3"/>
        <v/>
      </c>
      <c r="K56" s="25"/>
      <c r="L56" s="5" t="str">
        <f t="shared" si="4"/>
        <v/>
      </c>
      <c r="M56" s="7"/>
      <c r="N56" s="7"/>
      <c r="O56" s="7"/>
      <c r="P56" s="20" t="str">
        <f>IF($A56="","",INDEX(Project_Tracker!$I$2:$I$101,INT((ROW()-6)/17)+1))</f>
        <v/>
      </c>
      <c r="Q56" s="20" t="str">
        <f>IF($A56="","",INDEX(Project_Tracker!$K$2:$K$101,INT((ROW()-6)/17)+1))</f>
        <v/>
      </c>
    </row>
    <row r="57" spans="1:17" x14ac:dyDescent="0.2">
      <c r="A57" s="20" t="str">
        <f>IF(INDEX(Project_Tracker!$AL$2:$AL$101,INT((ROW()-6)/17)+1)="","",INDEX(Project_Tracker!$AL$2:$AL$101,INT((ROW()-6)/17)+1))</f>
        <v/>
      </c>
      <c r="B57" s="21" t="str">
        <f>IF($A57="","",INDEX(Project_Tracker!$AM$2:$AM$101,INT((ROW()-6)/17)+1))</f>
        <v/>
      </c>
      <c r="C57" s="20" t="str">
        <f>IF($A57="","",INDEX(Project_Tracker!$C$2:$C$101,INT((ROW()-6)/17)+1))</f>
        <v/>
      </c>
      <c r="D57" s="6" t="str">
        <f>IF($A57="","",INDEX(Project_Tracker!$T$2:$T$101,INT((ROW()-6)/17)+1))</f>
        <v/>
      </c>
      <c r="E57" s="18">
        <f t="shared" si="0"/>
        <v>1</v>
      </c>
      <c r="F57" s="23" t="str">
        <f>IF($A57="","",INDEX('Logic &amp; Lists'!$I$4:$I$20,$E57))</f>
        <v/>
      </c>
      <c r="G57" s="18" t="str">
        <f>IF($A57="","",INDEX('Logic &amp; Lists'!$J$4:$J$20,$E57))</f>
        <v/>
      </c>
      <c r="H57" s="6" t="str">
        <f t="shared" si="1"/>
        <v/>
      </c>
      <c r="I57" s="18" t="str">
        <f t="shared" ca="1" si="2"/>
        <v/>
      </c>
      <c r="J57" s="5" t="str">
        <f t="shared" si="3"/>
        <v/>
      </c>
      <c r="K57" s="25"/>
      <c r="L57" s="5" t="str">
        <f t="shared" si="4"/>
        <v/>
      </c>
      <c r="M57" s="7"/>
      <c r="N57" s="7"/>
      <c r="O57" s="7"/>
      <c r="P57" s="20" t="str">
        <f>IF($A57="","",INDEX(Project_Tracker!$I$2:$I$101,INT((ROW()-6)/17)+1))</f>
        <v/>
      </c>
      <c r="Q57" s="20" t="str">
        <f>IF($A57="","",INDEX(Project_Tracker!$K$2:$K$101,INT((ROW()-6)/17)+1))</f>
        <v/>
      </c>
    </row>
    <row r="58" spans="1:17" x14ac:dyDescent="0.2">
      <c r="A58" s="20" t="str">
        <f>IF(INDEX(Project_Tracker!$AL$2:$AL$101,INT((ROW()-6)/17)+1)="","",INDEX(Project_Tracker!$AL$2:$AL$101,INT((ROW()-6)/17)+1))</f>
        <v/>
      </c>
      <c r="B58" s="21" t="str">
        <f>IF($A58="","",INDEX(Project_Tracker!$AM$2:$AM$101,INT((ROW()-6)/17)+1))</f>
        <v/>
      </c>
      <c r="C58" s="20" t="str">
        <f>IF($A58="","",INDEX(Project_Tracker!$C$2:$C$101,INT((ROW()-6)/17)+1))</f>
        <v/>
      </c>
      <c r="D58" s="6" t="str">
        <f>IF($A58="","",INDEX(Project_Tracker!$T$2:$T$101,INT((ROW()-6)/17)+1))</f>
        <v/>
      </c>
      <c r="E58" s="18">
        <f t="shared" si="0"/>
        <v>2</v>
      </c>
      <c r="F58" s="23" t="str">
        <f>IF($A58="","",INDEX('Logic &amp; Lists'!$I$4:$I$20,$E58))</f>
        <v/>
      </c>
      <c r="G58" s="18" t="str">
        <f>IF($A58="","",INDEX('Logic &amp; Lists'!$J$4:$J$20,$E58))</f>
        <v/>
      </c>
      <c r="H58" s="6" t="str">
        <f t="shared" si="1"/>
        <v/>
      </c>
      <c r="I58" s="18" t="str">
        <f t="shared" ca="1" si="2"/>
        <v/>
      </c>
      <c r="J58" s="5" t="str">
        <f t="shared" si="3"/>
        <v/>
      </c>
      <c r="K58" s="25"/>
      <c r="L58" s="5" t="str">
        <f t="shared" si="4"/>
        <v/>
      </c>
      <c r="M58" s="7"/>
      <c r="N58" s="7"/>
      <c r="O58" s="7"/>
      <c r="P58" s="20" t="str">
        <f>IF($A58="","",INDEX(Project_Tracker!$I$2:$I$101,INT((ROW()-6)/17)+1))</f>
        <v/>
      </c>
      <c r="Q58" s="20" t="str">
        <f>IF($A58="","",INDEX(Project_Tracker!$K$2:$K$101,INT((ROW()-6)/17)+1))</f>
        <v/>
      </c>
    </row>
    <row r="59" spans="1:17" x14ac:dyDescent="0.2">
      <c r="A59" s="20" t="str">
        <f>IF(INDEX(Project_Tracker!$AL$2:$AL$101,INT((ROW()-6)/17)+1)="","",INDEX(Project_Tracker!$AL$2:$AL$101,INT((ROW()-6)/17)+1))</f>
        <v/>
      </c>
      <c r="B59" s="21" t="str">
        <f>IF($A59="","",INDEX(Project_Tracker!$AM$2:$AM$101,INT((ROW()-6)/17)+1))</f>
        <v/>
      </c>
      <c r="C59" s="20" t="str">
        <f>IF($A59="","",INDEX(Project_Tracker!$C$2:$C$101,INT((ROW()-6)/17)+1))</f>
        <v/>
      </c>
      <c r="D59" s="6" t="str">
        <f>IF($A59="","",INDEX(Project_Tracker!$T$2:$T$101,INT((ROW()-6)/17)+1))</f>
        <v/>
      </c>
      <c r="E59" s="18">
        <f t="shared" si="0"/>
        <v>3</v>
      </c>
      <c r="F59" s="23" t="str">
        <f>IF($A59="","",INDEX('Logic &amp; Lists'!$I$4:$I$20,$E59))</f>
        <v/>
      </c>
      <c r="G59" s="18" t="str">
        <f>IF($A59="","",INDEX('Logic &amp; Lists'!$J$4:$J$20,$E59))</f>
        <v/>
      </c>
      <c r="H59" s="6" t="str">
        <f t="shared" si="1"/>
        <v/>
      </c>
      <c r="I59" s="18" t="str">
        <f t="shared" ca="1" si="2"/>
        <v/>
      </c>
      <c r="J59" s="5" t="str">
        <f t="shared" si="3"/>
        <v/>
      </c>
      <c r="K59" s="25"/>
      <c r="L59" s="5" t="str">
        <f t="shared" si="4"/>
        <v/>
      </c>
      <c r="M59" s="7"/>
      <c r="N59" s="7"/>
      <c r="O59" s="7"/>
      <c r="P59" s="20" t="str">
        <f>IF($A59="","",INDEX(Project_Tracker!$I$2:$I$101,INT((ROW()-6)/17)+1))</f>
        <v/>
      </c>
      <c r="Q59" s="20" t="str">
        <f>IF($A59="","",INDEX(Project_Tracker!$K$2:$K$101,INT((ROW()-6)/17)+1))</f>
        <v/>
      </c>
    </row>
    <row r="60" spans="1:17" x14ac:dyDescent="0.2">
      <c r="A60" s="20" t="str">
        <f>IF(INDEX(Project_Tracker!$AL$2:$AL$101,INT((ROW()-6)/17)+1)="","",INDEX(Project_Tracker!$AL$2:$AL$101,INT((ROW()-6)/17)+1))</f>
        <v/>
      </c>
      <c r="B60" s="21" t="str">
        <f>IF($A60="","",INDEX(Project_Tracker!$AM$2:$AM$101,INT((ROW()-6)/17)+1))</f>
        <v/>
      </c>
      <c r="C60" s="20" t="str">
        <f>IF($A60="","",INDEX(Project_Tracker!$C$2:$C$101,INT((ROW()-6)/17)+1))</f>
        <v/>
      </c>
      <c r="D60" s="6" t="str">
        <f>IF($A60="","",INDEX(Project_Tracker!$T$2:$T$101,INT((ROW()-6)/17)+1))</f>
        <v/>
      </c>
      <c r="E60" s="18">
        <f t="shared" si="0"/>
        <v>4</v>
      </c>
      <c r="F60" s="23" t="str">
        <f>IF($A60="","",INDEX('Logic &amp; Lists'!$I$4:$I$20,$E60))</f>
        <v/>
      </c>
      <c r="G60" s="18" t="str">
        <f>IF($A60="","",INDEX('Logic &amp; Lists'!$J$4:$J$20,$E60))</f>
        <v/>
      </c>
      <c r="H60" s="6" t="str">
        <f t="shared" si="1"/>
        <v/>
      </c>
      <c r="I60" s="18" t="str">
        <f t="shared" ca="1" si="2"/>
        <v/>
      </c>
      <c r="J60" s="5" t="str">
        <f t="shared" si="3"/>
        <v/>
      </c>
      <c r="K60" s="25"/>
      <c r="L60" s="5" t="str">
        <f t="shared" si="4"/>
        <v/>
      </c>
      <c r="M60" s="7"/>
      <c r="N60" s="7"/>
      <c r="O60" s="7"/>
      <c r="P60" s="20" t="str">
        <f>IF($A60="","",INDEX(Project_Tracker!$I$2:$I$101,INT((ROW()-6)/17)+1))</f>
        <v/>
      </c>
      <c r="Q60" s="20" t="str">
        <f>IF($A60="","",INDEX(Project_Tracker!$K$2:$K$101,INT((ROW()-6)/17)+1))</f>
        <v/>
      </c>
    </row>
    <row r="61" spans="1:17" x14ac:dyDescent="0.2">
      <c r="A61" s="20" t="str">
        <f>IF(INDEX(Project_Tracker!$AL$2:$AL$101,INT((ROW()-6)/17)+1)="","",INDEX(Project_Tracker!$AL$2:$AL$101,INT((ROW()-6)/17)+1))</f>
        <v/>
      </c>
      <c r="B61" s="21" t="str">
        <f>IF($A61="","",INDEX(Project_Tracker!$AM$2:$AM$101,INT((ROW()-6)/17)+1))</f>
        <v/>
      </c>
      <c r="C61" s="20" t="str">
        <f>IF($A61="","",INDEX(Project_Tracker!$C$2:$C$101,INT((ROW()-6)/17)+1))</f>
        <v/>
      </c>
      <c r="D61" s="6" t="str">
        <f>IF($A61="","",INDEX(Project_Tracker!$T$2:$T$101,INT((ROW()-6)/17)+1))</f>
        <v/>
      </c>
      <c r="E61" s="18">
        <f t="shared" si="0"/>
        <v>5</v>
      </c>
      <c r="F61" s="23" t="str">
        <f>IF($A61="","",INDEX('Logic &amp; Lists'!$I$4:$I$20,$E61))</f>
        <v/>
      </c>
      <c r="G61" s="18" t="str">
        <f>IF($A61="","",INDEX('Logic &amp; Lists'!$J$4:$J$20,$E61))</f>
        <v/>
      </c>
      <c r="H61" s="6" t="str">
        <f t="shared" si="1"/>
        <v/>
      </c>
      <c r="I61" s="18" t="str">
        <f t="shared" ca="1" si="2"/>
        <v/>
      </c>
      <c r="J61" s="5" t="str">
        <f t="shared" si="3"/>
        <v/>
      </c>
      <c r="K61" s="25"/>
      <c r="L61" s="5" t="str">
        <f t="shared" si="4"/>
        <v/>
      </c>
      <c r="M61" s="7"/>
      <c r="N61" s="7"/>
      <c r="O61" s="7"/>
      <c r="P61" s="20" t="str">
        <f>IF($A61="","",INDEX(Project_Tracker!$I$2:$I$101,INT((ROW()-6)/17)+1))</f>
        <v/>
      </c>
      <c r="Q61" s="20" t="str">
        <f>IF($A61="","",INDEX(Project_Tracker!$K$2:$K$101,INT((ROW()-6)/17)+1))</f>
        <v/>
      </c>
    </row>
    <row r="62" spans="1:17" x14ac:dyDescent="0.2">
      <c r="A62" s="20" t="str">
        <f>IF(INDEX(Project_Tracker!$AL$2:$AL$101,INT((ROW()-6)/17)+1)="","",INDEX(Project_Tracker!$AL$2:$AL$101,INT((ROW()-6)/17)+1))</f>
        <v/>
      </c>
      <c r="B62" s="21" t="str">
        <f>IF($A62="","",INDEX(Project_Tracker!$AM$2:$AM$101,INT((ROW()-6)/17)+1))</f>
        <v/>
      </c>
      <c r="C62" s="20" t="str">
        <f>IF($A62="","",INDEX(Project_Tracker!$C$2:$C$101,INT((ROW()-6)/17)+1))</f>
        <v/>
      </c>
      <c r="D62" s="6" t="str">
        <f>IF($A62="","",INDEX(Project_Tracker!$T$2:$T$101,INT((ROW()-6)/17)+1))</f>
        <v/>
      </c>
      <c r="E62" s="18">
        <f t="shared" si="0"/>
        <v>6</v>
      </c>
      <c r="F62" s="23" t="str">
        <f>IF($A62="","",INDEX('Logic &amp; Lists'!$I$4:$I$20,$E62))</f>
        <v/>
      </c>
      <c r="G62" s="18" t="str">
        <f>IF($A62="","",INDEX('Logic &amp; Lists'!$J$4:$J$20,$E62))</f>
        <v/>
      </c>
      <c r="H62" s="6" t="str">
        <f t="shared" si="1"/>
        <v/>
      </c>
      <c r="I62" s="18" t="str">
        <f t="shared" ca="1" si="2"/>
        <v/>
      </c>
      <c r="J62" s="5" t="str">
        <f t="shared" si="3"/>
        <v/>
      </c>
      <c r="K62" s="25"/>
      <c r="L62" s="5" t="str">
        <f t="shared" si="4"/>
        <v/>
      </c>
      <c r="M62" s="7"/>
      <c r="N62" s="7"/>
      <c r="O62" s="7"/>
      <c r="P62" s="20" t="str">
        <f>IF($A62="","",INDEX(Project_Tracker!$I$2:$I$101,INT((ROW()-6)/17)+1))</f>
        <v/>
      </c>
      <c r="Q62" s="20" t="str">
        <f>IF($A62="","",INDEX(Project_Tracker!$K$2:$K$101,INT((ROW()-6)/17)+1))</f>
        <v/>
      </c>
    </row>
    <row r="63" spans="1:17" x14ac:dyDescent="0.2">
      <c r="A63" s="20" t="str">
        <f>IF(INDEX(Project_Tracker!$AL$2:$AL$101,INT((ROW()-6)/17)+1)="","",INDEX(Project_Tracker!$AL$2:$AL$101,INT((ROW()-6)/17)+1))</f>
        <v/>
      </c>
      <c r="B63" s="21" t="str">
        <f>IF($A63="","",INDEX(Project_Tracker!$AM$2:$AM$101,INT((ROW()-6)/17)+1))</f>
        <v/>
      </c>
      <c r="C63" s="20" t="str">
        <f>IF($A63="","",INDEX(Project_Tracker!$C$2:$C$101,INT((ROW()-6)/17)+1))</f>
        <v/>
      </c>
      <c r="D63" s="6" t="str">
        <f>IF($A63="","",INDEX(Project_Tracker!$T$2:$T$101,INT((ROW()-6)/17)+1))</f>
        <v/>
      </c>
      <c r="E63" s="18">
        <f t="shared" si="0"/>
        <v>7</v>
      </c>
      <c r="F63" s="23" t="str">
        <f>IF($A63="","",INDEX('Logic &amp; Lists'!$I$4:$I$20,$E63))</f>
        <v/>
      </c>
      <c r="G63" s="18" t="str">
        <f>IF($A63="","",INDEX('Logic &amp; Lists'!$J$4:$J$20,$E63))</f>
        <v/>
      </c>
      <c r="H63" s="6" t="str">
        <f t="shared" si="1"/>
        <v/>
      </c>
      <c r="I63" s="18" t="str">
        <f t="shared" ca="1" si="2"/>
        <v/>
      </c>
      <c r="J63" s="5" t="str">
        <f t="shared" si="3"/>
        <v/>
      </c>
      <c r="K63" s="25"/>
      <c r="L63" s="5" t="str">
        <f t="shared" si="4"/>
        <v/>
      </c>
      <c r="M63" s="7"/>
      <c r="N63" s="7"/>
      <c r="O63" s="7"/>
      <c r="P63" s="20" t="str">
        <f>IF($A63="","",INDEX(Project_Tracker!$I$2:$I$101,INT((ROW()-6)/17)+1))</f>
        <v/>
      </c>
      <c r="Q63" s="20" t="str">
        <f>IF($A63="","",INDEX(Project_Tracker!$K$2:$K$101,INT((ROW()-6)/17)+1))</f>
        <v/>
      </c>
    </row>
    <row r="64" spans="1:17" x14ac:dyDescent="0.2">
      <c r="A64" s="20" t="str">
        <f>IF(INDEX(Project_Tracker!$AL$2:$AL$101,INT((ROW()-6)/17)+1)="","",INDEX(Project_Tracker!$AL$2:$AL$101,INT((ROW()-6)/17)+1))</f>
        <v/>
      </c>
      <c r="B64" s="21" t="str">
        <f>IF($A64="","",INDEX(Project_Tracker!$AM$2:$AM$101,INT((ROW()-6)/17)+1))</f>
        <v/>
      </c>
      <c r="C64" s="20" t="str">
        <f>IF($A64="","",INDEX(Project_Tracker!$C$2:$C$101,INT((ROW()-6)/17)+1))</f>
        <v/>
      </c>
      <c r="D64" s="6" t="str">
        <f>IF($A64="","",INDEX(Project_Tracker!$T$2:$T$101,INT((ROW()-6)/17)+1))</f>
        <v/>
      </c>
      <c r="E64" s="18">
        <f t="shared" si="0"/>
        <v>8</v>
      </c>
      <c r="F64" s="23" t="str">
        <f>IF($A64="","",INDEX('Logic &amp; Lists'!$I$4:$I$20,$E64))</f>
        <v/>
      </c>
      <c r="G64" s="18" t="str">
        <f>IF($A64="","",INDEX('Logic &amp; Lists'!$J$4:$J$20,$E64))</f>
        <v/>
      </c>
      <c r="H64" s="6" t="str">
        <f t="shared" si="1"/>
        <v/>
      </c>
      <c r="I64" s="18" t="str">
        <f t="shared" ca="1" si="2"/>
        <v/>
      </c>
      <c r="J64" s="5" t="str">
        <f t="shared" si="3"/>
        <v/>
      </c>
      <c r="K64" s="25"/>
      <c r="L64" s="5" t="str">
        <f t="shared" si="4"/>
        <v/>
      </c>
      <c r="M64" s="7"/>
      <c r="N64" s="7"/>
      <c r="O64" s="7"/>
      <c r="P64" s="20" t="str">
        <f>IF($A64="","",INDEX(Project_Tracker!$I$2:$I$101,INT((ROW()-6)/17)+1))</f>
        <v/>
      </c>
      <c r="Q64" s="20" t="str">
        <f>IF($A64="","",INDEX(Project_Tracker!$K$2:$K$101,INT((ROW()-6)/17)+1))</f>
        <v/>
      </c>
    </row>
    <row r="65" spans="1:17" x14ac:dyDescent="0.2">
      <c r="A65" s="20" t="str">
        <f>IF(INDEX(Project_Tracker!$AL$2:$AL$101,INT((ROW()-6)/17)+1)="","",INDEX(Project_Tracker!$AL$2:$AL$101,INT((ROW()-6)/17)+1))</f>
        <v/>
      </c>
      <c r="B65" s="21" t="str">
        <f>IF($A65="","",INDEX(Project_Tracker!$AM$2:$AM$101,INT((ROW()-6)/17)+1))</f>
        <v/>
      </c>
      <c r="C65" s="20" t="str">
        <f>IF($A65="","",INDEX(Project_Tracker!$C$2:$C$101,INT((ROW()-6)/17)+1))</f>
        <v/>
      </c>
      <c r="D65" s="6" t="str">
        <f>IF($A65="","",INDEX(Project_Tracker!$T$2:$T$101,INT((ROW()-6)/17)+1))</f>
        <v/>
      </c>
      <c r="E65" s="18">
        <f t="shared" si="0"/>
        <v>9</v>
      </c>
      <c r="F65" s="23" t="str">
        <f>IF($A65="","",INDEX('Logic &amp; Lists'!$I$4:$I$20,$E65))</f>
        <v/>
      </c>
      <c r="G65" s="18" t="str">
        <f>IF($A65="","",INDEX('Logic &amp; Lists'!$J$4:$J$20,$E65))</f>
        <v/>
      </c>
      <c r="H65" s="6" t="str">
        <f t="shared" si="1"/>
        <v/>
      </c>
      <c r="I65" s="18" t="str">
        <f t="shared" ca="1" si="2"/>
        <v/>
      </c>
      <c r="J65" s="5" t="str">
        <f t="shared" si="3"/>
        <v/>
      </c>
      <c r="K65" s="25"/>
      <c r="L65" s="5" t="str">
        <f t="shared" si="4"/>
        <v/>
      </c>
      <c r="M65" s="7"/>
      <c r="N65" s="7"/>
      <c r="O65" s="7"/>
      <c r="P65" s="20" t="str">
        <f>IF($A65="","",INDEX(Project_Tracker!$I$2:$I$101,INT((ROW()-6)/17)+1))</f>
        <v/>
      </c>
      <c r="Q65" s="20" t="str">
        <f>IF($A65="","",INDEX(Project_Tracker!$K$2:$K$101,INT((ROW()-6)/17)+1))</f>
        <v/>
      </c>
    </row>
    <row r="66" spans="1:17" x14ac:dyDescent="0.2">
      <c r="A66" s="20" t="str">
        <f>IF(INDEX(Project_Tracker!$AL$2:$AL$101,INT((ROW()-6)/17)+1)="","",INDEX(Project_Tracker!$AL$2:$AL$101,INT((ROW()-6)/17)+1))</f>
        <v/>
      </c>
      <c r="B66" s="21" t="str">
        <f>IF($A66="","",INDEX(Project_Tracker!$AM$2:$AM$101,INT((ROW()-6)/17)+1))</f>
        <v/>
      </c>
      <c r="C66" s="20" t="str">
        <f>IF($A66="","",INDEX(Project_Tracker!$C$2:$C$101,INT((ROW()-6)/17)+1))</f>
        <v/>
      </c>
      <c r="D66" s="6" t="str">
        <f>IF($A66="","",INDEX(Project_Tracker!$T$2:$T$101,INT((ROW()-6)/17)+1))</f>
        <v/>
      </c>
      <c r="E66" s="18">
        <f t="shared" si="0"/>
        <v>10</v>
      </c>
      <c r="F66" s="23" t="str">
        <f>IF($A66="","",INDEX('Logic &amp; Lists'!$I$4:$I$20,$E66))</f>
        <v/>
      </c>
      <c r="G66" s="18" t="str">
        <f>IF($A66="","",INDEX('Logic &amp; Lists'!$J$4:$J$20,$E66))</f>
        <v/>
      </c>
      <c r="H66" s="6" t="str">
        <f t="shared" si="1"/>
        <v/>
      </c>
      <c r="I66" s="18" t="str">
        <f t="shared" ca="1" si="2"/>
        <v/>
      </c>
      <c r="J66" s="5" t="str">
        <f t="shared" si="3"/>
        <v/>
      </c>
      <c r="K66" s="25"/>
      <c r="L66" s="5" t="str">
        <f t="shared" si="4"/>
        <v/>
      </c>
      <c r="M66" s="7"/>
      <c r="N66" s="7"/>
      <c r="O66" s="7"/>
      <c r="P66" s="20" t="str">
        <f>IF($A66="","",INDEX(Project_Tracker!$I$2:$I$101,INT((ROW()-6)/17)+1))</f>
        <v/>
      </c>
      <c r="Q66" s="20" t="str">
        <f>IF($A66="","",INDEX(Project_Tracker!$K$2:$K$101,INT((ROW()-6)/17)+1))</f>
        <v/>
      </c>
    </row>
    <row r="67" spans="1:17" x14ac:dyDescent="0.2">
      <c r="A67" s="20" t="str">
        <f>IF(INDEX(Project_Tracker!$AL$2:$AL$101,INT((ROW()-6)/17)+1)="","",INDEX(Project_Tracker!$AL$2:$AL$101,INT((ROW()-6)/17)+1))</f>
        <v/>
      </c>
      <c r="B67" s="21" t="str">
        <f>IF($A67="","",INDEX(Project_Tracker!$AM$2:$AM$101,INT((ROW()-6)/17)+1))</f>
        <v/>
      </c>
      <c r="C67" s="20" t="str">
        <f>IF($A67="","",INDEX(Project_Tracker!$C$2:$C$101,INT((ROW()-6)/17)+1))</f>
        <v/>
      </c>
      <c r="D67" s="6" t="str">
        <f>IF($A67="","",INDEX(Project_Tracker!$T$2:$T$101,INT((ROW()-6)/17)+1))</f>
        <v/>
      </c>
      <c r="E67" s="18">
        <f t="shared" si="0"/>
        <v>11</v>
      </c>
      <c r="F67" s="23" t="str">
        <f>IF($A67="","",INDEX('Logic &amp; Lists'!$I$4:$I$20,$E67))</f>
        <v/>
      </c>
      <c r="G67" s="18" t="str">
        <f>IF($A67="","",INDEX('Logic &amp; Lists'!$J$4:$J$20,$E67))</f>
        <v/>
      </c>
      <c r="H67" s="6" t="str">
        <f t="shared" si="1"/>
        <v/>
      </c>
      <c r="I67" s="18" t="str">
        <f t="shared" ca="1" si="2"/>
        <v/>
      </c>
      <c r="J67" s="5" t="str">
        <f t="shared" si="3"/>
        <v/>
      </c>
      <c r="K67" s="25"/>
      <c r="L67" s="5" t="str">
        <f t="shared" si="4"/>
        <v/>
      </c>
      <c r="M67" s="7"/>
      <c r="N67" s="7"/>
      <c r="O67" s="7"/>
      <c r="P67" s="20" t="str">
        <f>IF($A67="","",INDEX(Project_Tracker!$I$2:$I$101,INT((ROW()-6)/17)+1))</f>
        <v/>
      </c>
      <c r="Q67" s="20" t="str">
        <f>IF($A67="","",INDEX(Project_Tracker!$K$2:$K$101,INT((ROW()-6)/17)+1))</f>
        <v/>
      </c>
    </row>
    <row r="68" spans="1:17" x14ac:dyDescent="0.2">
      <c r="A68" s="20" t="str">
        <f>IF(INDEX(Project_Tracker!$AL$2:$AL$101,INT((ROW()-6)/17)+1)="","",INDEX(Project_Tracker!$AL$2:$AL$101,INT((ROW()-6)/17)+1))</f>
        <v/>
      </c>
      <c r="B68" s="21" t="str">
        <f>IF($A68="","",INDEX(Project_Tracker!$AM$2:$AM$101,INT((ROW()-6)/17)+1))</f>
        <v/>
      </c>
      <c r="C68" s="20" t="str">
        <f>IF($A68="","",INDEX(Project_Tracker!$C$2:$C$101,INT((ROW()-6)/17)+1))</f>
        <v/>
      </c>
      <c r="D68" s="6" t="str">
        <f>IF($A68="","",INDEX(Project_Tracker!$T$2:$T$101,INT((ROW()-6)/17)+1))</f>
        <v/>
      </c>
      <c r="E68" s="18">
        <f t="shared" si="0"/>
        <v>12</v>
      </c>
      <c r="F68" s="23" t="str">
        <f>IF($A68="","",INDEX('Logic &amp; Lists'!$I$4:$I$20,$E68))</f>
        <v/>
      </c>
      <c r="G68" s="18" t="str">
        <f>IF($A68="","",INDEX('Logic &amp; Lists'!$J$4:$J$20,$E68))</f>
        <v/>
      </c>
      <c r="H68" s="6" t="str">
        <f t="shared" si="1"/>
        <v/>
      </c>
      <c r="I68" s="18" t="str">
        <f t="shared" ca="1" si="2"/>
        <v/>
      </c>
      <c r="J68" s="5" t="str">
        <f t="shared" si="3"/>
        <v/>
      </c>
      <c r="K68" s="25"/>
      <c r="L68" s="5" t="str">
        <f t="shared" si="4"/>
        <v/>
      </c>
      <c r="M68" s="7"/>
      <c r="N68" s="7"/>
      <c r="O68" s="7"/>
      <c r="P68" s="20" t="str">
        <f>IF($A68="","",INDEX(Project_Tracker!$I$2:$I$101,INT((ROW()-6)/17)+1))</f>
        <v/>
      </c>
      <c r="Q68" s="20" t="str">
        <f>IF($A68="","",INDEX(Project_Tracker!$K$2:$K$101,INT((ROW()-6)/17)+1))</f>
        <v/>
      </c>
    </row>
    <row r="69" spans="1:17" x14ac:dyDescent="0.2">
      <c r="A69" s="20" t="str">
        <f>IF(INDEX(Project_Tracker!$AL$2:$AL$101,INT((ROW()-6)/17)+1)="","",INDEX(Project_Tracker!$AL$2:$AL$101,INT((ROW()-6)/17)+1))</f>
        <v/>
      </c>
      <c r="B69" s="21" t="str">
        <f>IF($A69="","",INDEX(Project_Tracker!$AM$2:$AM$101,INT((ROW()-6)/17)+1))</f>
        <v/>
      </c>
      <c r="C69" s="20" t="str">
        <f>IF($A69="","",INDEX(Project_Tracker!$C$2:$C$101,INT((ROW()-6)/17)+1))</f>
        <v/>
      </c>
      <c r="D69" s="6" t="str">
        <f>IF($A69="","",INDEX(Project_Tracker!$T$2:$T$101,INT((ROW()-6)/17)+1))</f>
        <v/>
      </c>
      <c r="E69" s="18">
        <f t="shared" si="0"/>
        <v>13</v>
      </c>
      <c r="F69" s="23" t="str">
        <f>IF($A69="","",INDEX('Logic &amp; Lists'!$I$4:$I$20,$E69))</f>
        <v/>
      </c>
      <c r="G69" s="18" t="str">
        <f>IF($A69="","",INDEX('Logic &amp; Lists'!$J$4:$J$20,$E69))</f>
        <v/>
      </c>
      <c r="H69" s="6" t="str">
        <f t="shared" si="1"/>
        <v/>
      </c>
      <c r="I69" s="18" t="str">
        <f t="shared" ca="1" si="2"/>
        <v/>
      </c>
      <c r="J69" s="5" t="str">
        <f t="shared" si="3"/>
        <v/>
      </c>
      <c r="K69" s="25"/>
      <c r="L69" s="5" t="str">
        <f t="shared" si="4"/>
        <v/>
      </c>
      <c r="M69" s="7"/>
      <c r="N69" s="7"/>
      <c r="O69" s="7"/>
      <c r="P69" s="20" t="str">
        <f>IF($A69="","",INDEX(Project_Tracker!$I$2:$I$101,INT((ROW()-6)/17)+1))</f>
        <v/>
      </c>
      <c r="Q69" s="20" t="str">
        <f>IF($A69="","",INDEX(Project_Tracker!$K$2:$K$101,INT((ROW()-6)/17)+1))</f>
        <v/>
      </c>
    </row>
    <row r="70" spans="1:17" x14ac:dyDescent="0.2">
      <c r="A70" s="20" t="str">
        <f>IF(INDEX(Project_Tracker!$AL$2:$AL$101,INT((ROW()-6)/17)+1)="","",INDEX(Project_Tracker!$AL$2:$AL$101,INT((ROW()-6)/17)+1))</f>
        <v/>
      </c>
      <c r="B70" s="21" t="str">
        <f>IF($A70="","",INDEX(Project_Tracker!$AM$2:$AM$101,INT((ROW()-6)/17)+1))</f>
        <v/>
      </c>
      <c r="C70" s="20" t="str">
        <f>IF($A70="","",INDEX(Project_Tracker!$C$2:$C$101,INT((ROW()-6)/17)+1))</f>
        <v/>
      </c>
      <c r="D70" s="6" t="str">
        <f>IF($A70="","",INDEX(Project_Tracker!$T$2:$T$101,INT((ROW()-6)/17)+1))</f>
        <v/>
      </c>
      <c r="E70" s="18">
        <f t="shared" ref="E70:E133" si="5">MOD(ROW()-6,17)+1</f>
        <v>14</v>
      </c>
      <c r="F70" s="23" t="str">
        <f>IF($A70="","",INDEX('Logic &amp; Lists'!$I$4:$I$20,$E70))</f>
        <v/>
      </c>
      <c r="G70" s="18" t="str">
        <f>IF($A70="","",INDEX('Logic &amp; Lists'!$J$4:$J$20,$E70))</f>
        <v/>
      </c>
      <c r="H70" s="6" t="str">
        <f t="shared" ref="H70:H133" si="6">IF($D70="","",$D70-$G70)</f>
        <v/>
      </c>
      <c r="I70" s="18" t="str">
        <f t="shared" ref="I70:I133" ca="1" si="7">IF($H70="","",$H70-TODAY())</f>
        <v/>
      </c>
      <c r="J70" s="5" t="str">
        <f t="shared" ref="J70:J133" si="8">IF($A70="","",IF($K70&lt;&gt;"","ORDERED",IF($I70&lt;0,"OVERDUE",IF($I70&lt;=7,"URGENT",IF($I70&lt;=14,"PREPARE","OK")))))</f>
        <v/>
      </c>
      <c r="K70" s="25"/>
      <c r="L70" s="5" t="str">
        <f t="shared" ref="L70:L133" si="9">IF($A70="","",IF($K70="",$J70,IF($K70&lt;=$H70,"Ordered On Time","Ordered Late")))</f>
        <v/>
      </c>
      <c r="M70" s="7"/>
      <c r="N70" s="7"/>
      <c r="O70" s="7"/>
      <c r="P70" s="20" t="str">
        <f>IF($A70="","",INDEX(Project_Tracker!$I$2:$I$101,INT((ROW()-6)/17)+1))</f>
        <v/>
      </c>
      <c r="Q70" s="20" t="str">
        <f>IF($A70="","",INDEX(Project_Tracker!$K$2:$K$101,INT((ROW()-6)/17)+1))</f>
        <v/>
      </c>
    </row>
    <row r="71" spans="1:17" x14ac:dyDescent="0.2">
      <c r="A71" s="20" t="str">
        <f>IF(INDEX(Project_Tracker!$AL$2:$AL$101,INT((ROW()-6)/17)+1)="","",INDEX(Project_Tracker!$AL$2:$AL$101,INT((ROW()-6)/17)+1))</f>
        <v/>
      </c>
      <c r="B71" s="21" t="str">
        <f>IF($A71="","",INDEX(Project_Tracker!$AM$2:$AM$101,INT((ROW()-6)/17)+1))</f>
        <v/>
      </c>
      <c r="C71" s="20" t="str">
        <f>IF($A71="","",INDEX(Project_Tracker!$C$2:$C$101,INT((ROW()-6)/17)+1))</f>
        <v/>
      </c>
      <c r="D71" s="6" t="str">
        <f>IF($A71="","",INDEX(Project_Tracker!$T$2:$T$101,INT((ROW()-6)/17)+1))</f>
        <v/>
      </c>
      <c r="E71" s="18">
        <f t="shared" si="5"/>
        <v>15</v>
      </c>
      <c r="F71" s="23" t="str">
        <f>IF($A71="","",INDEX('Logic &amp; Lists'!$I$4:$I$20,$E71))</f>
        <v/>
      </c>
      <c r="G71" s="18" t="str">
        <f>IF($A71="","",INDEX('Logic &amp; Lists'!$J$4:$J$20,$E71))</f>
        <v/>
      </c>
      <c r="H71" s="6" t="str">
        <f t="shared" si="6"/>
        <v/>
      </c>
      <c r="I71" s="18" t="str">
        <f t="shared" ca="1" si="7"/>
        <v/>
      </c>
      <c r="J71" s="5" t="str">
        <f t="shared" si="8"/>
        <v/>
      </c>
      <c r="K71" s="25"/>
      <c r="L71" s="5" t="str">
        <f t="shared" si="9"/>
        <v/>
      </c>
      <c r="M71" s="7"/>
      <c r="N71" s="7"/>
      <c r="O71" s="7"/>
      <c r="P71" s="20" t="str">
        <f>IF($A71="","",INDEX(Project_Tracker!$I$2:$I$101,INT((ROW()-6)/17)+1))</f>
        <v/>
      </c>
      <c r="Q71" s="20" t="str">
        <f>IF($A71="","",INDEX(Project_Tracker!$K$2:$K$101,INT((ROW()-6)/17)+1))</f>
        <v/>
      </c>
    </row>
    <row r="72" spans="1:17" x14ac:dyDescent="0.2">
      <c r="A72" s="20" t="str">
        <f>IF(INDEX(Project_Tracker!$AL$2:$AL$101,INT((ROW()-6)/17)+1)="","",INDEX(Project_Tracker!$AL$2:$AL$101,INT((ROW()-6)/17)+1))</f>
        <v/>
      </c>
      <c r="B72" s="21" t="str">
        <f>IF($A72="","",INDEX(Project_Tracker!$AM$2:$AM$101,INT((ROW()-6)/17)+1))</f>
        <v/>
      </c>
      <c r="C72" s="20" t="str">
        <f>IF($A72="","",INDEX(Project_Tracker!$C$2:$C$101,INT((ROW()-6)/17)+1))</f>
        <v/>
      </c>
      <c r="D72" s="6" t="str">
        <f>IF($A72="","",INDEX(Project_Tracker!$T$2:$T$101,INT((ROW()-6)/17)+1))</f>
        <v/>
      </c>
      <c r="E72" s="18">
        <f t="shared" si="5"/>
        <v>16</v>
      </c>
      <c r="F72" s="23" t="str">
        <f>IF($A72="","",INDEX('Logic &amp; Lists'!$I$4:$I$20,$E72))</f>
        <v/>
      </c>
      <c r="G72" s="18" t="str">
        <f>IF($A72="","",INDEX('Logic &amp; Lists'!$J$4:$J$20,$E72))</f>
        <v/>
      </c>
      <c r="H72" s="6" t="str">
        <f t="shared" si="6"/>
        <v/>
      </c>
      <c r="I72" s="18" t="str">
        <f t="shared" ca="1" si="7"/>
        <v/>
      </c>
      <c r="J72" s="5" t="str">
        <f t="shared" si="8"/>
        <v/>
      </c>
      <c r="K72" s="25"/>
      <c r="L72" s="5" t="str">
        <f t="shared" si="9"/>
        <v/>
      </c>
      <c r="M72" s="7"/>
      <c r="N72" s="7"/>
      <c r="O72" s="7"/>
      <c r="P72" s="20" t="str">
        <f>IF($A72="","",INDEX(Project_Tracker!$I$2:$I$101,INT((ROW()-6)/17)+1))</f>
        <v/>
      </c>
      <c r="Q72" s="20" t="str">
        <f>IF($A72="","",INDEX(Project_Tracker!$K$2:$K$101,INT((ROW()-6)/17)+1))</f>
        <v/>
      </c>
    </row>
    <row r="73" spans="1:17" x14ac:dyDescent="0.2">
      <c r="A73" s="20" t="str">
        <f>IF(INDEX(Project_Tracker!$AL$2:$AL$101,INT((ROW()-6)/17)+1)="","",INDEX(Project_Tracker!$AL$2:$AL$101,INT((ROW()-6)/17)+1))</f>
        <v/>
      </c>
      <c r="B73" s="21" t="str">
        <f>IF($A73="","",INDEX(Project_Tracker!$AM$2:$AM$101,INT((ROW()-6)/17)+1))</f>
        <v/>
      </c>
      <c r="C73" s="20" t="str">
        <f>IF($A73="","",INDEX(Project_Tracker!$C$2:$C$101,INT((ROW()-6)/17)+1))</f>
        <v/>
      </c>
      <c r="D73" s="6" t="str">
        <f>IF($A73="","",INDEX(Project_Tracker!$T$2:$T$101,INT((ROW()-6)/17)+1))</f>
        <v/>
      </c>
      <c r="E73" s="18">
        <f t="shared" si="5"/>
        <v>17</v>
      </c>
      <c r="F73" s="23" t="str">
        <f>IF($A73="","",INDEX('Logic &amp; Lists'!$I$4:$I$20,$E73))</f>
        <v/>
      </c>
      <c r="G73" s="18" t="str">
        <f>IF($A73="","",INDEX('Logic &amp; Lists'!$J$4:$J$20,$E73))</f>
        <v/>
      </c>
      <c r="H73" s="6" t="str">
        <f t="shared" si="6"/>
        <v/>
      </c>
      <c r="I73" s="18" t="str">
        <f t="shared" ca="1" si="7"/>
        <v/>
      </c>
      <c r="J73" s="5" t="str">
        <f t="shared" si="8"/>
        <v/>
      </c>
      <c r="K73" s="25"/>
      <c r="L73" s="5" t="str">
        <f t="shared" si="9"/>
        <v/>
      </c>
      <c r="M73" s="7"/>
      <c r="N73" s="7"/>
      <c r="O73" s="7"/>
      <c r="P73" s="20" t="str">
        <f>IF($A73="","",INDEX(Project_Tracker!$I$2:$I$101,INT((ROW()-6)/17)+1))</f>
        <v/>
      </c>
      <c r="Q73" s="20" t="str">
        <f>IF($A73="","",INDEX(Project_Tracker!$K$2:$K$101,INT((ROW()-6)/17)+1))</f>
        <v/>
      </c>
    </row>
    <row r="74" spans="1:17" x14ac:dyDescent="0.2">
      <c r="A74" s="20" t="str">
        <f>IF(INDEX(Project_Tracker!$AL$2:$AL$101,INT((ROW()-6)/17)+1)="","",INDEX(Project_Tracker!$AL$2:$AL$101,INT((ROW()-6)/17)+1))</f>
        <v/>
      </c>
      <c r="B74" s="21" t="str">
        <f>IF($A74="","",INDEX(Project_Tracker!$AM$2:$AM$101,INT((ROW()-6)/17)+1))</f>
        <v/>
      </c>
      <c r="C74" s="20" t="str">
        <f>IF($A74="","",INDEX(Project_Tracker!$C$2:$C$101,INT((ROW()-6)/17)+1))</f>
        <v/>
      </c>
      <c r="D74" s="6" t="str">
        <f>IF($A74="","",INDEX(Project_Tracker!$T$2:$T$101,INT((ROW()-6)/17)+1))</f>
        <v/>
      </c>
      <c r="E74" s="18">
        <f t="shared" si="5"/>
        <v>1</v>
      </c>
      <c r="F74" s="23" t="str">
        <f>IF($A74="","",INDEX('Logic &amp; Lists'!$I$4:$I$20,$E74))</f>
        <v/>
      </c>
      <c r="G74" s="18" t="str">
        <f>IF($A74="","",INDEX('Logic &amp; Lists'!$J$4:$J$20,$E74))</f>
        <v/>
      </c>
      <c r="H74" s="6" t="str">
        <f t="shared" si="6"/>
        <v/>
      </c>
      <c r="I74" s="18" t="str">
        <f t="shared" ca="1" si="7"/>
        <v/>
      </c>
      <c r="J74" s="5" t="str">
        <f t="shared" si="8"/>
        <v/>
      </c>
      <c r="K74" s="25"/>
      <c r="L74" s="5" t="str">
        <f t="shared" si="9"/>
        <v/>
      </c>
      <c r="M74" s="7"/>
      <c r="N74" s="7"/>
      <c r="O74" s="7"/>
      <c r="P74" s="20" t="str">
        <f>IF($A74="","",INDEX(Project_Tracker!$I$2:$I$101,INT((ROW()-6)/17)+1))</f>
        <v/>
      </c>
      <c r="Q74" s="20" t="str">
        <f>IF($A74="","",INDEX(Project_Tracker!$K$2:$K$101,INT((ROW()-6)/17)+1))</f>
        <v/>
      </c>
    </row>
    <row r="75" spans="1:17" x14ac:dyDescent="0.2">
      <c r="A75" s="20" t="str">
        <f>IF(INDEX(Project_Tracker!$AL$2:$AL$101,INT((ROW()-6)/17)+1)="","",INDEX(Project_Tracker!$AL$2:$AL$101,INT((ROW()-6)/17)+1))</f>
        <v/>
      </c>
      <c r="B75" s="21" t="str">
        <f>IF($A75="","",INDEX(Project_Tracker!$AM$2:$AM$101,INT((ROW()-6)/17)+1))</f>
        <v/>
      </c>
      <c r="C75" s="20" t="str">
        <f>IF($A75="","",INDEX(Project_Tracker!$C$2:$C$101,INT((ROW()-6)/17)+1))</f>
        <v/>
      </c>
      <c r="D75" s="6" t="str">
        <f>IF($A75="","",INDEX(Project_Tracker!$T$2:$T$101,INT((ROW()-6)/17)+1))</f>
        <v/>
      </c>
      <c r="E75" s="18">
        <f t="shared" si="5"/>
        <v>2</v>
      </c>
      <c r="F75" s="23" t="str">
        <f>IF($A75="","",INDEX('Logic &amp; Lists'!$I$4:$I$20,$E75))</f>
        <v/>
      </c>
      <c r="G75" s="18" t="str">
        <f>IF($A75="","",INDEX('Logic &amp; Lists'!$J$4:$J$20,$E75))</f>
        <v/>
      </c>
      <c r="H75" s="6" t="str">
        <f t="shared" si="6"/>
        <v/>
      </c>
      <c r="I75" s="18" t="str">
        <f t="shared" ca="1" si="7"/>
        <v/>
      </c>
      <c r="J75" s="5" t="str">
        <f t="shared" si="8"/>
        <v/>
      </c>
      <c r="K75" s="25"/>
      <c r="L75" s="5" t="str">
        <f t="shared" si="9"/>
        <v/>
      </c>
      <c r="M75" s="7"/>
      <c r="N75" s="7"/>
      <c r="O75" s="7"/>
      <c r="P75" s="20" t="str">
        <f>IF($A75="","",INDEX(Project_Tracker!$I$2:$I$101,INT((ROW()-6)/17)+1))</f>
        <v/>
      </c>
      <c r="Q75" s="20" t="str">
        <f>IF($A75="","",INDEX(Project_Tracker!$K$2:$K$101,INT((ROW()-6)/17)+1))</f>
        <v/>
      </c>
    </row>
    <row r="76" spans="1:17" x14ac:dyDescent="0.2">
      <c r="A76" s="20" t="str">
        <f>IF(INDEX(Project_Tracker!$AL$2:$AL$101,INT((ROW()-6)/17)+1)="","",INDEX(Project_Tracker!$AL$2:$AL$101,INT((ROW()-6)/17)+1))</f>
        <v/>
      </c>
      <c r="B76" s="21" t="str">
        <f>IF($A76="","",INDEX(Project_Tracker!$AM$2:$AM$101,INT((ROW()-6)/17)+1))</f>
        <v/>
      </c>
      <c r="C76" s="20" t="str">
        <f>IF($A76="","",INDEX(Project_Tracker!$C$2:$C$101,INT((ROW()-6)/17)+1))</f>
        <v/>
      </c>
      <c r="D76" s="6" t="str">
        <f>IF($A76="","",INDEX(Project_Tracker!$T$2:$T$101,INT((ROW()-6)/17)+1))</f>
        <v/>
      </c>
      <c r="E76" s="18">
        <f t="shared" si="5"/>
        <v>3</v>
      </c>
      <c r="F76" s="23" t="str">
        <f>IF($A76="","",INDEX('Logic &amp; Lists'!$I$4:$I$20,$E76))</f>
        <v/>
      </c>
      <c r="G76" s="18" t="str">
        <f>IF($A76="","",INDEX('Logic &amp; Lists'!$J$4:$J$20,$E76))</f>
        <v/>
      </c>
      <c r="H76" s="6" t="str">
        <f t="shared" si="6"/>
        <v/>
      </c>
      <c r="I76" s="18" t="str">
        <f t="shared" ca="1" si="7"/>
        <v/>
      </c>
      <c r="J76" s="5" t="str">
        <f t="shared" si="8"/>
        <v/>
      </c>
      <c r="K76" s="25"/>
      <c r="L76" s="5" t="str">
        <f t="shared" si="9"/>
        <v/>
      </c>
      <c r="M76" s="7"/>
      <c r="N76" s="7"/>
      <c r="O76" s="7"/>
      <c r="P76" s="20" t="str">
        <f>IF($A76="","",INDEX(Project_Tracker!$I$2:$I$101,INT((ROW()-6)/17)+1))</f>
        <v/>
      </c>
      <c r="Q76" s="20" t="str">
        <f>IF($A76="","",INDEX(Project_Tracker!$K$2:$K$101,INT((ROW()-6)/17)+1))</f>
        <v/>
      </c>
    </row>
    <row r="77" spans="1:17" x14ac:dyDescent="0.2">
      <c r="A77" s="20" t="str">
        <f>IF(INDEX(Project_Tracker!$AL$2:$AL$101,INT((ROW()-6)/17)+1)="","",INDEX(Project_Tracker!$AL$2:$AL$101,INT((ROW()-6)/17)+1))</f>
        <v/>
      </c>
      <c r="B77" s="21" t="str">
        <f>IF($A77="","",INDEX(Project_Tracker!$AM$2:$AM$101,INT((ROW()-6)/17)+1))</f>
        <v/>
      </c>
      <c r="C77" s="20" t="str">
        <f>IF($A77="","",INDEX(Project_Tracker!$C$2:$C$101,INT((ROW()-6)/17)+1))</f>
        <v/>
      </c>
      <c r="D77" s="6" t="str">
        <f>IF($A77="","",INDEX(Project_Tracker!$T$2:$T$101,INT((ROW()-6)/17)+1))</f>
        <v/>
      </c>
      <c r="E77" s="18">
        <f t="shared" si="5"/>
        <v>4</v>
      </c>
      <c r="F77" s="23" t="str">
        <f>IF($A77="","",INDEX('Logic &amp; Lists'!$I$4:$I$20,$E77))</f>
        <v/>
      </c>
      <c r="G77" s="18" t="str">
        <f>IF($A77="","",INDEX('Logic &amp; Lists'!$J$4:$J$20,$E77))</f>
        <v/>
      </c>
      <c r="H77" s="6" t="str">
        <f t="shared" si="6"/>
        <v/>
      </c>
      <c r="I77" s="18" t="str">
        <f t="shared" ca="1" si="7"/>
        <v/>
      </c>
      <c r="J77" s="5" t="str">
        <f t="shared" si="8"/>
        <v/>
      </c>
      <c r="K77" s="25"/>
      <c r="L77" s="5" t="str">
        <f t="shared" si="9"/>
        <v/>
      </c>
      <c r="M77" s="7"/>
      <c r="N77" s="7"/>
      <c r="O77" s="7"/>
      <c r="P77" s="20" t="str">
        <f>IF($A77="","",INDEX(Project_Tracker!$I$2:$I$101,INT((ROW()-6)/17)+1))</f>
        <v/>
      </c>
      <c r="Q77" s="20" t="str">
        <f>IF($A77="","",INDEX(Project_Tracker!$K$2:$K$101,INT((ROW()-6)/17)+1))</f>
        <v/>
      </c>
    </row>
    <row r="78" spans="1:17" x14ac:dyDescent="0.2">
      <c r="A78" s="20" t="str">
        <f>IF(INDEX(Project_Tracker!$AL$2:$AL$101,INT((ROW()-6)/17)+1)="","",INDEX(Project_Tracker!$AL$2:$AL$101,INT((ROW()-6)/17)+1))</f>
        <v/>
      </c>
      <c r="B78" s="21" t="str">
        <f>IF($A78="","",INDEX(Project_Tracker!$AM$2:$AM$101,INT((ROW()-6)/17)+1))</f>
        <v/>
      </c>
      <c r="C78" s="20" t="str">
        <f>IF($A78="","",INDEX(Project_Tracker!$C$2:$C$101,INT((ROW()-6)/17)+1))</f>
        <v/>
      </c>
      <c r="D78" s="6" t="str">
        <f>IF($A78="","",INDEX(Project_Tracker!$T$2:$T$101,INT((ROW()-6)/17)+1))</f>
        <v/>
      </c>
      <c r="E78" s="18">
        <f t="shared" si="5"/>
        <v>5</v>
      </c>
      <c r="F78" s="23" t="str">
        <f>IF($A78="","",INDEX('Logic &amp; Lists'!$I$4:$I$20,$E78))</f>
        <v/>
      </c>
      <c r="G78" s="18" t="str">
        <f>IF($A78="","",INDEX('Logic &amp; Lists'!$J$4:$J$20,$E78))</f>
        <v/>
      </c>
      <c r="H78" s="6" t="str">
        <f t="shared" si="6"/>
        <v/>
      </c>
      <c r="I78" s="18" t="str">
        <f t="shared" ca="1" si="7"/>
        <v/>
      </c>
      <c r="J78" s="5" t="str">
        <f t="shared" si="8"/>
        <v/>
      </c>
      <c r="K78" s="25"/>
      <c r="L78" s="5" t="str">
        <f t="shared" si="9"/>
        <v/>
      </c>
      <c r="M78" s="7"/>
      <c r="N78" s="7"/>
      <c r="O78" s="7"/>
      <c r="P78" s="20" t="str">
        <f>IF($A78="","",INDEX(Project_Tracker!$I$2:$I$101,INT((ROW()-6)/17)+1))</f>
        <v/>
      </c>
      <c r="Q78" s="20" t="str">
        <f>IF($A78="","",INDEX(Project_Tracker!$K$2:$K$101,INT((ROW()-6)/17)+1))</f>
        <v/>
      </c>
    </row>
    <row r="79" spans="1:17" x14ac:dyDescent="0.2">
      <c r="A79" s="20" t="str">
        <f>IF(INDEX(Project_Tracker!$AL$2:$AL$101,INT((ROW()-6)/17)+1)="","",INDEX(Project_Tracker!$AL$2:$AL$101,INT((ROW()-6)/17)+1))</f>
        <v/>
      </c>
      <c r="B79" s="21" t="str">
        <f>IF($A79="","",INDEX(Project_Tracker!$AM$2:$AM$101,INT((ROW()-6)/17)+1))</f>
        <v/>
      </c>
      <c r="C79" s="20" t="str">
        <f>IF($A79="","",INDEX(Project_Tracker!$C$2:$C$101,INT((ROW()-6)/17)+1))</f>
        <v/>
      </c>
      <c r="D79" s="6" t="str">
        <f>IF($A79="","",INDEX(Project_Tracker!$T$2:$T$101,INT((ROW()-6)/17)+1))</f>
        <v/>
      </c>
      <c r="E79" s="18">
        <f t="shared" si="5"/>
        <v>6</v>
      </c>
      <c r="F79" s="23" t="str">
        <f>IF($A79="","",INDEX('Logic &amp; Lists'!$I$4:$I$20,$E79))</f>
        <v/>
      </c>
      <c r="G79" s="18" t="str">
        <f>IF($A79="","",INDEX('Logic &amp; Lists'!$J$4:$J$20,$E79))</f>
        <v/>
      </c>
      <c r="H79" s="6" t="str">
        <f t="shared" si="6"/>
        <v/>
      </c>
      <c r="I79" s="18" t="str">
        <f t="shared" ca="1" si="7"/>
        <v/>
      </c>
      <c r="J79" s="5" t="str">
        <f t="shared" si="8"/>
        <v/>
      </c>
      <c r="K79" s="25"/>
      <c r="L79" s="5" t="str">
        <f t="shared" si="9"/>
        <v/>
      </c>
      <c r="M79" s="7"/>
      <c r="N79" s="7"/>
      <c r="O79" s="7"/>
      <c r="P79" s="20" t="str">
        <f>IF($A79="","",INDEX(Project_Tracker!$I$2:$I$101,INT((ROW()-6)/17)+1))</f>
        <v/>
      </c>
      <c r="Q79" s="20" t="str">
        <f>IF($A79="","",INDEX(Project_Tracker!$K$2:$K$101,INT((ROW()-6)/17)+1))</f>
        <v/>
      </c>
    </row>
    <row r="80" spans="1:17" x14ac:dyDescent="0.2">
      <c r="A80" s="20" t="str">
        <f>IF(INDEX(Project_Tracker!$AL$2:$AL$101,INT((ROW()-6)/17)+1)="","",INDEX(Project_Tracker!$AL$2:$AL$101,INT((ROW()-6)/17)+1))</f>
        <v/>
      </c>
      <c r="B80" s="21" t="str">
        <f>IF($A80="","",INDEX(Project_Tracker!$AM$2:$AM$101,INT((ROW()-6)/17)+1))</f>
        <v/>
      </c>
      <c r="C80" s="20" t="str">
        <f>IF($A80="","",INDEX(Project_Tracker!$C$2:$C$101,INT((ROW()-6)/17)+1))</f>
        <v/>
      </c>
      <c r="D80" s="6" t="str">
        <f>IF($A80="","",INDEX(Project_Tracker!$T$2:$T$101,INT((ROW()-6)/17)+1))</f>
        <v/>
      </c>
      <c r="E80" s="18">
        <f t="shared" si="5"/>
        <v>7</v>
      </c>
      <c r="F80" s="23" t="str">
        <f>IF($A80="","",INDEX('Logic &amp; Lists'!$I$4:$I$20,$E80))</f>
        <v/>
      </c>
      <c r="G80" s="18" t="str">
        <f>IF($A80="","",INDEX('Logic &amp; Lists'!$J$4:$J$20,$E80))</f>
        <v/>
      </c>
      <c r="H80" s="6" t="str">
        <f t="shared" si="6"/>
        <v/>
      </c>
      <c r="I80" s="18" t="str">
        <f t="shared" ca="1" si="7"/>
        <v/>
      </c>
      <c r="J80" s="5" t="str">
        <f t="shared" si="8"/>
        <v/>
      </c>
      <c r="K80" s="25"/>
      <c r="L80" s="5" t="str">
        <f t="shared" si="9"/>
        <v/>
      </c>
      <c r="M80" s="7"/>
      <c r="N80" s="7"/>
      <c r="O80" s="7"/>
      <c r="P80" s="20" t="str">
        <f>IF($A80="","",INDEX(Project_Tracker!$I$2:$I$101,INT((ROW()-6)/17)+1))</f>
        <v/>
      </c>
      <c r="Q80" s="20" t="str">
        <f>IF($A80="","",INDEX(Project_Tracker!$K$2:$K$101,INT((ROW()-6)/17)+1))</f>
        <v/>
      </c>
    </row>
    <row r="81" spans="1:17" x14ac:dyDescent="0.2">
      <c r="A81" s="20" t="str">
        <f>IF(INDEX(Project_Tracker!$AL$2:$AL$101,INT((ROW()-6)/17)+1)="","",INDEX(Project_Tracker!$AL$2:$AL$101,INT((ROW()-6)/17)+1))</f>
        <v/>
      </c>
      <c r="B81" s="21" t="str">
        <f>IF($A81="","",INDEX(Project_Tracker!$AM$2:$AM$101,INT((ROW()-6)/17)+1))</f>
        <v/>
      </c>
      <c r="C81" s="20" t="str">
        <f>IF($A81="","",INDEX(Project_Tracker!$C$2:$C$101,INT((ROW()-6)/17)+1))</f>
        <v/>
      </c>
      <c r="D81" s="6" t="str">
        <f>IF($A81="","",INDEX(Project_Tracker!$T$2:$T$101,INT((ROW()-6)/17)+1))</f>
        <v/>
      </c>
      <c r="E81" s="18">
        <f t="shared" si="5"/>
        <v>8</v>
      </c>
      <c r="F81" s="23" t="str">
        <f>IF($A81="","",INDEX('Logic &amp; Lists'!$I$4:$I$20,$E81))</f>
        <v/>
      </c>
      <c r="G81" s="18" t="str">
        <f>IF($A81="","",INDEX('Logic &amp; Lists'!$J$4:$J$20,$E81))</f>
        <v/>
      </c>
      <c r="H81" s="6" t="str">
        <f t="shared" si="6"/>
        <v/>
      </c>
      <c r="I81" s="18" t="str">
        <f t="shared" ca="1" si="7"/>
        <v/>
      </c>
      <c r="J81" s="5" t="str">
        <f t="shared" si="8"/>
        <v/>
      </c>
      <c r="K81" s="25"/>
      <c r="L81" s="5" t="str">
        <f t="shared" si="9"/>
        <v/>
      </c>
      <c r="M81" s="7"/>
      <c r="N81" s="7"/>
      <c r="O81" s="7"/>
      <c r="P81" s="20" t="str">
        <f>IF($A81="","",INDEX(Project_Tracker!$I$2:$I$101,INT((ROW()-6)/17)+1))</f>
        <v/>
      </c>
      <c r="Q81" s="20" t="str">
        <f>IF($A81="","",INDEX(Project_Tracker!$K$2:$K$101,INT((ROW()-6)/17)+1))</f>
        <v/>
      </c>
    </row>
    <row r="82" spans="1:17" x14ac:dyDescent="0.2">
      <c r="A82" s="20" t="str">
        <f>IF(INDEX(Project_Tracker!$AL$2:$AL$101,INT((ROW()-6)/17)+1)="","",INDEX(Project_Tracker!$AL$2:$AL$101,INT((ROW()-6)/17)+1))</f>
        <v/>
      </c>
      <c r="B82" s="21" t="str">
        <f>IF($A82="","",INDEX(Project_Tracker!$AM$2:$AM$101,INT((ROW()-6)/17)+1))</f>
        <v/>
      </c>
      <c r="C82" s="20" t="str">
        <f>IF($A82="","",INDEX(Project_Tracker!$C$2:$C$101,INT((ROW()-6)/17)+1))</f>
        <v/>
      </c>
      <c r="D82" s="6" t="str">
        <f>IF($A82="","",INDEX(Project_Tracker!$T$2:$T$101,INT((ROW()-6)/17)+1))</f>
        <v/>
      </c>
      <c r="E82" s="18">
        <f t="shared" si="5"/>
        <v>9</v>
      </c>
      <c r="F82" s="23" t="str">
        <f>IF($A82="","",INDEX('Logic &amp; Lists'!$I$4:$I$20,$E82))</f>
        <v/>
      </c>
      <c r="G82" s="18" t="str">
        <f>IF($A82="","",INDEX('Logic &amp; Lists'!$J$4:$J$20,$E82))</f>
        <v/>
      </c>
      <c r="H82" s="6" t="str">
        <f t="shared" si="6"/>
        <v/>
      </c>
      <c r="I82" s="18" t="str">
        <f t="shared" ca="1" si="7"/>
        <v/>
      </c>
      <c r="J82" s="5" t="str">
        <f t="shared" si="8"/>
        <v/>
      </c>
      <c r="K82" s="25"/>
      <c r="L82" s="5" t="str">
        <f t="shared" si="9"/>
        <v/>
      </c>
      <c r="M82" s="7"/>
      <c r="N82" s="7"/>
      <c r="O82" s="7"/>
      <c r="P82" s="20" t="str">
        <f>IF($A82="","",INDEX(Project_Tracker!$I$2:$I$101,INT((ROW()-6)/17)+1))</f>
        <v/>
      </c>
      <c r="Q82" s="20" t="str">
        <f>IF($A82="","",INDEX(Project_Tracker!$K$2:$K$101,INT((ROW()-6)/17)+1))</f>
        <v/>
      </c>
    </row>
    <row r="83" spans="1:17" x14ac:dyDescent="0.2">
      <c r="A83" s="20" t="str">
        <f>IF(INDEX(Project_Tracker!$AL$2:$AL$101,INT((ROW()-6)/17)+1)="","",INDEX(Project_Tracker!$AL$2:$AL$101,INT((ROW()-6)/17)+1))</f>
        <v/>
      </c>
      <c r="B83" s="21" t="str">
        <f>IF($A83="","",INDEX(Project_Tracker!$AM$2:$AM$101,INT((ROW()-6)/17)+1))</f>
        <v/>
      </c>
      <c r="C83" s="20" t="str">
        <f>IF($A83="","",INDEX(Project_Tracker!$C$2:$C$101,INT((ROW()-6)/17)+1))</f>
        <v/>
      </c>
      <c r="D83" s="6" t="str">
        <f>IF($A83="","",INDEX(Project_Tracker!$T$2:$T$101,INT((ROW()-6)/17)+1))</f>
        <v/>
      </c>
      <c r="E83" s="18">
        <f t="shared" si="5"/>
        <v>10</v>
      </c>
      <c r="F83" s="23" t="str">
        <f>IF($A83="","",INDEX('Logic &amp; Lists'!$I$4:$I$20,$E83))</f>
        <v/>
      </c>
      <c r="G83" s="18" t="str">
        <f>IF($A83="","",INDEX('Logic &amp; Lists'!$J$4:$J$20,$E83))</f>
        <v/>
      </c>
      <c r="H83" s="6" t="str">
        <f t="shared" si="6"/>
        <v/>
      </c>
      <c r="I83" s="18" t="str">
        <f t="shared" ca="1" si="7"/>
        <v/>
      </c>
      <c r="J83" s="5" t="str">
        <f t="shared" si="8"/>
        <v/>
      </c>
      <c r="K83" s="25"/>
      <c r="L83" s="5" t="str">
        <f t="shared" si="9"/>
        <v/>
      </c>
      <c r="M83" s="7"/>
      <c r="N83" s="7"/>
      <c r="O83" s="7"/>
      <c r="P83" s="20" t="str">
        <f>IF($A83="","",INDEX(Project_Tracker!$I$2:$I$101,INT((ROW()-6)/17)+1))</f>
        <v/>
      </c>
      <c r="Q83" s="20" t="str">
        <f>IF($A83="","",INDEX(Project_Tracker!$K$2:$K$101,INT((ROW()-6)/17)+1))</f>
        <v/>
      </c>
    </row>
    <row r="84" spans="1:17" x14ac:dyDescent="0.2">
      <c r="A84" s="20" t="str">
        <f>IF(INDEX(Project_Tracker!$AL$2:$AL$101,INT((ROW()-6)/17)+1)="","",INDEX(Project_Tracker!$AL$2:$AL$101,INT((ROW()-6)/17)+1))</f>
        <v/>
      </c>
      <c r="B84" s="21" t="str">
        <f>IF($A84="","",INDEX(Project_Tracker!$AM$2:$AM$101,INT((ROW()-6)/17)+1))</f>
        <v/>
      </c>
      <c r="C84" s="20" t="str">
        <f>IF($A84="","",INDEX(Project_Tracker!$C$2:$C$101,INT((ROW()-6)/17)+1))</f>
        <v/>
      </c>
      <c r="D84" s="6" t="str">
        <f>IF($A84="","",INDEX(Project_Tracker!$T$2:$T$101,INT((ROW()-6)/17)+1))</f>
        <v/>
      </c>
      <c r="E84" s="18">
        <f t="shared" si="5"/>
        <v>11</v>
      </c>
      <c r="F84" s="23" t="str">
        <f>IF($A84="","",INDEX('Logic &amp; Lists'!$I$4:$I$20,$E84))</f>
        <v/>
      </c>
      <c r="G84" s="18" t="str">
        <f>IF($A84="","",INDEX('Logic &amp; Lists'!$J$4:$J$20,$E84))</f>
        <v/>
      </c>
      <c r="H84" s="6" t="str">
        <f t="shared" si="6"/>
        <v/>
      </c>
      <c r="I84" s="18" t="str">
        <f t="shared" ca="1" si="7"/>
        <v/>
      </c>
      <c r="J84" s="5" t="str">
        <f t="shared" si="8"/>
        <v/>
      </c>
      <c r="K84" s="25"/>
      <c r="L84" s="5" t="str">
        <f t="shared" si="9"/>
        <v/>
      </c>
      <c r="M84" s="7"/>
      <c r="N84" s="7"/>
      <c r="O84" s="7"/>
      <c r="P84" s="20" t="str">
        <f>IF($A84="","",INDEX(Project_Tracker!$I$2:$I$101,INT((ROW()-6)/17)+1))</f>
        <v/>
      </c>
      <c r="Q84" s="20" t="str">
        <f>IF($A84="","",INDEX(Project_Tracker!$K$2:$K$101,INT((ROW()-6)/17)+1))</f>
        <v/>
      </c>
    </row>
    <row r="85" spans="1:17" x14ac:dyDescent="0.2">
      <c r="A85" s="20" t="str">
        <f>IF(INDEX(Project_Tracker!$AL$2:$AL$101,INT((ROW()-6)/17)+1)="","",INDEX(Project_Tracker!$AL$2:$AL$101,INT((ROW()-6)/17)+1))</f>
        <v/>
      </c>
      <c r="B85" s="21" t="str">
        <f>IF($A85="","",INDEX(Project_Tracker!$AM$2:$AM$101,INT((ROW()-6)/17)+1))</f>
        <v/>
      </c>
      <c r="C85" s="20" t="str">
        <f>IF($A85="","",INDEX(Project_Tracker!$C$2:$C$101,INT((ROW()-6)/17)+1))</f>
        <v/>
      </c>
      <c r="D85" s="6" t="str">
        <f>IF($A85="","",INDEX(Project_Tracker!$T$2:$T$101,INT((ROW()-6)/17)+1))</f>
        <v/>
      </c>
      <c r="E85" s="18">
        <f t="shared" si="5"/>
        <v>12</v>
      </c>
      <c r="F85" s="23" t="str">
        <f>IF($A85="","",INDEX('Logic &amp; Lists'!$I$4:$I$20,$E85))</f>
        <v/>
      </c>
      <c r="G85" s="18" t="str">
        <f>IF($A85="","",INDEX('Logic &amp; Lists'!$J$4:$J$20,$E85))</f>
        <v/>
      </c>
      <c r="H85" s="6" t="str">
        <f t="shared" si="6"/>
        <v/>
      </c>
      <c r="I85" s="18" t="str">
        <f t="shared" ca="1" si="7"/>
        <v/>
      </c>
      <c r="J85" s="5" t="str">
        <f t="shared" si="8"/>
        <v/>
      </c>
      <c r="K85" s="25"/>
      <c r="L85" s="5" t="str">
        <f t="shared" si="9"/>
        <v/>
      </c>
      <c r="M85" s="7"/>
      <c r="N85" s="7"/>
      <c r="O85" s="7"/>
      <c r="P85" s="20" t="str">
        <f>IF($A85="","",INDEX(Project_Tracker!$I$2:$I$101,INT((ROW()-6)/17)+1))</f>
        <v/>
      </c>
      <c r="Q85" s="20" t="str">
        <f>IF($A85="","",INDEX(Project_Tracker!$K$2:$K$101,INT((ROW()-6)/17)+1))</f>
        <v/>
      </c>
    </row>
    <row r="86" spans="1:17" x14ac:dyDescent="0.2">
      <c r="A86" s="20" t="str">
        <f>IF(INDEX(Project_Tracker!$AL$2:$AL$101,INT((ROW()-6)/17)+1)="","",INDEX(Project_Tracker!$AL$2:$AL$101,INT((ROW()-6)/17)+1))</f>
        <v/>
      </c>
      <c r="B86" s="21" t="str">
        <f>IF($A86="","",INDEX(Project_Tracker!$AM$2:$AM$101,INT((ROW()-6)/17)+1))</f>
        <v/>
      </c>
      <c r="C86" s="20" t="str">
        <f>IF($A86="","",INDEX(Project_Tracker!$C$2:$C$101,INT((ROW()-6)/17)+1))</f>
        <v/>
      </c>
      <c r="D86" s="6" t="str">
        <f>IF($A86="","",INDEX(Project_Tracker!$T$2:$T$101,INT((ROW()-6)/17)+1))</f>
        <v/>
      </c>
      <c r="E86" s="18">
        <f t="shared" si="5"/>
        <v>13</v>
      </c>
      <c r="F86" s="23" t="str">
        <f>IF($A86="","",INDEX('Logic &amp; Lists'!$I$4:$I$20,$E86))</f>
        <v/>
      </c>
      <c r="G86" s="18" t="str">
        <f>IF($A86="","",INDEX('Logic &amp; Lists'!$J$4:$J$20,$E86))</f>
        <v/>
      </c>
      <c r="H86" s="6" t="str">
        <f t="shared" si="6"/>
        <v/>
      </c>
      <c r="I86" s="18" t="str">
        <f t="shared" ca="1" si="7"/>
        <v/>
      </c>
      <c r="J86" s="5" t="str">
        <f t="shared" si="8"/>
        <v/>
      </c>
      <c r="K86" s="25"/>
      <c r="L86" s="5" t="str">
        <f t="shared" si="9"/>
        <v/>
      </c>
      <c r="M86" s="7"/>
      <c r="N86" s="7"/>
      <c r="O86" s="7"/>
      <c r="P86" s="20" t="str">
        <f>IF($A86="","",INDEX(Project_Tracker!$I$2:$I$101,INT((ROW()-6)/17)+1))</f>
        <v/>
      </c>
      <c r="Q86" s="20" t="str">
        <f>IF($A86="","",INDEX(Project_Tracker!$K$2:$K$101,INT((ROW()-6)/17)+1))</f>
        <v/>
      </c>
    </row>
    <row r="87" spans="1:17" x14ac:dyDescent="0.2">
      <c r="A87" s="20" t="str">
        <f>IF(INDEX(Project_Tracker!$AL$2:$AL$101,INT((ROW()-6)/17)+1)="","",INDEX(Project_Tracker!$AL$2:$AL$101,INT((ROW()-6)/17)+1))</f>
        <v/>
      </c>
      <c r="B87" s="21" t="str">
        <f>IF($A87="","",INDEX(Project_Tracker!$AM$2:$AM$101,INT((ROW()-6)/17)+1))</f>
        <v/>
      </c>
      <c r="C87" s="20" t="str">
        <f>IF($A87="","",INDEX(Project_Tracker!$C$2:$C$101,INT((ROW()-6)/17)+1))</f>
        <v/>
      </c>
      <c r="D87" s="6" t="str">
        <f>IF($A87="","",INDEX(Project_Tracker!$T$2:$T$101,INT((ROW()-6)/17)+1))</f>
        <v/>
      </c>
      <c r="E87" s="18">
        <f t="shared" si="5"/>
        <v>14</v>
      </c>
      <c r="F87" s="23" t="str">
        <f>IF($A87="","",INDEX('Logic &amp; Lists'!$I$4:$I$20,$E87))</f>
        <v/>
      </c>
      <c r="G87" s="18" t="str">
        <f>IF($A87="","",INDEX('Logic &amp; Lists'!$J$4:$J$20,$E87))</f>
        <v/>
      </c>
      <c r="H87" s="6" t="str">
        <f t="shared" si="6"/>
        <v/>
      </c>
      <c r="I87" s="18" t="str">
        <f t="shared" ca="1" si="7"/>
        <v/>
      </c>
      <c r="J87" s="5" t="str">
        <f t="shared" si="8"/>
        <v/>
      </c>
      <c r="K87" s="25"/>
      <c r="L87" s="5" t="str">
        <f t="shared" si="9"/>
        <v/>
      </c>
      <c r="M87" s="7"/>
      <c r="N87" s="7"/>
      <c r="O87" s="7"/>
      <c r="P87" s="20" t="str">
        <f>IF($A87="","",INDEX(Project_Tracker!$I$2:$I$101,INT((ROW()-6)/17)+1))</f>
        <v/>
      </c>
      <c r="Q87" s="20" t="str">
        <f>IF($A87="","",INDEX(Project_Tracker!$K$2:$K$101,INT((ROW()-6)/17)+1))</f>
        <v/>
      </c>
    </row>
    <row r="88" spans="1:17" x14ac:dyDescent="0.2">
      <c r="A88" s="20" t="str">
        <f>IF(INDEX(Project_Tracker!$AL$2:$AL$101,INT((ROW()-6)/17)+1)="","",INDEX(Project_Tracker!$AL$2:$AL$101,INT((ROW()-6)/17)+1))</f>
        <v/>
      </c>
      <c r="B88" s="21" t="str">
        <f>IF($A88="","",INDEX(Project_Tracker!$AM$2:$AM$101,INT((ROW()-6)/17)+1))</f>
        <v/>
      </c>
      <c r="C88" s="20" t="str">
        <f>IF($A88="","",INDEX(Project_Tracker!$C$2:$C$101,INT((ROW()-6)/17)+1))</f>
        <v/>
      </c>
      <c r="D88" s="6" t="str">
        <f>IF($A88="","",INDEX(Project_Tracker!$T$2:$T$101,INT((ROW()-6)/17)+1))</f>
        <v/>
      </c>
      <c r="E88" s="18">
        <f t="shared" si="5"/>
        <v>15</v>
      </c>
      <c r="F88" s="23" t="str">
        <f>IF($A88="","",INDEX('Logic &amp; Lists'!$I$4:$I$20,$E88))</f>
        <v/>
      </c>
      <c r="G88" s="18" t="str">
        <f>IF($A88="","",INDEX('Logic &amp; Lists'!$J$4:$J$20,$E88))</f>
        <v/>
      </c>
      <c r="H88" s="6" t="str">
        <f t="shared" si="6"/>
        <v/>
      </c>
      <c r="I88" s="18" t="str">
        <f t="shared" ca="1" si="7"/>
        <v/>
      </c>
      <c r="J88" s="5" t="str">
        <f t="shared" si="8"/>
        <v/>
      </c>
      <c r="K88" s="25"/>
      <c r="L88" s="5" t="str">
        <f t="shared" si="9"/>
        <v/>
      </c>
      <c r="M88" s="7"/>
      <c r="N88" s="7"/>
      <c r="O88" s="7"/>
      <c r="P88" s="20" t="str">
        <f>IF($A88="","",INDEX(Project_Tracker!$I$2:$I$101,INT((ROW()-6)/17)+1))</f>
        <v/>
      </c>
      <c r="Q88" s="20" t="str">
        <f>IF($A88="","",INDEX(Project_Tracker!$K$2:$K$101,INT((ROW()-6)/17)+1))</f>
        <v/>
      </c>
    </row>
    <row r="89" spans="1:17" x14ac:dyDescent="0.2">
      <c r="A89" s="20" t="str">
        <f>IF(INDEX(Project_Tracker!$AL$2:$AL$101,INT((ROW()-6)/17)+1)="","",INDEX(Project_Tracker!$AL$2:$AL$101,INT((ROW()-6)/17)+1))</f>
        <v/>
      </c>
      <c r="B89" s="21" t="str">
        <f>IF($A89="","",INDEX(Project_Tracker!$AM$2:$AM$101,INT((ROW()-6)/17)+1))</f>
        <v/>
      </c>
      <c r="C89" s="20" t="str">
        <f>IF($A89="","",INDEX(Project_Tracker!$C$2:$C$101,INT((ROW()-6)/17)+1))</f>
        <v/>
      </c>
      <c r="D89" s="6" t="str">
        <f>IF($A89="","",INDEX(Project_Tracker!$T$2:$T$101,INT((ROW()-6)/17)+1))</f>
        <v/>
      </c>
      <c r="E89" s="18">
        <f t="shared" si="5"/>
        <v>16</v>
      </c>
      <c r="F89" s="23" t="str">
        <f>IF($A89="","",INDEX('Logic &amp; Lists'!$I$4:$I$20,$E89))</f>
        <v/>
      </c>
      <c r="G89" s="18" t="str">
        <f>IF($A89="","",INDEX('Logic &amp; Lists'!$J$4:$J$20,$E89))</f>
        <v/>
      </c>
      <c r="H89" s="6" t="str">
        <f t="shared" si="6"/>
        <v/>
      </c>
      <c r="I89" s="18" t="str">
        <f t="shared" ca="1" si="7"/>
        <v/>
      </c>
      <c r="J89" s="5" t="str">
        <f t="shared" si="8"/>
        <v/>
      </c>
      <c r="K89" s="25"/>
      <c r="L89" s="5" t="str">
        <f t="shared" si="9"/>
        <v/>
      </c>
      <c r="M89" s="7"/>
      <c r="N89" s="7"/>
      <c r="O89" s="7"/>
      <c r="P89" s="20" t="str">
        <f>IF($A89="","",INDEX(Project_Tracker!$I$2:$I$101,INT((ROW()-6)/17)+1))</f>
        <v/>
      </c>
      <c r="Q89" s="20" t="str">
        <f>IF($A89="","",INDEX(Project_Tracker!$K$2:$K$101,INT((ROW()-6)/17)+1))</f>
        <v/>
      </c>
    </row>
    <row r="90" spans="1:17" x14ac:dyDescent="0.2">
      <c r="A90" s="20" t="str">
        <f>IF(INDEX(Project_Tracker!$AL$2:$AL$101,INT((ROW()-6)/17)+1)="","",INDEX(Project_Tracker!$AL$2:$AL$101,INT((ROW()-6)/17)+1))</f>
        <v/>
      </c>
      <c r="B90" s="21" t="str">
        <f>IF($A90="","",INDEX(Project_Tracker!$AM$2:$AM$101,INT((ROW()-6)/17)+1))</f>
        <v/>
      </c>
      <c r="C90" s="20" t="str">
        <f>IF($A90="","",INDEX(Project_Tracker!$C$2:$C$101,INT((ROW()-6)/17)+1))</f>
        <v/>
      </c>
      <c r="D90" s="6" t="str">
        <f>IF($A90="","",INDEX(Project_Tracker!$T$2:$T$101,INT((ROW()-6)/17)+1))</f>
        <v/>
      </c>
      <c r="E90" s="18">
        <f t="shared" si="5"/>
        <v>17</v>
      </c>
      <c r="F90" s="23" t="str">
        <f>IF($A90="","",INDEX('Logic &amp; Lists'!$I$4:$I$20,$E90))</f>
        <v/>
      </c>
      <c r="G90" s="18" t="str">
        <f>IF($A90="","",INDEX('Logic &amp; Lists'!$J$4:$J$20,$E90))</f>
        <v/>
      </c>
      <c r="H90" s="6" t="str">
        <f t="shared" si="6"/>
        <v/>
      </c>
      <c r="I90" s="18" t="str">
        <f t="shared" ca="1" si="7"/>
        <v/>
      </c>
      <c r="J90" s="5" t="str">
        <f t="shared" si="8"/>
        <v/>
      </c>
      <c r="K90" s="25"/>
      <c r="L90" s="5" t="str">
        <f t="shared" si="9"/>
        <v/>
      </c>
      <c r="M90" s="7"/>
      <c r="N90" s="7"/>
      <c r="O90" s="7"/>
      <c r="P90" s="20" t="str">
        <f>IF($A90="","",INDEX(Project_Tracker!$I$2:$I$101,INT((ROW()-6)/17)+1))</f>
        <v/>
      </c>
      <c r="Q90" s="20" t="str">
        <f>IF($A90="","",INDEX(Project_Tracker!$K$2:$K$101,INT((ROW()-6)/17)+1))</f>
        <v/>
      </c>
    </row>
    <row r="91" spans="1:17" x14ac:dyDescent="0.2">
      <c r="A91" s="20" t="str">
        <f>IF(INDEX(Project_Tracker!$AL$2:$AL$101,INT((ROW()-6)/17)+1)="","",INDEX(Project_Tracker!$AL$2:$AL$101,INT((ROW()-6)/17)+1))</f>
        <v/>
      </c>
      <c r="B91" s="21" t="str">
        <f>IF($A91="","",INDEX(Project_Tracker!$AM$2:$AM$101,INT((ROW()-6)/17)+1))</f>
        <v/>
      </c>
      <c r="C91" s="20" t="str">
        <f>IF($A91="","",INDEX(Project_Tracker!$C$2:$C$101,INT((ROW()-6)/17)+1))</f>
        <v/>
      </c>
      <c r="D91" s="6" t="str">
        <f>IF($A91="","",INDEX(Project_Tracker!$T$2:$T$101,INT((ROW()-6)/17)+1))</f>
        <v/>
      </c>
      <c r="E91" s="18">
        <f t="shared" si="5"/>
        <v>1</v>
      </c>
      <c r="F91" s="23" t="str">
        <f>IF($A91="","",INDEX('Logic &amp; Lists'!$I$4:$I$20,$E91))</f>
        <v/>
      </c>
      <c r="G91" s="18" t="str">
        <f>IF($A91="","",INDEX('Logic &amp; Lists'!$J$4:$J$20,$E91))</f>
        <v/>
      </c>
      <c r="H91" s="6" t="str">
        <f t="shared" si="6"/>
        <v/>
      </c>
      <c r="I91" s="18" t="str">
        <f t="shared" ca="1" si="7"/>
        <v/>
      </c>
      <c r="J91" s="5" t="str">
        <f t="shared" si="8"/>
        <v/>
      </c>
      <c r="K91" s="25"/>
      <c r="L91" s="5" t="str">
        <f t="shared" si="9"/>
        <v/>
      </c>
      <c r="M91" s="7"/>
      <c r="N91" s="7"/>
      <c r="O91" s="7"/>
      <c r="P91" s="20" t="str">
        <f>IF($A91="","",INDEX(Project_Tracker!$I$2:$I$101,INT((ROW()-6)/17)+1))</f>
        <v/>
      </c>
      <c r="Q91" s="20" t="str">
        <f>IF($A91="","",INDEX(Project_Tracker!$K$2:$K$101,INT((ROW()-6)/17)+1))</f>
        <v/>
      </c>
    </row>
    <row r="92" spans="1:17" x14ac:dyDescent="0.2">
      <c r="A92" s="20" t="str">
        <f>IF(INDEX(Project_Tracker!$AL$2:$AL$101,INT((ROW()-6)/17)+1)="","",INDEX(Project_Tracker!$AL$2:$AL$101,INT((ROW()-6)/17)+1))</f>
        <v/>
      </c>
      <c r="B92" s="21" t="str">
        <f>IF($A92="","",INDEX(Project_Tracker!$AM$2:$AM$101,INT((ROW()-6)/17)+1))</f>
        <v/>
      </c>
      <c r="C92" s="20" t="str">
        <f>IF($A92="","",INDEX(Project_Tracker!$C$2:$C$101,INT((ROW()-6)/17)+1))</f>
        <v/>
      </c>
      <c r="D92" s="6" t="str">
        <f>IF($A92="","",INDEX(Project_Tracker!$T$2:$T$101,INT((ROW()-6)/17)+1))</f>
        <v/>
      </c>
      <c r="E92" s="18">
        <f t="shared" si="5"/>
        <v>2</v>
      </c>
      <c r="F92" s="23" t="str">
        <f>IF($A92="","",INDEX('Logic &amp; Lists'!$I$4:$I$20,$E92))</f>
        <v/>
      </c>
      <c r="G92" s="18" t="str">
        <f>IF($A92="","",INDEX('Logic &amp; Lists'!$J$4:$J$20,$E92))</f>
        <v/>
      </c>
      <c r="H92" s="6" t="str">
        <f t="shared" si="6"/>
        <v/>
      </c>
      <c r="I92" s="18" t="str">
        <f t="shared" ca="1" si="7"/>
        <v/>
      </c>
      <c r="J92" s="5" t="str">
        <f t="shared" si="8"/>
        <v/>
      </c>
      <c r="K92" s="25"/>
      <c r="L92" s="5" t="str">
        <f t="shared" si="9"/>
        <v/>
      </c>
      <c r="M92" s="7"/>
      <c r="N92" s="7"/>
      <c r="O92" s="7"/>
      <c r="P92" s="20" t="str">
        <f>IF($A92="","",INDEX(Project_Tracker!$I$2:$I$101,INT((ROW()-6)/17)+1))</f>
        <v/>
      </c>
      <c r="Q92" s="20" t="str">
        <f>IF($A92="","",INDEX(Project_Tracker!$K$2:$K$101,INT((ROW()-6)/17)+1))</f>
        <v/>
      </c>
    </row>
    <row r="93" spans="1:17" x14ac:dyDescent="0.2">
      <c r="A93" s="20" t="str">
        <f>IF(INDEX(Project_Tracker!$AL$2:$AL$101,INT((ROW()-6)/17)+1)="","",INDEX(Project_Tracker!$AL$2:$AL$101,INT((ROW()-6)/17)+1))</f>
        <v/>
      </c>
      <c r="B93" s="21" t="str">
        <f>IF($A93="","",INDEX(Project_Tracker!$AM$2:$AM$101,INT((ROW()-6)/17)+1))</f>
        <v/>
      </c>
      <c r="C93" s="20" t="str">
        <f>IF($A93="","",INDEX(Project_Tracker!$C$2:$C$101,INT((ROW()-6)/17)+1))</f>
        <v/>
      </c>
      <c r="D93" s="6" t="str">
        <f>IF($A93="","",INDEX(Project_Tracker!$T$2:$T$101,INT((ROW()-6)/17)+1))</f>
        <v/>
      </c>
      <c r="E93" s="18">
        <f t="shared" si="5"/>
        <v>3</v>
      </c>
      <c r="F93" s="23" t="str">
        <f>IF($A93="","",INDEX('Logic &amp; Lists'!$I$4:$I$20,$E93))</f>
        <v/>
      </c>
      <c r="G93" s="18" t="str">
        <f>IF($A93="","",INDEX('Logic &amp; Lists'!$J$4:$J$20,$E93))</f>
        <v/>
      </c>
      <c r="H93" s="6" t="str">
        <f t="shared" si="6"/>
        <v/>
      </c>
      <c r="I93" s="18" t="str">
        <f t="shared" ca="1" si="7"/>
        <v/>
      </c>
      <c r="J93" s="5" t="str">
        <f t="shared" si="8"/>
        <v/>
      </c>
      <c r="K93" s="25"/>
      <c r="L93" s="5" t="str">
        <f t="shared" si="9"/>
        <v/>
      </c>
      <c r="M93" s="7"/>
      <c r="N93" s="7"/>
      <c r="O93" s="7"/>
      <c r="P93" s="20" t="str">
        <f>IF($A93="","",INDEX(Project_Tracker!$I$2:$I$101,INT((ROW()-6)/17)+1))</f>
        <v/>
      </c>
      <c r="Q93" s="20" t="str">
        <f>IF($A93="","",INDEX(Project_Tracker!$K$2:$K$101,INT((ROW()-6)/17)+1))</f>
        <v/>
      </c>
    </row>
    <row r="94" spans="1:17" x14ac:dyDescent="0.2">
      <c r="A94" s="20" t="str">
        <f>IF(INDEX(Project_Tracker!$AL$2:$AL$101,INT((ROW()-6)/17)+1)="","",INDEX(Project_Tracker!$AL$2:$AL$101,INT((ROW()-6)/17)+1))</f>
        <v/>
      </c>
      <c r="B94" s="21" t="str">
        <f>IF($A94="","",INDEX(Project_Tracker!$AM$2:$AM$101,INT((ROW()-6)/17)+1))</f>
        <v/>
      </c>
      <c r="C94" s="20" t="str">
        <f>IF($A94="","",INDEX(Project_Tracker!$C$2:$C$101,INT((ROW()-6)/17)+1))</f>
        <v/>
      </c>
      <c r="D94" s="6" t="str">
        <f>IF($A94="","",INDEX(Project_Tracker!$T$2:$T$101,INT((ROW()-6)/17)+1))</f>
        <v/>
      </c>
      <c r="E94" s="18">
        <f t="shared" si="5"/>
        <v>4</v>
      </c>
      <c r="F94" s="23" t="str">
        <f>IF($A94="","",INDEX('Logic &amp; Lists'!$I$4:$I$20,$E94))</f>
        <v/>
      </c>
      <c r="G94" s="18" t="str">
        <f>IF($A94="","",INDEX('Logic &amp; Lists'!$J$4:$J$20,$E94))</f>
        <v/>
      </c>
      <c r="H94" s="6" t="str">
        <f t="shared" si="6"/>
        <v/>
      </c>
      <c r="I94" s="18" t="str">
        <f t="shared" ca="1" si="7"/>
        <v/>
      </c>
      <c r="J94" s="5" t="str">
        <f t="shared" si="8"/>
        <v/>
      </c>
      <c r="K94" s="25"/>
      <c r="L94" s="5" t="str">
        <f t="shared" si="9"/>
        <v/>
      </c>
      <c r="M94" s="7"/>
      <c r="N94" s="7"/>
      <c r="O94" s="7"/>
      <c r="P94" s="20" t="str">
        <f>IF($A94="","",INDEX(Project_Tracker!$I$2:$I$101,INT((ROW()-6)/17)+1))</f>
        <v/>
      </c>
      <c r="Q94" s="20" t="str">
        <f>IF($A94="","",INDEX(Project_Tracker!$K$2:$K$101,INT((ROW()-6)/17)+1))</f>
        <v/>
      </c>
    </row>
    <row r="95" spans="1:17" x14ac:dyDescent="0.2">
      <c r="A95" s="20" t="str">
        <f>IF(INDEX(Project_Tracker!$AL$2:$AL$101,INT((ROW()-6)/17)+1)="","",INDEX(Project_Tracker!$AL$2:$AL$101,INT((ROW()-6)/17)+1))</f>
        <v/>
      </c>
      <c r="B95" s="21" t="str">
        <f>IF($A95="","",INDEX(Project_Tracker!$AM$2:$AM$101,INT((ROW()-6)/17)+1))</f>
        <v/>
      </c>
      <c r="C95" s="20" t="str">
        <f>IF($A95="","",INDEX(Project_Tracker!$C$2:$C$101,INT((ROW()-6)/17)+1))</f>
        <v/>
      </c>
      <c r="D95" s="6" t="str">
        <f>IF($A95="","",INDEX(Project_Tracker!$T$2:$T$101,INT((ROW()-6)/17)+1))</f>
        <v/>
      </c>
      <c r="E95" s="18">
        <f t="shared" si="5"/>
        <v>5</v>
      </c>
      <c r="F95" s="23" t="str">
        <f>IF($A95="","",INDEX('Logic &amp; Lists'!$I$4:$I$20,$E95))</f>
        <v/>
      </c>
      <c r="G95" s="18" t="str">
        <f>IF($A95="","",INDEX('Logic &amp; Lists'!$J$4:$J$20,$E95))</f>
        <v/>
      </c>
      <c r="H95" s="6" t="str">
        <f t="shared" si="6"/>
        <v/>
      </c>
      <c r="I95" s="18" t="str">
        <f t="shared" ca="1" si="7"/>
        <v/>
      </c>
      <c r="J95" s="5" t="str">
        <f t="shared" si="8"/>
        <v/>
      </c>
      <c r="K95" s="25"/>
      <c r="L95" s="5" t="str">
        <f t="shared" si="9"/>
        <v/>
      </c>
      <c r="M95" s="7"/>
      <c r="N95" s="7"/>
      <c r="O95" s="7"/>
      <c r="P95" s="20" t="str">
        <f>IF($A95="","",INDEX(Project_Tracker!$I$2:$I$101,INT((ROW()-6)/17)+1))</f>
        <v/>
      </c>
      <c r="Q95" s="20" t="str">
        <f>IF($A95="","",INDEX(Project_Tracker!$K$2:$K$101,INT((ROW()-6)/17)+1))</f>
        <v/>
      </c>
    </row>
    <row r="96" spans="1:17" x14ac:dyDescent="0.2">
      <c r="A96" s="20" t="str">
        <f>IF(INDEX(Project_Tracker!$AL$2:$AL$101,INT((ROW()-6)/17)+1)="","",INDEX(Project_Tracker!$AL$2:$AL$101,INT((ROW()-6)/17)+1))</f>
        <v/>
      </c>
      <c r="B96" s="21" t="str">
        <f>IF($A96="","",INDEX(Project_Tracker!$AM$2:$AM$101,INT((ROW()-6)/17)+1))</f>
        <v/>
      </c>
      <c r="C96" s="20" t="str">
        <f>IF($A96="","",INDEX(Project_Tracker!$C$2:$C$101,INT((ROW()-6)/17)+1))</f>
        <v/>
      </c>
      <c r="D96" s="6" t="str">
        <f>IF($A96="","",INDEX(Project_Tracker!$T$2:$T$101,INT((ROW()-6)/17)+1))</f>
        <v/>
      </c>
      <c r="E96" s="18">
        <f t="shared" si="5"/>
        <v>6</v>
      </c>
      <c r="F96" s="23" t="str">
        <f>IF($A96="","",INDEX('Logic &amp; Lists'!$I$4:$I$20,$E96))</f>
        <v/>
      </c>
      <c r="G96" s="18" t="str">
        <f>IF($A96="","",INDEX('Logic &amp; Lists'!$J$4:$J$20,$E96))</f>
        <v/>
      </c>
      <c r="H96" s="6" t="str">
        <f t="shared" si="6"/>
        <v/>
      </c>
      <c r="I96" s="18" t="str">
        <f t="shared" ca="1" si="7"/>
        <v/>
      </c>
      <c r="J96" s="5" t="str">
        <f t="shared" si="8"/>
        <v/>
      </c>
      <c r="K96" s="25"/>
      <c r="L96" s="5" t="str">
        <f t="shared" si="9"/>
        <v/>
      </c>
      <c r="M96" s="7"/>
      <c r="N96" s="7"/>
      <c r="O96" s="7"/>
      <c r="P96" s="20" t="str">
        <f>IF($A96="","",INDEX(Project_Tracker!$I$2:$I$101,INT((ROW()-6)/17)+1))</f>
        <v/>
      </c>
      <c r="Q96" s="20" t="str">
        <f>IF($A96="","",INDEX(Project_Tracker!$K$2:$K$101,INT((ROW()-6)/17)+1))</f>
        <v/>
      </c>
    </row>
    <row r="97" spans="1:17" x14ac:dyDescent="0.2">
      <c r="A97" s="20" t="str">
        <f>IF(INDEX(Project_Tracker!$AL$2:$AL$101,INT((ROW()-6)/17)+1)="","",INDEX(Project_Tracker!$AL$2:$AL$101,INT((ROW()-6)/17)+1))</f>
        <v/>
      </c>
      <c r="B97" s="21" t="str">
        <f>IF($A97="","",INDEX(Project_Tracker!$AM$2:$AM$101,INT((ROW()-6)/17)+1))</f>
        <v/>
      </c>
      <c r="C97" s="20" t="str">
        <f>IF($A97="","",INDEX(Project_Tracker!$C$2:$C$101,INT((ROW()-6)/17)+1))</f>
        <v/>
      </c>
      <c r="D97" s="6" t="str">
        <f>IF($A97="","",INDEX(Project_Tracker!$T$2:$T$101,INT((ROW()-6)/17)+1))</f>
        <v/>
      </c>
      <c r="E97" s="18">
        <f t="shared" si="5"/>
        <v>7</v>
      </c>
      <c r="F97" s="23" t="str">
        <f>IF($A97="","",INDEX('Logic &amp; Lists'!$I$4:$I$20,$E97))</f>
        <v/>
      </c>
      <c r="G97" s="18" t="str">
        <f>IF($A97="","",INDEX('Logic &amp; Lists'!$J$4:$J$20,$E97))</f>
        <v/>
      </c>
      <c r="H97" s="6" t="str">
        <f t="shared" si="6"/>
        <v/>
      </c>
      <c r="I97" s="18" t="str">
        <f t="shared" ca="1" si="7"/>
        <v/>
      </c>
      <c r="J97" s="5" t="str">
        <f t="shared" si="8"/>
        <v/>
      </c>
      <c r="K97" s="25"/>
      <c r="L97" s="5" t="str">
        <f t="shared" si="9"/>
        <v/>
      </c>
      <c r="M97" s="7"/>
      <c r="N97" s="7"/>
      <c r="O97" s="7"/>
      <c r="P97" s="20" t="str">
        <f>IF($A97="","",INDEX(Project_Tracker!$I$2:$I$101,INT((ROW()-6)/17)+1))</f>
        <v/>
      </c>
      <c r="Q97" s="20" t="str">
        <f>IF($A97="","",INDEX(Project_Tracker!$K$2:$K$101,INT((ROW()-6)/17)+1))</f>
        <v/>
      </c>
    </row>
    <row r="98" spans="1:17" x14ac:dyDescent="0.2">
      <c r="A98" s="20" t="str">
        <f>IF(INDEX(Project_Tracker!$AL$2:$AL$101,INT((ROW()-6)/17)+1)="","",INDEX(Project_Tracker!$AL$2:$AL$101,INT((ROW()-6)/17)+1))</f>
        <v/>
      </c>
      <c r="B98" s="21" t="str">
        <f>IF($A98="","",INDEX(Project_Tracker!$AM$2:$AM$101,INT((ROW()-6)/17)+1))</f>
        <v/>
      </c>
      <c r="C98" s="20" t="str">
        <f>IF($A98="","",INDEX(Project_Tracker!$C$2:$C$101,INT((ROW()-6)/17)+1))</f>
        <v/>
      </c>
      <c r="D98" s="6" t="str">
        <f>IF($A98="","",INDEX(Project_Tracker!$T$2:$T$101,INT((ROW()-6)/17)+1))</f>
        <v/>
      </c>
      <c r="E98" s="18">
        <f t="shared" si="5"/>
        <v>8</v>
      </c>
      <c r="F98" s="23" t="str">
        <f>IF($A98="","",INDEX('Logic &amp; Lists'!$I$4:$I$20,$E98))</f>
        <v/>
      </c>
      <c r="G98" s="18" t="str">
        <f>IF($A98="","",INDEX('Logic &amp; Lists'!$J$4:$J$20,$E98))</f>
        <v/>
      </c>
      <c r="H98" s="6" t="str">
        <f t="shared" si="6"/>
        <v/>
      </c>
      <c r="I98" s="18" t="str">
        <f t="shared" ca="1" si="7"/>
        <v/>
      </c>
      <c r="J98" s="5" t="str">
        <f t="shared" si="8"/>
        <v/>
      </c>
      <c r="K98" s="25"/>
      <c r="L98" s="5" t="str">
        <f t="shared" si="9"/>
        <v/>
      </c>
      <c r="M98" s="7"/>
      <c r="N98" s="7"/>
      <c r="O98" s="7"/>
      <c r="P98" s="20" t="str">
        <f>IF($A98="","",INDEX(Project_Tracker!$I$2:$I$101,INT((ROW()-6)/17)+1))</f>
        <v/>
      </c>
      <c r="Q98" s="20" t="str">
        <f>IF($A98="","",INDEX(Project_Tracker!$K$2:$K$101,INT((ROW()-6)/17)+1))</f>
        <v/>
      </c>
    </row>
    <row r="99" spans="1:17" x14ac:dyDescent="0.2">
      <c r="A99" s="20" t="str">
        <f>IF(INDEX(Project_Tracker!$AL$2:$AL$101,INT((ROW()-6)/17)+1)="","",INDEX(Project_Tracker!$AL$2:$AL$101,INT((ROW()-6)/17)+1))</f>
        <v/>
      </c>
      <c r="B99" s="21" t="str">
        <f>IF($A99="","",INDEX(Project_Tracker!$AM$2:$AM$101,INT((ROW()-6)/17)+1))</f>
        <v/>
      </c>
      <c r="C99" s="20" t="str">
        <f>IF($A99="","",INDEX(Project_Tracker!$C$2:$C$101,INT((ROW()-6)/17)+1))</f>
        <v/>
      </c>
      <c r="D99" s="6" t="str">
        <f>IF($A99="","",INDEX(Project_Tracker!$T$2:$T$101,INT((ROW()-6)/17)+1))</f>
        <v/>
      </c>
      <c r="E99" s="18">
        <f t="shared" si="5"/>
        <v>9</v>
      </c>
      <c r="F99" s="23" t="str">
        <f>IF($A99="","",INDEX('Logic &amp; Lists'!$I$4:$I$20,$E99))</f>
        <v/>
      </c>
      <c r="G99" s="18" t="str">
        <f>IF($A99="","",INDEX('Logic &amp; Lists'!$J$4:$J$20,$E99))</f>
        <v/>
      </c>
      <c r="H99" s="6" t="str">
        <f t="shared" si="6"/>
        <v/>
      </c>
      <c r="I99" s="18" t="str">
        <f t="shared" ca="1" si="7"/>
        <v/>
      </c>
      <c r="J99" s="5" t="str">
        <f t="shared" si="8"/>
        <v/>
      </c>
      <c r="K99" s="25"/>
      <c r="L99" s="5" t="str">
        <f t="shared" si="9"/>
        <v/>
      </c>
      <c r="M99" s="7"/>
      <c r="N99" s="7"/>
      <c r="O99" s="7"/>
      <c r="P99" s="20" t="str">
        <f>IF($A99="","",INDEX(Project_Tracker!$I$2:$I$101,INT((ROW()-6)/17)+1))</f>
        <v/>
      </c>
      <c r="Q99" s="20" t="str">
        <f>IF($A99="","",INDEX(Project_Tracker!$K$2:$K$101,INT((ROW()-6)/17)+1))</f>
        <v/>
      </c>
    </row>
    <row r="100" spans="1:17" x14ac:dyDescent="0.2">
      <c r="A100" s="20" t="str">
        <f>IF(INDEX(Project_Tracker!$AL$2:$AL$101,INT((ROW()-6)/17)+1)="","",INDEX(Project_Tracker!$AL$2:$AL$101,INT((ROW()-6)/17)+1))</f>
        <v/>
      </c>
      <c r="B100" s="21" t="str">
        <f>IF($A100="","",INDEX(Project_Tracker!$AM$2:$AM$101,INT((ROW()-6)/17)+1))</f>
        <v/>
      </c>
      <c r="C100" s="20" t="str">
        <f>IF($A100="","",INDEX(Project_Tracker!$C$2:$C$101,INT((ROW()-6)/17)+1))</f>
        <v/>
      </c>
      <c r="D100" s="6" t="str">
        <f>IF($A100="","",INDEX(Project_Tracker!$T$2:$T$101,INT((ROW()-6)/17)+1))</f>
        <v/>
      </c>
      <c r="E100" s="18">
        <f t="shared" si="5"/>
        <v>10</v>
      </c>
      <c r="F100" s="23" t="str">
        <f>IF($A100="","",INDEX('Logic &amp; Lists'!$I$4:$I$20,$E100))</f>
        <v/>
      </c>
      <c r="G100" s="18" t="str">
        <f>IF($A100="","",INDEX('Logic &amp; Lists'!$J$4:$J$20,$E100))</f>
        <v/>
      </c>
      <c r="H100" s="6" t="str">
        <f t="shared" si="6"/>
        <v/>
      </c>
      <c r="I100" s="18" t="str">
        <f t="shared" ca="1" si="7"/>
        <v/>
      </c>
      <c r="J100" s="5" t="str">
        <f t="shared" si="8"/>
        <v/>
      </c>
      <c r="K100" s="25"/>
      <c r="L100" s="5" t="str">
        <f t="shared" si="9"/>
        <v/>
      </c>
      <c r="M100" s="7"/>
      <c r="N100" s="7"/>
      <c r="O100" s="7"/>
      <c r="P100" s="20" t="str">
        <f>IF($A100="","",INDEX(Project_Tracker!$I$2:$I$101,INT((ROW()-6)/17)+1))</f>
        <v/>
      </c>
      <c r="Q100" s="20" t="str">
        <f>IF($A100="","",INDEX(Project_Tracker!$K$2:$K$101,INT((ROW()-6)/17)+1))</f>
        <v/>
      </c>
    </row>
    <row r="101" spans="1:17" x14ac:dyDescent="0.2">
      <c r="A101" s="20" t="str">
        <f>IF(INDEX(Project_Tracker!$AL$2:$AL$101,INT((ROW()-6)/17)+1)="","",INDEX(Project_Tracker!$AL$2:$AL$101,INT((ROW()-6)/17)+1))</f>
        <v/>
      </c>
      <c r="B101" s="21" t="str">
        <f>IF($A101="","",INDEX(Project_Tracker!$AM$2:$AM$101,INT((ROW()-6)/17)+1))</f>
        <v/>
      </c>
      <c r="C101" s="20" t="str">
        <f>IF($A101="","",INDEX(Project_Tracker!$C$2:$C$101,INT((ROW()-6)/17)+1))</f>
        <v/>
      </c>
      <c r="D101" s="6" t="str">
        <f>IF($A101="","",INDEX(Project_Tracker!$T$2:$T$101,INT((ROW()-6)/17)+1))</f>
        <v/>
      </c>
      <c r="E101" s="18">
        <f t="shared" si="5"/>
        <v>11</v>
      </c>
      <c r="F101" s="23" t="str">
        <f>IF($A101="","",INDEX('Logic &amp; Lists'!$I$4:$I$20,$E101))</f>
        <v/>
      </c>
      <c r="G101" s="18" t="str">
        <f>IF($A101="","",INDEX('Logic &amp; Lists'!$J$4:$J$20,$E101))</f>
        <v/>
      </c>
      <c r="H101" s="6" t="str">
        <f t="shared" si="6"/>
        <v/>
      </c>
      <c r="I101" s="18" t="str">
        <f t="shared" ca="1" si="7"/>
        <v/>
      </c>
      <c r="J101" s="5" t="str">
        <f t="shared" si="8"/>
        <v/>
      </c>
      <c r="K101" s="25"/>
      <c r="L101" s="5" t="str">
        <f t="shared" si="9"/>
        <v/>
      </c>
      <c r="M101" s="7"/>
      <c r="N101" s="7"/>
      <c r="O101" s="7"/>
      <c r="P101" s="20" t="str">
        <f>IF($A101="","",INDEX(Project_Tracker!$I$2:$I$101,INT((ROW()-6)/17)+1))</f>
        <v/>
      </c>
      <c r="Q101" s="20" t="str">
        <f>IF($A101="","",INDEX(Project_Tracker!$K$2:$K$101,INT((ROW()-6)/17)+1))</f>
        <v/>
      </c>
    </row>
    <row r="102" spans="1:17" x14ac:dyDescent="0.2">
      <c r="A102" s="20" t="str">
        <f>IF(INDEX(Project_Tracker!$AL$2:$AL$101,INT((ROW()-6)/17)+1)="","",INDEX(Project_Tracker!$AL$2:$AL$101,INT((ROW()-6)/17)+1))</f>
        <v/>
      </c>
      <c r="B102" s="21" t="str">
        <f>IF($A102="","",INDEX(Project_Tracker!$AM$2:$AM$101,INT((ROW()-6)/17)+1))</f>
        <v/>
      </c>
      <c r="C102" s="20" t="str">
        <f>IF($A102="","",INDEX(Project_Tracker!$C$2:$C$101,INT((ROW()-6)/17)+1))</f>
        <v/>
      </c>
      <c r="D102" s="6" t="str">
        <f>IF($A102="","",INDEX(Project_Tracker!$T$2:$T$101,INT((ROW()-6)/17)+1))</f>
        <v/>
      </c>
      <c r="E102" s="18">
        <f t="shared" si="5"/>
        <v>12</v>
      </c>
      <c r="F102" s="23" t="str">
        <f>IF($A102="","",INDEX('Logic &amp; Lists'!$I$4:$I$20,$E102))</f>
        <v/>
      </c>
      <c r="G102" s="18" t="str">
        <f>IF($A102="","",INDEX('Logic &amp; Lists'!$J$4:$J$20,$E102))</f>
        <v/>
      </c>
      <c r="H102" s="6" t="str">
        <f t="shared" si="6"/>
        <v/>
      </c>
      <c r="I102" s="18" t="str">
        <f t="shared" ca="1" si="7"/>
        <v/>
      </c>
      <c r="J102" s="5" t="str">
        <f t="shared" si="8"/>
        <v/>
      </c>
      <c r="K102" s="25"/>
      <c r="L102" s="5" t="str">
        <f t="shared" si="9"/>
        <v/>
      </c>
      <c r="M102" s="7"/>
      <c r="N102" s="7"/>
      <c r="O102" s="7"/>
      <c r="P102" s="20" t="str">
        <f>IF($A102="","",INDEX(Project_Tracker!$I$2:$I$101,INT((ROW()-6)/17)+1))</f>
        <v/>
      </c>
      <c r="Q102" s="20" t="str">
        <f>IF($A102="","",INDEX(Project_Tracker!$K$2:$K$101,INT((ROW()-6)/17)+1))</f>
        <v/>
      </c>
    </row>
    <row r="103" spans="1:17" x14ac:dyDescent="0.2">
      <c r="A103" s="20" t="str">
        <f>IF(INDEX(Project_Tracker!$AL$2:$AL$101,INT((ROW()-6)/17)+1)="","",INDEX(Project_Tracker!$AL$2:$AL$101,INT((ROW()-6)/17)+1))</f>
        <v/>
      </c>
      <c r="B103" s="21" t="str">
        <f>IF($A103="","",INDEX(Project_Tracker!$AM$2:$AM$101,INT((ROW()-6)/17)+1))</f>
        <v/>
      </c>
      <c r="C103" s="20" t="str">
        <f>IF($A103="","",INDEX(Project_Tracker!$C$2:$C$101,INT((ROW()-6)/17)+1))</f>
        <v/>
      </c>
      <c r="D103" s="6" t="str">
        <f>IF($A103="","",INDEX(Project_Tracker!$T$2:$T$101,INT((ROW()-6)/17)+1))</f>
        <v/>
      </c>
      <c r="E103" s="18">
        <f t="shared" si="5"/>
        <v>13</v>
      </c>
      <c r="F103" s="23" t="str">
        <f>IF($A103="","",INDEX('Logic &amp; Lists'!$I$4:$I$20,$E103))</f>
        <v/>
      </c>
      <c r="G103" s="18" t="str">
        <f>IF($A103="","",INDEX('Logic &amp; Lists'!$J$4:$J$20,$E103))</f>
        <v/>
      </c>
      <c r="H103" s="6" t="str">
        <f t="shared" si="6"/>
        <v/>
      </c>
      <c r="I103" s="18" t="str">
        <f t="shared" ca="1" si="7"/>
        <v/>
      </c>
      <c r="J103" s="5" t="str">
        <f t="shared" si="8"/>
        <v/>
      </c>
      <c r="K103" s="25"/>
      <c r="L103" s="5" t="str">
        <f t="shared" si="9"/>
        <v/>
      </c>
      <c r="M103" s="7"/>
      <c r="N103" s="7"/>
      <c r="O103" s="7"/>
      <c r="P103" s="20" t="str">
        <f>IF($A103="","",INDEX(Project_Tracker!$I$2:$I$101,INT((ROW()-6)/17)+1))</f>
        <v/>
      </c>
      <c r="Q103" s="20" t="str">
        <f>IF($A103="","",INDEX(Project_Tracker!$K$2:$K$101,INT((ROW()-6)/17)+1))</f>
        <v/>
      </c>
    </row>
    <row r="104" spans="1:17" x14ac:dyDescent="0.2">
      <c r="A104" s="20" t="str">
        <f>IF(INDEX(Project_Tracker!$AL$2:$AL$101,INT((ROW()-6)/17)+1)="","",INDEX(Project_Tracker!$AL$2:$AL$101,INT((ROW()-6)/17)+1))</f>
        <v/>
      </c>
      <c r="B104" s="21" t="str">
        <f>IF($A104="","",INDEX(Project_Tracker!$AM$2:$AM$101,INT((ROW()-6)/17)+1))</f>
        <v/>
      </c>
      <c r="C104" s="20" t="str">
        <f>IF($A104="","",INDEX(Project_Tracker!$C$2:$C$101,INT((ROW()-6)/17)+1))</f>
        <v/>
      </c>
      <c r="D104" s="6" t="str">
        <f>IF($A104="","",INDEX(Project_Tracker!$T$2:$T$101,INT((ROW()-6)/17)+1))</f>
        <v/>
      </c>
      <c r="E104" s="18">
        <f t="shared" si="5"/>
        <v>14</v>
      </c>
      <c r="F104" s="23" t="str">
        <f>IF($A104="","",INDEX('Logic &amp; Lists'!$I$4:$I$20,$E104))</f>
        <v/>
      </c>
      <c r="G104" s="18" t="str">
        <f>IF($A104="","",INDEX('Logic &amp; Lists'!$J$4:$J$20,$E104))</f>
        <v/>
      </c>
      <c r="H104" s="6" t="str">
        <f t="shared" si="6"/>
        <v/>
      </c>
      <c r="I104" s="18" t="str">
        <f t="shared" ca="1" si="7"/>
        <v/>
      </c>
      <c r="J104" s="5" t="str">
        <f t="shared" si="8"/>
        <v/>
      </c>
      <c r="K104" s="25"/>
      <c r="L104" s="5" t="str">
        <f t="shared" si="9"/>
        <v/>
      </c>
      <c r="M104" s="7"/>
      <c r="N104" s="7"/>
      <c r="O104" s="7"/>
      <c r="P104" s="20" t="str">
        <f>IF($A104="","",INDEX(Project_Tracker!$I$2:$I$101,INT((ROW()-6)/17)+1))</f>
        <v/>
      </c>
      <c r="Q104" s="20" t="str">
        <f>IF($A104="","",INDEX(Project_Tracker!$K$2:$K$101,INT((ROW()-6)/17)+1))</f>
        <v/>
      </c>
    </row>
    <row r="105" spans="1:17" x14ac:dyDescent="0.2">
      <c r="A105" s="20" t="str">
        <f>IF(INDEX(Project_Tracker!$AL$2:$AL$101,INT((ROW()-6)/17)+1)="","",INDEX(Project_Tracker!$AL$2:$AL$101,INT((ROW()-6)/17)+1))</f>
        <v/>
      </c>
      <c r="B105" s="21" t="str">
        <f>IF($A105="","",INDEX(Project_Tracker!$AM$2:$AM$101,INT((ROW()-6)/17)+1))</f>
        <v/>
      </c>
      <c r="C105" s="20" t="str">
        <f>IF($A105="","",INDEX(Project_Tracker!$C$2:$C$101,INT((ROW()-6)/17)+1))</f>
        <v/>
      </c>
      <c r="D105" s="6" t="str">
        <f>IF($A105="","",INDEX(Project_Tracker!$T$2:$T$101,INT((ROW()-6)/17)+1))</f>
        <v/>
      </c>
      <c r="E105" s="18">
        <f t="shared" si="5"/>
        <v>15</v>
      </c>
      <c r="F105" s="23" t="str">
        <f>IF($A105="","",INDEX('Logic &amp; Lists'!$I$4:$I$20,$E105))</f>
        <v/>
      </c>
      <c r="G105" s="18" t="str">
        <f>IF($A105="","",INDEX('Logic &amp; Lists'!$J$4:$J$20,$E105))</f>
        <v/>
      </c>
      <c r="H105" s="6" t="str">
        <f t="shared" si="6"/>
        <v/>
      </c>
      <c r="I105" s="18" t="str">
        <f t="shared" ca="1" si="7"/>
        <v/>
      </c>
      <c r="J105" s="5" t="str">
        <f t="shared" si="8"/>
        <v/>
      </c>
      <c r="K105" s="25"/>
      <c r="L105" s="5" t="str">
        <f t="shared" si="9"/>
        <v/>
      </c>
      <c r="M105" s="7"/>
      <c r="N105" s="7"/>
      <c r="O105" s="7"/>
      <c r="P105" s="20" t="str">
        <f>IF($A105="","",INDEX(Project_Tracker!$I$2:$I$101,INT((ROW()-6)/17)+1))</f>
        <v/>
      </c>
      <c r="Q105" s="20" t="str">
        <f>IF($A105="","",INDEX(Project_Tracker!$K$2:$K$101,INT((ROW()-6)/17)+1))</f>
        <v/>
      </c>
    </row>
    <row r="106" spans="1:17" x14ac:dyDescent="0.2">
      <c r="A106" s="20" t="str">
        <f>IF(INDEX(Project_Tracker!$AL$2:$AL$101,INT((ROW()-6)/17)+1)="","",INDEX(Project_Tracker!$AL$2:$AL$101,INT((ROW()-6)/17)+1))</f>
        <v/>
      </c>
      <c r="B106" s="21" t="str">
        <f>IF($A106="","",INDEX(Project_Tracker!$AM$2:$AM$101,INT((ROW()-6)/17)+1))</f>
        <v/>
      </c>
      <c r="C106" s="20" t="str">
        <f>IF($A106="","",INDEX(Project_Tracker!$C$2:$C$101,INT((ROW()-6)/17)+1))</f>
        <v/>
      </c>
      <c r="D106" s="6" t="str">
        <f>IF($A106="","",INDEX(Project_Tracker!$T$2:$T$101,INT((ROW()-6)/17)+1))</f>
        <v/>
      </c>
      <c r="E106" s="18">
        <f t="shared" si="5"/>
        <v>16</v>
      </c>
      <c r="F106" s="23" t="str">
        <f>IF($A106="","",INDEX('Logic &amp; Lists'!$I$4:$I$20,$E106))</f>
        <v/>
      </c>
      <c r="G106" s="18" t="str">
        <f>IF($A106="","",INDEX('Logic &amp; Lists'!$J$4:$J$20,$E106))</f>
        <v/>
      </c>
      <c r="H106" s="6" t="str">
        <f t="shared" si="6"/>
        <v/>
      </c>
      <c r="I106" s="18" t="str">
        <f t="shared" ca="1" si="7"/>
        <v/>
      </c>
      <c r="J106" s="5" t="str">
        <f t="shared" si="8"/>
        <v/>
      </c>
      <c r="K106" s="25"/>
      <c r="L106" s="5" t="str">
        <f t="shared" si="9"/>
        <v/>
      </c>
      <c r="M106" s="7"/>
      <c r="N106" s="7"/>
      <c r="O106" s="7"/>
      <c r="P106" s="20" t="str">
        <f>IF($A106="","",INDEX(Project_Tracker!$I$2:$I$101,INT((ROW()-6)/17)+1))</f>
        <v/>
      </c>
      <c r="Q106" s="20" t="str">
        <f>IF($A106="","",INDEX(Project_Tracker!$K$2:$K$101,INT((ROW()-6)/17)+1))</f>
        <v/>
      </c>
    </row>
    <row r="107" spans="1:17" x14ac:dyDescent="0.2">
      <c r="A107" s="20" t="str">
        <f>IF(INDEX(Project_Tracker!$AL$2:$AL$101,INT((ROW()-6)/17)+1)="","",INDEX(Project_Tracker!$AL$2:$AL$101,INT((ROW()-6)/17)+1))</f>
        <v/>
      </c>
      <c r="B107" s="21" t="str">
        <f>IF($A107="","",INDEX(Project_Tracker!$AM$2:$AM$101,INT((ROW()-6)/17)+1))</f>
        <v/>
      </c>
      <c r="C107" s="20" t="str">
        <f>IF($A107="","",INDEX(Project_Tracker!$C$2:$C$101,INT((ROW()-6)/17)+1))</f>
        <v/>
      </c>
      <c r="D107" s="6" t="str">
        <f>IF($A107="","",INDEX(Project_Tracker!$T$2:$T$101,INT((ROW()-6)/17)+1))</f>
        <v/>
      </c>
      <c r="E107" s="18">
        <f t="shared" si="5"/>
        <v>17</v>
      </c>
      <c r="F107" s="23" t="str">
        <f>IF($A107="","",INDEX('Logic &amp; Lists'!$I$4:$I$20,$E107))</f>
        <v/>
      </c>
      <c r="G107" s="18" t="str">
        <f>IF($A107="","",INDEX('Logic &amp; Lists'!$J$4:$J$20,$E107))</f>
        <v/>
      </c>
      <c r="H107" s="6" t="str">
        <f t="shared" si="6"/>
        <v/>
      </c>
      <c r="I107" s="18" t="str">
        <f t="shared" ca="1" si="7"/>
        <v/>
      </c>
      <c r="J107" s="5" t="str">
        <f t="shared" si="8"/>
        <v/>
      </c>
      <c r="K107" s="25"/>
      <c r="L107" s="5" t="str">
        <f t="shared" si="9"/>
        <v/>
      </c>
      <c r="M107" s="7"/>
      <c r="N107" s="7"/>
      <c r="O107" s="7"/>
      <c r="P107" s="20" t="str">
        <f>IF($A107="","",INDEX(Project_Tracker!$I$2:$I$101,INT((ROW()-6)/17)+1))</f>
        <v/>
      </c>
      <c r="Q107" s="20" t="str">
        <f>IF($A107="","",INDEX(Project_Tracker!$K$2:$K$101,INT((ROW()-6)/17)+1))</f>
        <v/>
      </c>
    </row>
    <row r="108" spans="1:17" x14ac:dyDescent="0.2">
      <c r="A108" s="20" t="str">
        <f>IF(INDEX(Project_Tracker!$AL$2:$AL$101,INT((ROW()-6)/17)+1)="","",INDEX(Project_Tracker!$AL$2:$AL$101,INT((ROW()-6)/17)+1))</f>
        <v/>
      </c>
      <c r="B108" s="21" t="str">
        <f>IF($A108="","",INDEX(Project_Tracker!$AM$2:$AM$101,INT((ROW()-6)/17)+1))</f>
        <v/>
      </c>
      <c r="C108" s="20" t="str">
        <f>IF($A108="","",INDEX(Project_Tracker!$C$2:$C$101,INT((ROW()-6)/17)+1))</f>
        <v/>
      </c>
      <c r="D108" s="6" t="str">
        <f>IF($A108="","",INDEX(Project_Tracker!$T$2:$T$101,INT((ROW()-6)/17)+1))</f>
        <v/>
      </c>
      <c r="E108" s="18">
        <f t="shared" si="5"/>
        <v>1</v>
      </c>
      <c r="F108" s="23" t="str">
        <f>IF($A108="","",INDEX('Logic &amp; Lists'!$I$4:$I$20,$E108))</f>
        <v/>
      </c>
      <c r="G108" s="18" t="str">
        <f>IF($A108="","",INDEX('Logic &amp; Lists'!$J$4:$J$20,$E108))</f>
        <v/>
      </c>
      <c r="H108" s="6" t="str">
        <f t="shared" si="6"/>
        <v/>
      </c>
      <c r="I108" s="18" t="str">
        <f t="shared" ca="1" si="7"/>
        <v/>
      </c>
      <c r="J108" s="5" t="str">
        <f t="shared" si="8"/>
        <v/>
      </c>
      <c r="K108" s="25"/>
      <c r="L108" s="5" t="str">
        <f t="shared" si="9"/>
        <v/>
      </c>
      <c r="M108" s="7"/>
      <c r="N108" s="7"/>
      <c r="O108" s="7"/>
      <c r="P108" s="20" t="str">
        <f>IF($A108="","",INDEX(Project_Tracker!$I$2:$I$101,INT((ROW()-6)/17)+1))</f>
        <v/>
      </c>
      <c r="Q108" s="20" t="str">
        <f>IF($A108="","",INDEX(Project_Tracker!$K$2:$K$101,INT((ROW()-6)/17)+1))</f>
        <v/>
      </c>
    </row>
    <row r="109" spans="1:17" x14ac:dyDescent="0.2">
      <c r="A109" s="20" t="str">
        <f>IF(INDEX(Project_Tracker!$AL$2:$AL$101,INT((ROW()-6)/17)+1)="","",INDEX(Project_Tracker!$AL$2:$AL$101,INT((ROW()-6)/17)+1))</f>
        <v/>
      </c>
      <c r="B109" s="21" t="str">
        <f>IF($A109="","",INDEX(Project_Tracker!$AM$2:$AM$101,INT((ROW()-6)/17)+1))</f>
        <v/>
      </c>
      <c r="C109" s="20" t="str">
        <f>IF($A109="","",INDEX(Project_Tracker!$C$2:$C$101,INT((ROW()-6)/17)+1))</f>
        <v/>
      </c>
      <c r="D109" s="6" t="str">
        <f>IF($A109="","",INDEX(Project_Tracker!$T$2:$T$101,INT((ROW()-6)/17)+1))</f>
        <v/>
      </c>
      <c r="E109" s="18">
        <f t="shared" si="5"/>
        <v>2</v>
      </c>
      <c r="F109" s="23" t="str">
        <f>IF($A109="","",INDEX('Logic &amp; Lists'!$I$4:$I$20,$E109))</f>
        <v/>
      </c>
      <c r="G109" s="18" t="str">
        <f>IF($A109="","",INDEX('Logic &amp; Lists'!$J$4:$J$20,$E109))</f>
        <v/>
      </c>
      <c r="H109" s="6" t="str">
        <f t="shared" si="6"/>
        <v/>
      </c>
      <c r="I109" s="18" t="str">
        <f t="shared" ca="1" si="7"/>
        <v/>
      </c>
      <c r="J109" s="5" t="str">
        <f t="shared" si="8"/>
        <v/>
      </c>
      <c r="K109" s="25"/>
      <c r="L109" s="5" t="str">
        <f t="shared" si="9"/>
        <v/>
      </c>
      <c r="M109" s="7"/>
      <c r="N109" s="7"/>
      <c r="O109" s="7"/>
      <c r="P109" s="20" t="str">
        <f>IF($A109="","",INDEX(Project_Tracker!$I$2:$I$101,INT((ROW()-6)/17)+1))</f>
        <v/>
      </c>
      <c r="Q109" s="20" t="str">
        <f>IF($A109="","",INDEX(Project_Tracker!$K$2:$K$101,INT((ROW()-6)/17)+1))</f>
        <v/>
      </c>
    </row>
    <row r="110" spans="1:17" x14ac:dyDescent="0.2">
      <c r="A110" s="20" t="str">
        <f>IF(INDEX(Project_Tracker!$AL$2:$AL$101,INT((ROW()-6)/17)+1)="","",INDEX(Project_Tracker!$AL$2:$AL$101,INT((ROW()-6)/17)+1))</f>
        <v/>
      </c>
      <c r="B110" s="21" t="str">
        <f>IF($A110="","",INDEX(Project_Tracker!$AM$2:$AM$101,INT((ROW()-6)/17)+1))</f>
        <v/>
      </c>
      <c r="C110" s="20" t="str">
        <f>IF($A110="","",INDEX(Project_Tracker!$C$2:$C$101,INT((ROW()-6)/17)+1))</f>
        <v/>
      </c>
      <c r="D110" s="6" t="str">
        <f>IF($A110="","",INDEX(Project_Tracker!$T$2:$T$101,INT((ROW()-6)/17)+1))</f>
        <v/>
      </c>
      <c r="E110" s="18">
        <f t="shared" si="5"/>
        <v>3</v>
      </c>
      <c r="F110" s="23" t="str">
        <f>IF($A110="","",INDEX('Logic &amp; Lists'!$I$4:$I$20,$E110))</f>
        <v/>
      </c>
      <c r="G110" s="18" t="str">
        <f>IF($A110="","",INDEX('Logic &amp; Lists'!$J$4:$J$20,$E110))</f>
        <v/>
      </c>
      <c r="H110" s="6" t="str">
        <f t="shared" si="6"/>
        <v/>
      </c>
      <c r="I110" s="18" t="str">
        <f t="shared" ca="1" si="7"/>
        <v/>
      </c>
      <c r="J110" s="5" t="str">
        <f t="shared" si="8"/>
        <v/>
      </c>
      <c r="K110" s="25"/>
      <c r="L110" s="5" t="str">
        <f t="shared" si="9"/>
        <v/>
      </c>
      <c r="M110" s="7"/>
      <c r="N110" s="7"/>
      <c r="O110" s="7"/>
      <c r="P110" s="20" t="str">
        <f>IF($A110="","",INDEX(Project_Tracker!$I$2:$I$101,INT((ROW()-6)/17)+1))</f>
        <v/>
      </c>
      <c r="Q110" s="20" t="str">
        <f>IF($A110="","",INDEX(Project_Tracker!$K$2:$K$101,INT((ROW()-6)/17)+1))</f>
        <v/>
      </c>
    </row>
    <row r="111" spans="1:17" x14ac:dyDescent="0.2">
      <c r="A111" s="20" t="str">
        <f>IF(INDEX(Project_Tracker!$AL$2:$AL$101,INT((ROW()-6)/17)+1)="","",INDEX(Project_Tracker!$AL$2:$AL$101,INT((ROW()-6)/17)+1))</f>
        <v/>
      </c>
      <c r="B111" s="21" t="str">
        <f>IF($A111="","",INDEX(Project_Tracker!$AM$2:$AM$101,INT((ROW()-6)/17)+1))</f>
        <v/>
      </c>
      <c r="C111" s="20" t="str">
        <f>IF($A111="","",INDEX(Project_Tracker!$C$2:$C$101,INT((ROW()-6)/17)+1))</f>
        <v/>
      </c>
      <c r="D111" s="6" t="str">
        <f>IF($A111="","",INDEX(Project_Tracker!$T$2:$T$101,INT((ROW()-6)/17)+1))</f>
        <v/>
      </c>
      <c r="E111" s="18">
        <f t="shared" si="5"/>
        <v>4</v>
      </c>
      <c r="F111" s="23" t="str">
        <f>IF($A111="","",INDEX('Logic &amp; Lists'!$I$4:$I$20,$E111))</f>
        <v/>
      </c>
      <c r="G111" s="18" t="str">
        <f>IF($A111="","",INDEX('Logic &amp; Lists'!$J$4:$J$20,$E111))</f>
        <v/>
      </c>
      <c r="H111" s="6" t="str">
        <f t="shared" si="6"/>
        <v/>
      </c>
      <c r="I111" s="18" t="str">
        <f t="shared" ca="1" si="7"/>
        <v/>
      </c>
      <c r="J111" s="5" t="str">
        <f t="shared" si="8"/>
        <v/>
      </c>
      <c r="K111" s="25"/>
      <c r="L111" s="5" t="str">
        <f t="shared" si="9"/>
        <v/>
      </c>
      <c r="M111" s="7"/>
      <c r="N111" s="7"/>
      <c r="O111" s="7"/>
      <c r="P111" s="20" t="str">
        <f>IF($A111="","",INDEX(Project_Tracker!$I$2:$I$101,INT((ROW()-6)/17)+1))</f>
        <v/>
      </c>
      <c r="Q111" s="20" t="str">
        <f>IF($A111="","",INDEX(Project_Tracker!$K$2:$K$101,INT((ROW()-6)/17)+1))</f>
        <v/>
      </c>
    </row>
    <row r="112" spans="1:17" x14ac:dyDescent="0.2">
      <c r="A112" s="20" t="str">
        <f>IF(INDEX(Project_Tracker!$AL$2:$AL$101,INT((ROW()-6)/17)+1)="","",INDEX(Project_Tracker!$AL$2:$AL$101,INT((ROW()-6)/17)+1))</f>
        <v/>
      </c>
      <c r="B112" s="21" t="str">
        <f>IF($A112="","",INDEX(Project_Tracker!$AM$2:$AM$101,INT((ROW()-6)/17)+1))</f>
        <v/>
      </c>
      <c r="C112" s="20" t="str">
        <f>IF($A112="","",INDEX(Project_Tracker!$C$2:$C$101,INT((ROW()-6)/17)+1))</f>
        <v/>
      </c>
      <c r="D112" s="6" t="str">
        <f>IF($A112="","",INDEX(Project_Tracker!$T$2:$T$101,INT((ROW()-6)/17)+1))</f>
        <v/>
      </c>
      <c r="E112" s="18">
        <f t="shared" si="5"/>
        <v>5</v>
      </c>
      <c r="F112" s="23" t="str">
        <f>IF($A112="","",INDEX('Logic &amp; Lists'!$I$4:$I$20,$E112))</f>
        <v/>
      </c>
      <c r="G112" s="18" t="str">
        <f>IF($A112="","",INDEX('Logic &amp; Lists'!$J$4:$J$20,$E112))</f>
        <v/>
      </c>
      <c r="H112" s="6" t="str">
        <f t="shared" si="6"/>
        <v/>
      </c>
      <c r="I112" s="18" t="str">
        <f t="shared" ca="1" si="7"/>
        <v/>
      </c>
      <c r="J112" s="5" t="str">
        <f t="shared" si="8"/>
        <v/>
      </c>
      <c r="K112" s="25"/>
      <c r="L112" s="5" t="str">
        <f t="shared" si="9"/>
        <v/>
      </c>
      <c r="M112" s="7"/>
      <c r="N112" s="7"/>
      <c r="O112" s="7"/>
      <c r="P112" s="20" t="str">
        <f>IF($A112="","",INDEX(Project_Tracker!$I$2:$I$101,INT((ROW()-6)/17)+1))</f>
        <v/>
      </c>
      <c r="Q112" s="20" t="str">
        <f>IF($A112="","",INDEX(Project_Tracker!$K$2:$K$101,INT((ROW()-6)/17)+1))</f>
        <v/>
      </c>
    </row>
    <row r="113" spans="1:17" x14ac:dyDescent="0.2">
      <c r="A113" s="20" t="str">
        <f>IF(INDEX(Project_Tracker!$AL$2:$AL$101,INT((ROW()-6)/17)+1)="","",INDEX(Project_Tracker!$AL$2:$AL$101,INT((ROW()-6)/17)+1))</f>
        <v/>
      </c>
      <c r="B113" s="21" t="str">
        <f>IF($A113="","",INDEX(Project_Tracker!$AM$2:$AM$101,INT((ROW()-6)/17)+1))</f>
        <v/>
      </c>
      <c r="C113" s="20" t="str">
        <f>IF($A113="","",INDEX(Project_Tracker!$C$2:$C$101,INT((ROW()-6)/17)+1))</f>
        <v/>
      </c>
      <c r="D113" s="6" t="str">
        <f>IF($A113="","",INDEX(Project_Tracker!$T$2:$T$101,INT((ROW()-6)/17)+1))</f>
        <v/>
      </c>
      <c r="E113" s="18">
        <f t="shared" si="5"/>
        <v>6</v>
      </c>
      <c r="F113" s="23" t="str">
        <f>IF($A113="","",INDEX('Logic &amp; Lists'!$I$4:$I$20,$E113))</f>
        <v/>
      </c>
      <c r="G113" s="18" t="str">
        <f>IF($A113="","",INDEX('Logic &amp; Lists'!$J$4:$J$20,$E113))</f>
        <v/>
      </c>
      <c r="H113" s="6" t="str">
        <f t="shared" si="6"/>
        <v/>
      </c>
      <c r="I113" s="18" t="str">
        <f t="shared" ca="1" si="7"/>
        <v/>
      </c>
      <c r="J113" s="5" t="str">
        <f t="shared" si="8"/>
        <v/>
      </c>
      <c r="K113" s="25"/>
      <c r="L113" s="5" t="str">
        <f t="shared" si="9"/>
        <v/>
      </c>
      <c r="M113" s="7"/>
      <c r="N113" s="7"/>
      <c r="O113" s="7"/>
      <c r="P113" s="20" t="str">
        <f>IF($A113="","",INDEX(Project_Tracker!$I$2:$I$101,INT((ROW()-6)/17)+1))</f>
        <v/>
      </c>
      <c r="Q113" s="20" t="str">
        <f>IF($A113="","",INDEX(Project_Tracker!$K$2:$K$101,INT((ROW()-6)/17)+1))</f>
        <v/>
      </c>
    </row>
    <row r="114" spans="1:17" x14ac:dyDescent="0.2">
      <c r="A114" s="20" t="str">
        <f>IF(INDEX(Project_Tracker!$AL$2:$AL$101,INT((ROW()-6)/17)+1)="","",INDEX(Project_Tracker!$AL$2:$AL$101,INT((ROW()-6)/17)+1))</f>
        <v/>
      </c>
      <c r="B114" s="21" t="str">
        <f>IF($A114="","",INDEX(Project_Tracker!$AM$2:$AM$101,INT((ROW()-6)/17)+1))</f>
        <v/>
      </c>
      <c r="C114" s="20" t="str">
        <f>IF($A114="","",INDEX(Project_Tracker!$C$2:$C$101,INT((ROW()-6)/17)+1))</f>
        <v/>
      </c>
      <c r="D114" s="6" t="str">
        <f>IF($A114="","",INDEX(Project_Tracker!$T$2:$T$101,INT((ROW()-6)/17)+1))</f>
        <v/>
      </c>
      <c r="E114" s="18">
        <f t="shared" si="5"/>
        <v>7</v>
      </c>
      <c r="F114" s="23" t="str">
        <f>IF($A114="","",INDEX('Logic &amp; Lists'!$I$4:$I$20,$E114))</f>
        <v/>
      </c>
      <c r="G114" s="18" t="str">
        <f>IF($A114="","",INDEX('Logic &amp; Lists'!$J$4:$J$20,$E114))</f>
        <v/>
      </c>
      <c r="H114" s="6" t="str">
        <f t="shared" si="6"/>
        <v/>
      </c>
      <c r="I114" s="18" t="str">
        <f t="shared" ca="1" si="7"/>
        <v/>
      </c>
      <c r="J114" s="5" t="str">
        <f t="shared" si="8"/>
        <v/>
      </c>
      <c r="K114" s="25"/>
      <c r="L114" s="5" t="str">
        <f t="shared" si="9"/>
        <v/>
      </c>
      <c r="M114" s="7"/>
      <c r="N114" s="7"/>
      <c r="O114" s="7"/>
      <c r="P114" s="20" t="str">
        <f>IF($A114="","",INDEX(Project_Tracker!$I$2:$I$101,INT((ROW()-6)/17)+1))</f>
        <v/>
      </c>
      <c r="Q114" s="20" t="str">
        <f>IF($A114="","",INDEX(Project_Tracker!$K$2:$K$101,INT((ROW()-6)/17)+1))</f>
        <v/>
      </c>
    </row>
    <row r="115" spans="1:17" x14ac:dyDescent="0.2">
      <c r="A115" s="20" t="str">
        <f>IF(INDEX(Project_Tracker!$AL$2:$AL$101,INT((ROW()-6)/17)+1)="","",INDEX(Project_Tracker!$AL$2:$AL$101,INT((ROW()-6)/17)+1))</f>
        <v/>
      </c>
      <c r="B115" s="21" t="str">
        <f>IF($A115="","",INDEX(Project_Tracker!$AM$2:$AM$101,INT((ROW()-6)/17)+1))</f>
        <v/>
      </c>
      <c r="C115" s="20" t="str">
        <f>IF($A115="","",INDEX(Project_Tracker!$C$2:$C$101,INT((ROW()-6)/17)+1))</f>
        <v/>
      </c>
      <c r="D115" s="6" t="str">
        <f>IF($A115="","",INDEX(Project_Tracker!$T$2:$T$101,INT((ROW()-6)/17)+1))</f>
        <v/>
      </c>
      <c r="E115" s="18">
        <f t="shared" si="5"/>
        <v>8</v>
      </c>
      <c r="F115" s="23" t="str">
        <f>IF($A115="","",INDEX('Logic &amp; Lists'!$I$4:$I$20,$E115))</f>
        <v/>
      </c>
      <c r="G115" s="18" t="str">
        <f>IF($A115="","",INDEX('Logic &amp; Lists'!$J$4:$J$20,$E115))</f>
        <v/>
      </c>
      <c r="H115" s="6" t="str">
        <f t="shared" si="6"/>
        <v/>
      </c>
      <c r="I115" s="18" t="str">
        <f t="shared" ca="1" si="7"/>
        <v/>
      </c>
      <c r="J115" s="5" t="str">
        <f t="shared" si="8"/>
        <v/>
      </c>
      <c r="K115" s="25"/>
      <c r="L115" s="5" t="str">
        <f t="shared" si="9"/>
        <v/>
      </c>
      <c r="M115" s="7"/>
      <c r="N115" s="7"/>
      <c r="O115" s="7"/>
      <c r="P115" s="20" t="str">
        <f>IF($A115="","",INDEX(Project_Tracker!$I$2:$I$101,INT((ROW()-6)/17)+1))</f>
        <v/>
      </c>
      <c r="Q115" s="20" t="str">
        <f>IF($A115="","",INDEX(Project_Tracker!$K$2:$K$101,INT((ROW()-6)/17)+1))</f>
        <v/>
      </c>
    </row>
    <row r="116" spans="1:17" x14ac:dyDescent="0.2">
      <c r="A116" s="20" t="str">
        <f>IF(INDEX(Project_Tracker!$AL$2:$AL$101,INT((ROW()-6)/17)+1)="","",INDEX(Project_Tracker!$AL$2:$AL$101,INT((ROW()-6)/17)+1))</f>
        <v/>
      </c>
      <c r="B116" s="21" t="str">
        <f>IF($A116="","",INDEX(Project_Tracker!$AM$2:$AM$101,INT((ROW()-6)/17)+1))</f>
        <v/>
      </c>
      <c r="C116" s="20" t="str">
        <f>IF($A116="","",INDEX(Project_Tracker!$C$2:$C$101,INT((ROW()-6)/17)+1))</f>
        <v/>
      </c>
      <c r="D116" s="6" t="str">
        <f>IF($A116="","",INDEX(Project_Tracker!$T$2:$T$101,INT((ROW()-6)/17)+1))</f>
        <v/>
      </c>
      <c r="E116" s="18">
        <f t="shared" si="5"/>
        <v>9</v>
      </c>
      <c r="F116" s="23" t="str">
        <f>IF($A116="","",INDEX('Logic &amp; Lists'!$I$4:$I$20,$E116))</f>
        <v/>
      </c>
      <c r="G116" s="18" t="str">
        <f>IF($A116="","",INDEX('Logic &amp; Lists'!$J$4:$J$20,$E116))</f>
        <v/>
      </c>
      <c r="H116" s="6" t="str">
        <f t="shared" si="6"/>
        <v/>
      </c>
      <c r="I116" s="18" t="str">
        <f t="shared" ca="1" si="7"/>
        <v/>
      </c>
      <c r="J116" s="5" t="str">
        <f t="shared" si="8"/>
        <v/>
      </c>
      <c r="K116" s="25"/>
      <c r="L116" s="5" t="str">
        <f t="shared" si="9"/>
        <v/>
      </c>
      <c r="M116" s="7"/>
      <c r="N116" s="7"/>
      <c r="O116" s="7"/>
      <c r="P116" s="20" t="str">
        <f>IF($A116="","",INDEX(Project_Tracker!$I$2:$I$101,INT((ROW()-6)/17)+1))</f>
        <v/>
      </c>
      <c r="Q116" s="20" t="str">
        <f>IF($A116="","",INDEX(Project_Tracker!$K$2:$K$101,INT((ROW()-6)/17)+1))</f>
        <v/>
      </c>
    </row>
    <row r="117" spans="1:17" x14ac:dyDescent="0.2">
      <c r="A117" s="20" t="str">
        <f>IF(INDEX(Project_Tracker!$AL$2:$AL$101,INT((ROW()-6)/17)+1)="","",INDEX(Project_Tracker!$AL$2:$AL$101,INT((ROW()-6)/17)+1))</f>
        <v/>
      </c>
      <c r="B117" s="21" t="str">
        <f>IF($A117="","",INDEX(Project_Tracker!$AM$2:$AM$101,INT((ROW()-6)/17)+1))</f>
        <v/>
      </c>
      <c r="C117" s="20" t="str">
        <f>IF($A117="","",INDEX(Project_Tracker!$C$2:$C$101,INT((ROW()-6)/17)+1))</f>
        <v/>
      </c>
      <c r="D117" s="6" t="str">
        <f>IF($A117="","",INDEX(Project_Tracker!$T$2:$T$101,INT((ROW()-6)/17)+1))</f>
        <v/>
      </c>
      <c r="E117" s="18">
        <f t="shared" si="5"/>
        <v>10</v>
      </c>
      <c r="F117" s="23" t="str">
        <f>IF($A117="","",INDEX('Logic &amp; Lists'!$I$4:$I$20,$E117))</f>
        <v/>
      </c>
      <c r="G117" s="18" t="str">
        <f>IF($A117="","",INDEX('Logic &amp; Lists'!$J$4:$J$20,$E117))</f>
        <v/>
      </c>
      <c r="H117" s="6" t="str">
        <f t="shared" si="6"/>
        <v/>
      </c>
      <c r="I117" s="18" t="str">
        <f t="shared" ca="1" si="7"/>
        <v/>
      </c>
      <c r="J117" s="5" t="str">
        <f t="shared" si="8"/>
        <v/>
      </c>
      <c r="K117" s="25"/>
      <c r="L117" s="5" t="str">
        <f t="shared" si="9"/>
        <v/>
      </c>
      <c r="M117" s="7"/>
      <c r="N117" s="7"/>
      <c r="O117" s="7"/>
      <c r="P117" s="20" t="str">
        <f>IF($A117="","",INDEX(Project_Tracker!$I$2:$I$101,INT((ROW()-6)/17)+1))</f>
        <v/>
      </c>
      <c r="Q117" s="20" t="str">
        <f>IF($A117="","",INDEX(Project_Tracker!$K$2:$K$101,INT((ROW()-6)/17)+1))</f>
        <v/>
      </c>
    </row>
    <row r="118" spans="1:17" x14ac:dyDescent="0.2">
      <c r="A118" s="20" t="str">
        <f>IF(INDEX(Project_Tracker!$AL$2:$AL$101,INT((ROW()-6)/17)+1)="","",INDEX(Project_Tracker!$AL$2:$AL$101,INT((ROW()-6)/17)+1))</f>
        <v/>
      </c>
      <c r="B118" s="21" t="str">
        <f>IF($A118="","",INDEX(Project_Tracker!$AM$2:$AM$101,INT((ROW()-6)/17)+1))</f>
        <v/>
      </c>
      <c r="C118" s="20" t="str">
        <f>IF($A118="","",INDEX(Project_Tracker!$C$2:$C$101,INT((ROW()-6)/17)+1))</f>
        <v/>
      </c>
      <c r="D118" s="6" t="str">
        <f>IF($A118="","",INDEX(Project_Tracker!$T$2:$T$101,INT((ROW()-6)/17)+1))</f>
        <v/>
      </c>
      <c r="E118" s="18">
        <f t="shared" si="5"/>
        <v>11</v>
      </c>
      <c r="F118" s="23" t="str">
        <f>IF($A118="","",INDEX('Logic &amp; Lists'!$I$4:$I$20,$E118))</f>
        <v/>
      </c>
      <c r="G118" s="18" t="str">
        <f>IF($A118="","",INDEX('Logic &amp; Lists'!$J$4:$J$20,$E118))</f>
        <v/>
      </c>
      <c r="H118" s="6" t="str">
        <f t="shared" si="6"/>
        <v/>
      </c>
      <c r="I118" s="18" t="str">
        <f t="shared" ca="1" si="7"/>
        <v/>
      </c>
      <c r="J118" s="5" t="str">
        <f t="shared" si="8"/>
        <v/>
      </c>
      <c r="K118" s="25"/>
      <c r="L118" s="5" t="str">
        <f t="shared" si="9"/>
        <v/>
      </c>
      <c r="M118" s="7"/>
      <c r="N118" s="7"/>
      <c r="O118" s="7"/>
      <c r="P118" s="20" t="str">
        <f>IF($A118="","",INDEX(Project_Tracker!$I$2:$I$101,INT((ROW()-6)/17)+1))</f>
        <v/>
      </c>
      <c r="Q118" s="20" t="str">
        <f>IF($A118="","",INDEX(Project_Tracker!$K$2:$K$101,INT((ROW()-6)/17)+1))</f>
        <v/>
      </c>
    </row>
    <row r="119" spans="1:17" x14ac:dyDescent="0.2">
      <c r="A119" s="20" t="str">
        <f>IF(INDEX(Project_Tracker!$AL$2:$AL$101,INT((ROW()-6)/17)+1)="","",INDEX(Project_Tracker!$AL$2:$AL$101,INT((ROW()-6)/17)+1))</f>
        <v/>
      </c>
      <c r="B119" s="21" t="str">
        <f>IF($A119="","",INDEX(Project_Tracker!$AM$2:$AM$101,INT((ROW()-6)/17)+1))</f>
        <v/>
      </c>
      <c r="C119" s="20" t="str">
        <f>IF($A119="","",INDEX(Project_Tracker!$C$2:$C$101,INT((ROW()-6)/17)+1))</f>
        <v/>
      </c>
      <c r="D119" s="6" t="str">
        <f>IF($A119="","",INDEX(Project_Tracker!$T$2:$T$101,INT((ROW()-6)/17)+1))</f>
        <v/>
      </c>
      <c r="E119" s="18">
        <f t="shared" si="5"/>
        <v>12</v>
      </c>
      <c r="F119" s="23" t="str">
        <f>IF($A119="","",INDEX('Logic &amp; Lists'!$I$4:$I$20,$E119))</f>
        <v/>
      </c>
      <c r="G119" s="18" t="str">
        <f>IF($A119="","",INDEX('Logic &amp; Lists'!$J$4:$J$20,$E119))</f>
        <v/>
      </c>
      <c r="H119" s="6" t="str">
        <f t="shared" si="6"/>
        <v/>
      </c>
      <c r="I119" s="18" t="str">
        <f t="shared" ca="1" si="7"/>
        <v/>
      </c>
      <c r="J119" s="5" t="str">
        <f t="shared" si="8"/>
        <v/>
      </c>
      <c r="K119" s="25"/>
      <c r="L119" s="5" t="str">
        <f t="shared" si="9"/>
        <v/>
      </c>
      <c r="M119" s="7"/>
      <c r="N119" s="7"/>
      <c r="O119" s="7"/>
      <c r="P119" s="20" t="str">
        <f>IF($A119="","",INDEX(Project_Tracker!$I$2:$I$101,INT((ROW()-6)/17)+1))</f>
        <v/>
      </c>
      <c r="Q119" s="20" t="str">
        <f>IF($A119="","",INDEX(Project_Tracker!$K$2:$K$101,INT((ROW()-6)/17)+1))</f>
        <v/>
      </c>
    </row>
    <row r="120" spans="1:17" x14ac:dyDescent="0.2">
      <c r="A120" s="20" t="str">
        <f>IF(INDEX(Project_Tracker!$AL$2:$AL$101,INT((ROW()-6)/17)+1)="","",INDEX(Project_Tracker!$AL$2:$AL$101,INT((ROW()-6)/17)+1))</f>
        <v/>
      </c>
      <c r="B120" s="21" t="str">
        <f>IF($A120="","",INDEX(Project_Tracker!$AM$2:$AM$101,INT((ROW()-6)/17)+1))</f>
        <v/>
      </c>
      <c r="C120" s="20" t="str">
        <f>IF($A120="","",INDEX(Project_Tracker!$C$2:$C$101,INT((ROW()-6)/17)+1))</f>
        <v/>
      </c>
      <c r="D120" s="6" t="str">
        <f>IF($A120="","",INDEX(Project_Tracker!$T$2:$T$101,INT((ROW()-6)/17)+1))</f>
        <v/>
      </c>
      <c r="E120" s="18">
        <f t="shared" si="5"/>
        <v>13</v>
      </c>
      <c r="F120" s="23" t="str">
        <f>IF($A120="","",INDEX('Logic &amp; Lists'!$I$4:$I$20,$E120))</f>
        <v/>
      </c>
      <c r="G120" s="18" t="str">
        <f>IF($A120="","",INDEX('Logic &amp; Lists'!$J$4:$J$20,$E120))</f>
        <v/>
      </c>
      <c r="H120" s="6" t="str">
        <f t="shared" si="6"/>
        <v/>
      </c>
      <c r="I120" s="18" t="str">
        <f t="shared" ca="1" si="7"/>
        <v/>
      </c>
      <c r="J120" s="5" t="str">
        <f t="shared" si="8"/>
        <v/>
      </c>
      <c r="K120" s="25"/>
      <c r="L120" s="5" t="str">
        <f t="shared" si="9"/>
        <v/>
      </c>
      <c r="M120" s="7"/>
      <c r="N120" s="7"/>
      <c r="O120" s="7"/>
      <c r="P120" s="20" t="str">
        <f>IF($A120="","",INDEX(Project_Tracker!$I$2:$I$101,INT((ROW()-6)/17)+1))</f>
        <v/>
      </c>
      <c r="Q120" s="20" t="str">
        <f>IF($A120="","",INDEX(Project_Tracker!$K$2:$K$101,INT((ROW()-6)/17)+1))</f>
        <v/>
      </c>
    </row>
    <row r="121" spans="1:17" x14ac:dyDescent="0.2">
      <c r="A121" s="20" t="str">
        <f>IF(INDEX(Project_Tracker!$AL$2:$AL$101,INT((ROW()-6)/17)+1)="","",INDEX(Project_Tracker!$AL$2:$AL$101,INT((ROW()-6)/17)+1))</f>
        <v/>
      </c>
      <c r="B121" s="21" t="str">
        <f>IF($A121="","",INDEX(Project_Tracker!$AM$2:$AM$101,INT((ROW()-6)/17)+1))</f>
        <v/>
      </c>
      <c r="C121" s="20" t="str">
        <f>IF($A121="","",INDEX(Project_Tracker!$C$2:$C$101,INT((ROW()-6)/17)+1))</f>
        <v/>
      </c>
      <c r="D121" s="6" t="str">
        <f>IF($A121="","",INDEX(Project_Tracker!$T$2:$T$101,INT((ROW()-6)/17)+1))</f>
        <v/>
      </c>
      <c r="E121" s="18">
        <f t="shared" si="5"/>
        <v>14</v>
      </c>
      <c r="F121" s="23" t="str">
        <f>IF($A121="","",INDEX('Logic &amp; Lists'!$I$4:$I$20,$E121))</f>
        <v/>
      </c>
      <c r="G121" s="18" t="str">
        <f>IF($A121="","",INDEX('Logic &amp; Lists'!$J$4:$J$20,$E121))</f>
        <v/>
      </c>
      <c r="H121" s="6" t="str">
        <f t="shared" si="6"/>
        <v/>
      </c>
      <c r="I121" s="18" t="str">
        <f t="shared" ca="1" si="7"/>
        <v/>
      </c>
      <c r="J121" s="5" t="str">
        <f t="shared" si="8"/>
        <v/>
      </c>
      <c r="K121" s="25"/>
      <c r="L121" s="5" t="str">
        <f t="shared" si="9"/>
        <v/>
      </c>
      <c r="M121" s="7"/>
      <c r="N121" s="7"/>
      <c r="O121" s="7"/>
      <c r="P121" s="20" t="str">
        <f>IF($A121="","",INDEX(Project_Tracker!$I$2:$I$101,INT((ROW()-6)/17)+1))</f>
        <v/>
      </c>
      <c r="Q121" s="20" t="str">
        <f>IF($A121="","",INDEX(Project_Tracker!$K$2:$K$101,INT((ROW()-6)/17)+1))</f>
        <v/>
      </c>
    </row>
    <row r="122" spans="1:17" x14ac:dyDescent="0.2">
      <c r="A122" s="20" t="str">
        <f>IF(INDEX(Project_Tracker!$AL$2:$AL$101,INT((ROW()-6)/17)+1)="","",INDEX(Project_Tracker!$AL$2:$AL$101,INT((ROW()-6)/17)+1))</f>
        <v/>
      </c>
      <c r="B122" s="21" t="str">
        <f>IF($A122="","",INDEX(Project_Tracker!$AM$2:$AM$101,INT((ROW()-6)/17)+1))</f>
        <v/>
      </c>
      <c r="C122" s="20" t="str">
        <f>IF($A122="","",INDEX(Project_Tracker!$C$2:$C$101,INT((ROW()-6)/17)+1))</f>
        <v/>
      </c>
      <c r="D122" s="6" t="str">
        <f>IF($A122="","",INDEX(Project_Tracker!$T$2:$T$101,INT((ROW()-6)/17)+1))</f>
        <v/>
      </c>
      <c r="E122" s="18">
        <f t="shared" si="5"/>
        <v>15</v>
      </c>
      <c r="F122" s="23" t="str">
        <f>IF($A122="","",INDEX('Logic &amp; Lists'!$I$4:$I$20,$E122))</f>
        <v/>
      </c>
      <c r="G122" s="18" t="str">
        <f>IF($A122="","",INDEX('Logic &amp; Lists'!$J$4:$J$20,$E122))</f>
        <v/>
      </c>
      <c r="H122" s="6" t="str">
        <f t="shared" si="6"/>
        <v/>
      </c>
      <c r="I122" s="18" t="str">
        <f t="shared" ca="1" si="7"/>
        <v/>
      </c>
      <c r="J122" s="5" t="str">
        <f t="shared" si="8"/>
        <v/>
      </c>
      <c r="K122" s="25"/>
      <c r="L122" s="5" t="str">
        <f t="shared" si="9"/>
        <v/>
      </c>
      <c r="M122" s="7"/>
      <c r="N122" s="7"/>
      <c r="O122" s="7"/>
      <c r="P122" s="20" t="str">
        <f>IF($A122="","",INDEX(Project_Tracker!$I$2:$I$101,INT((ROW()-6)/17)+1))</f>
        <v/>
      </c>
      <c r="Q122" s="20" t="str">
        <f>IF($A122="","",INDEX(Project_Tracker!$K$2:$K$101,INT((ROW()-6)/17)+1))</f>
        <v/>
      </c>
    </row>
    <row r="123" spans="1:17" x14ac:dyDescent="0.2">
      <c r="A123" s="20" t="str">
        <f>IF(INDEX(Project_Tracker!$AL$2:$AL$101,INT((ROW()-6)/17)+1)="","",INDEX(Project_Tracker!$AL$2:$AL$101,INT((ROW()-6)/17)+1))</f>
        <v/>
      </c>
      <c r="B123" s="21" t="str">
        <f>IF($A123="","",INDEX(Project_Tracker!$AM$2:$AM$101,INT((ROW()-6)/17)+1))</f>
        <v/>
      </c>
      <c r="C123" s="20" t="str">
        <f>IF($A123="","",INDEX(Project_Tracker!$C$2:$C$101,INT((ROW()-6)/17)+1))</f>
        <v/>
      </c>
      <c r="D123" s="6" t="str">
        <f>IF($A123="","",INDEX(Project_Tracker!$T$2:$T$101,INT((ROW()-6)/17)+1))</f>
        <v/>
      </c>
      <c r="E123" s="18">
        <f t="shared" si="5"/>
        <v>16</v>
      </c>
      <c r="F123" s="23" t="str">
        <f>IF($A123="","",INDEX('Logic &amp; Lists'!$I$4:$I$20,$E123))</f>
        <v/>
      </c>
      <c r="G123" s="18" t="str">
        <f>IF($A123="","",INDEX('Logic &amp; Lists'!$J$4:$J$20,$E123))</f>
        <v/>
      </c>
      <c r="H123" s="6" t="str">
        <f t="shared" si="6"/>
        <v/>
      </c>
      <c r="I123" s="18" t="str">
        <f t="shared" ca="1" si="7"/>
        <v/>
      </c>
      <c r="J123" s="5" t="str">
        <f t="shared" si="8"/>
        <v/>
      </c>
      <c r="K123" s="25"/>
      <c r="L123" s="5" t="str">
        <f t="shared" si="9"/>
        <v/>
      </c>
      <c r="M123" s="7"/>
      <c r="N123" s="7"/>
      <c r="O123" s="7"/>
      <c r="P123" s="20" t="str">
        <f>IF($A123="","",INDEX(Project_Tracker!$I$2:$I$101,INT((ROW()-6)/17)+1))</f>
        <v/>
      </c>
      <c r="Q123" s="20" t="str">
        <f>IF($A123="","",INDEX(Project_Tracker!$K$2:$K$101,INT((ROW()-6)/17)+1))</f>
        <v/>
      </c>
    </row>
    <row r="124" spans="1:17" x14ac:dyDescent="0.2">
      <c r="A124" s="20" t="str">
        <f>IF(INDEX(Project_Tracker!$AL$2:$AL$101,INT((ROW()-6)/17)+1)="","",INDEX(Project_Tracker!$AL$2:$AL$101,INT((ROW()-6)/17)+1))</f>
        <v/>
      </c>
      <c r="B124" s="21" t="str">
        <f>IF($A124="","",INDEX(Project_Tracker!$AM$2:$AM$101,INT((ROW()-6)/17)+1))</f>
        <v/>
      </c>
      <c r="C124" s="20" t="str">
        <f>IF($A124="","",INDEX(Project_Tracker!$C$2:$C$101,INT((ROW()-6)/17)+1))</f>
        <v/>
      </c>
      <c r="D124" s="6" t="str">
        <f>IF($A124="","",INDEX(Project_Tracker!$T$2:$T$101,INT((ROW()-6)/17)+1))</f>
        <v/>
      </c>
      <c r="E124" s="18">
        <f t="shared" si="5"/>
        <v>17</v>
      </c>
      <c r="F124" s="23" t="str">
        <f>IF($A124="","",INDEX('Logic &amp; Lists'!$I$4:$I$20,$E124))</f>
        <v/>
      </c>
      <c r="G124" s="18" t="str">
        <f>IF($A124="","",INDEX('Logic &amp; Lists'!$J$4:$J$20,$E124))</f>
        <v/>
      </c>
      <c r="H124" s="6" t="str">
        <f t="shared" si="6"/>
        <v/>
      </c>
      <c r="I124" s="18" t="str">
        <f t="shared" ca="1" si="7"/>
        <v/>
      </c>
      <c r="J124" s="5" t="str">
        <f t="shared" si="8"/>
        <v/>
      </c>
      <c r="K124" s="25"/>
      <c r="L124" s="5" t="str">
        <f t="shared" si="9"/>
        <v/>
      </c>
      <c r="M124" s="7"/>
      <c r="N124" s="7"/>
      <c r="O124" s="7"/>
      <c r="P124" s="20" t="str">
        <f>IF($A124="","",INDEX(Project_Tracker!$I$2:$I$101,INT((ROW()-6)/17)+1))</f>
        <v/>
      </c>
      <c r="Q124" s="20" t="str">
        <f>IF($A124="","",INDEX(Project_Tracker!$K$2:$K$101,INT((ROW()-6)/17)+1))</f>
        <v/>
      </c>
    </row>
    <row r="125" spans="1:17" x14ac:dyDescent="0.2">
      <c r="A125" s="20" t="str">
        <f>IF(INDEX(Project_Tracker!$AL$2:$AL$101,INT((ROW()-6)/17)+1)="","",INDEX(Project_Tracker!$AL$2:$AL$101,INT((ROW()-6)/17)+1))</f>
        <v/>
      </c>
      <c r="B125" s="21" t="str">
        <f>IF($A125="","",INDEX(Project_Tracker!$AM$2:$AM$101,INT((ROW()-6)/17)+1))</f>
        <v/>
      </c>
      <c r="C125" s="20" t="str">
        <f>IF($A125="","",INDEX(Project_Tracker!$C$2:$C$101,INT((ROW()-6)/17)+1))</f>
        <v/>
      </c>
      <c r="D125" s="6" t="str">
        <f>IF($A125="","",INDEX(Project_Tracker!$T$2:$T$101,INT((ROW()-6)/17)+1))</f>
        <v/>
      </c>
      <c r="E125" s="18">
        <f t="shared" si="5"/>
        <v>1</v>
      </c>
      <c r="F125" s="23" t="str">
        <f>IF($A125="","",INDEX('Logic &amp; Lists'!$I$4:$I$20,$E125))</f>
        <v/>
      </c>
      <c r="G125" s="18" t="str">
        <f>IF($A125="","",INDEX('Logic &amp; Lists'!$J$4:$J$20,$E125))</f>
        <v/>
      </c>
      <c r="H125" s="6" t="str">
        <f t="shared" si="6"/>
        <v/>
      </c>
      <c r="I125" s="18" t="str">
        <f t="shared" ca="1" si="7"/>
        <v/>
      </c>
      <c r="J125" s="5" t="str">
        <f t="shared" si="8"/>
        <v/>
      </c>
      <c r="K125" s="25"/>
      <c r="L125" s="5" t="str">
        <f t="shared" si="9"/>
        <v/>
      </c>
      <c r="M125" s="7"/>
      <c r="N125" s="7"/>
      <c r="O125" s="7"/>
      <c r="P125" s="20" t="str">
        <f>IF($A125="","",INDEX(Project_Tracker!$I$2:$I$101,INT((ROW()-6)/17)+1))</f>
        <v/>
      </c>
      <c r="Q125" s="20" t="str">
        <f>IF($A125="","",INDEX(Project_Tracker!$K$2:$K$101,INT((ROW()-6)/17)+1))</f>
        <v/>
      </c>
    </row>
    <row r="126" spans="1:17" x14ac:dyDescent="0.2">
      <c r="A126" s="20" t="str">
        <f>IF(INDEX(Project_Tracker!$AL$2:$AL$101,INT((ROW()-6)/17)+1)="","",INDEX(Project_Tracker!$AL$2:$AL$101,INT((ROW()-6)/17)+1))</f>
        <v/>
      </c>
      <c r="B126" s="21" t="str">
        <f>IF($A126="","",INDEX(Project_Tracker!$AM$2:$AM$101,INT((ROW()-6)/17)+1))</f>
        <v/>
      </c>
      <c r="C126" s="20" t="str">
        <f>IF($A126="","",INDEX(Project_Tracker!$C$2:$C$101,INT((ROW()-6)/17)+1))</f>
        <v/>
      </c>
      <c r="D126" s="6" t="str">
        <f>IF($A126="","",INDEX(Project_Tracker!$T$2:$T$101,INT((ROW()-6)/17)+1))</f>
        <v/>
      </c>
      <c r="E126" s="18">
        <f t="shared" si="5"/>
        <v>2</v>
      </c>
      <c r="F126" s="23" t="str">
        <f>IF($A126="","",INDEX('Logic &amp; Lists'!$I$4:$I$20,$E126))</f>
        <v/>
      </c>
      <c r="G126" s="18" t="str">
        <f>IF($A126="","",INDEX('Logic &amp; Lists'!$J$4:$J$20,$E126))</f>
        <v/>
      </c>
      <c r="H126" s="6" t="str">
        <f t="shared" si="6"/>
        <v/>
      </c>
      <c r="I126" s="18" t="str">
        <f t="shared" ca="1" si="7"/>
        <v/>
      </c>
      <c r="J126" s="5" t="str">
        <f t="shared" si="8"/>
        <v/>
      </c>
      <c r="K126" s="25"/>
      <c r="L126" s="5" t="str">
        <f t="shared" si="9"/>
        <v/>
      </c>
      <c r="M126" s="7"/>
      <c r="N126" s="7"/>
      <c r="O126" s="7"/>
      <c r="P126" s="20" t="str">
        <f>IF($A126="","",INDEX(Project_Tracker!$I$2:$I$101,INT((ROW()-6)/17)+1))</f>
        <v/>
      </c>
      <c r="Q126" s="20" t="str">
        <f>IF($A126="","",INDEX(Project_Tracker!$K$2:$K$101,INT((ROW()-6)/17)+1))</f>
        <v/>
      </c>
    </row>
    <row r="127" spans="1:17" x14ac:dyDescent="0.2">
      <c r="A127" s="20" t="str">
        <f>IF(INDEX(Project_Tracker!$AL$2:$AL$101,INT((ROW()-6)/17)+1)="","",INDEX(Project_Tracker!$AL$2:$AL$101,INT((ROW()-6)/17)+1))</f>
        <v/>
      </c>
      <c r="B127" s="21" t="str">
        <f>IF($A127="","",INDEX(Project_Tracker!$AM$2:$AM$101,INT((ROW()-6)/17)+1))</f>
        <v/>
      </c>
      <c r="C127" s="20" t="str">
        <f>IF($A127="","",INDEX(Project_Tracker!$C$2:$C$101,INT((ROW()-6)/17)+1))</f>
        <v/>
      </c>
      <c r="D127" s="6" t="str">
        <f>IF($A127="","",INDEX(Project_Tracker!$T$2:$T$101,INT((ROW()-6)/17)+1))</f>
        <v/>
      </c>
      <c r="E127" s="18">
        <f t="shared" si="5"/>
        <v>3</v>
      </c>
      <c r="F127" s="23" t="str">
        <f>IF($A127="","",INDEX('Logic &amp; Lists'!$I$4:$I$20,$E127))</f>
        <v/>
      </c>
      <c r="G127" s="18" t="str">
        <f>IF($A127="","",INDEX('Logic &amp; Lists'!$J$4:$J$20,$E127))</f>
        <v/>
      </c>
      <c r="H127" s="6" t="str">
        <f t="shared" si="6"/>
        <v/>
      </c>
      <c r="I127" s="18" t="str">
        <f t="shared" ca="1" si="7"/>
        <v/>
      </c>
      <c r="J127" s="5" t="str">
        <f t="shared" si="8"/>
        <v/>
      </c>
      <c r="K127" s="25"/>
      <c r="L127" s="5" t="str">
        <f t="shared" si="9"/>
        <v/>
      </c>
      <c r="M127" s="7"/>
      <c r="N127" s="7"/>
      <c r="O127" s="7"/>
      <c r="P127" s="20" t="str">
        <f>IF($A127="","",INDEX(Project_Tracker!$I$2:$I$101,INT((ROW()-6)/17)+1))</f>
        <v/>
      </c>
      <c r="Q127" s="20" t="str">
        <f>IF($A127="","",INDEX(Project_Tracker!$K$2:$K$101,INT((ROW()-6)/17)+1))</f>
        <v/>
      </c>
    </row>
    <row r="128" spans="1:17" x14ac:dyDescent="0.2">
      <c r="A128" s="20" t="str">
        <f>IF(INDEX(Project_Tracker!$AL$2:$AL$101,INT((ROW()-6)/17)+1)="","",INDEX(Project_Tracker!$AL$2:$AL$101,INT((ROW()-6)/17)+1))</f>
        <v/>
      </c>
      <c r="B128" s="21" t="str">
        <f>IF($A128="","",INDEX(Project_Tracker!$AM$2:$AM$101,INT((ROW()-6)/17)+1))</f>
        <v/>
      </c>
      <c r="C128" s="20" t="str">
        <f>IF($A128="","",INDEX(Project_Tracker!$C$2:$C$101,INT((ROW()-6)/17)+1))</f>
        <v/>
      </c>
      <c r="D128" s="6" t="str">
        <f>IF($A128="","",INDEX(Project_Tracker!$T$2:$T$101,INT((ROW()-6)/17)+1))</f>
        <v/>
      </c>
      <c r="E128" s="18">
        <f t="shared" si="5"/>
        <v>4</v>
      </c>
      <c r="F128" s="23" t="str">
        <f>IF($A128="","",INDEX('Logic &amp; Lists'!$I$4:$I$20,$E128))</f>
        <v/>
      </c>
      <c r="G128" s="18" t="str">
        <f>IF($A128="","",INDEX('Logic &amp; Lists'!$J$4:$J$20,$E128))</f>
        <v/>
      </c>
      <c r="H128" s="6" t="str">
        <f t="shared" si="6"/>
        <v/>
      </c>
      <c r="I128" s="18" t="str">
        <f t="shared" ca="1" si="7"/>
        <v/>
      </c>
      <c r="J128" s="5" t="str">
        <f t="shared" si="8"/>
        <v/>
      </c>
      <c r="K128" s="25"/>
      <c r="L128" s="5" t="str">
        <f t="shared" si="9"/>
        <v/>
      </c>
      <c r="M128" s="7"/>
      <c r="N128" s="7"/>
      <c r="O128" s="7"/>
      <c r="P128" s="20" t="str">
        <f>IF($A128="","",INDEX(Project_Tracker!$I$2:$I$101,INT((ROW()-6)/17)+1))</f>
        <v/>
      </c>
      <c r="Q128" s="20" t="str">
        <f>IF($A128="","",INDEX(Project_Tracker!$K$2:$K$101,INT((ROW()-6)/17)+1))</f>
        <v/>
      </c>
    </row>
    <row r="129" spans="1:17" x14ac:dyDescent="0.2">
      <c r="A129" s="20" t="str">
        <f>IF(INDEX(Project_Tracker!$AL$2:$AL$101,INT((ROW()-6)/17)+1)="","",INDEX(Project_Tracker!$AL$2:$AL$101,INT((ROW()-6)/17)+1))</f>
        <v/>
      </c>
      <c r="B129" s="21" t="str">
        <f>IF($A129="","",INDEX(Project_Tracker!$AM$2:$AM$101,INT((ROW()-6)/17)+1))</f>
        <v/>
      </c>
      <c r="C129" s="20" t="str">
        <f>IF($A129="","",INDEX(Project_Tracker!$C$2:$C$101,INT((ROW()-6)/17)+1))</f>
        <v/>
      </c>
      <c r="D129" s="6" t="str">
        <f>IF($A129="","",INDEX(Project_Tracker!$T$2:$T$101,INT((ROW()-6)/17)+1))</f>
        <v/>
      </c>
      <c r="E129" s="18">
        <f t="shared" si="5"/>
        <v>5</v>
      </c>
      <c r="F129" s="23" t="str">
        <f>IF($A129="","",INDEX('Logic &amp; Lists'!$I$4:$I$20,$E129))</f>
        <v/>
      </c>
      <c r="G129" s="18" t="str">
        <f>IF($A129="","",INDEX('Logic &amp; Lists'!$J$4:$J$20,$E129))</f>
        <v/>
      </c>
      <c r="H129" s="6" t="str">
        <f t="shared" si="6"/>
        <v/>
      </c>
      <c r="I129" s="18" t="str">
        <f t="shared" ca="1" si="7"/>
        <v/>
      </c>
      <c r="J129" s="5" t="str">
        <f t="shared" si="8"/>
        <v/>
      </c>
      <c r="K129" s="25"/>
      <c r="L129" s="5" t="str">
        <f t="shared" si="9"/>
        <v/>
      </c>
      <c r="M129" s="7"/>
      <c r="N129" s="7"/>
      <c r="O129" s="7"/>
      <c r="P129" s="20" t="str">
        <f>IF($A129="","",INDEX(Project_Tracker!$I$2:$I$101,INT((ROW()-6)/17)+1))</f>
        <v/>
      </c>
      <c r="Q129" s="20" t="str">
        <f>IF($A129="","",INDEX(Project_Tracker!$K$2:$K$101,INT((ROW()-6)/17)+1))</f>
        <v/>
      </c>
    </row>
    <row r="130" spans="1:17" x14ac:dyDescent="0.2">
      <c r="A130" s="20" t="str">
        <f>IF(INDEX(Project_Tracker!$AL$2:$AL$101,INT((ROW()-6)/17)+1)="","",INDEX(Project_Tracker!$AL$2:$AL$101,INT((ROW()-6)/17)+1))</f>
        <v/>
      </c>
      <c r="B130" s="21" t="str">
        <f>IF($A130="","",INDEX(Project_Tracker!$AM$2:$AM$101,INT((ROW()-6)/17)+1))</f>
        <v/>
      </c>
      <c r="C130" s="20" t="str">
        <f>IF($A130="","",INDEX(Project_Tracker!$C$2:$C$101,INT((ROW()-6)/17)+1))</f>
        <v/>
      </c>
      <c r="D130" s="6" t="str">
        <f>IF($A130="","",INDEX(Project_Tracker!$T$2:$T$101,INT((ROW()-6)/17)+1))</f>
        <v/>
      </c>
      <c r="E130" s="18">
        <f t="shared" si="5"/>
        <v>6</v>
      </c>
      <c r="F130" s="23" t="str">
        <f>IF($A130="","",INDEX('Logic &amp; Lists'!$I$4:$I$20,$E130))</f>
        <v/>
      </c>
      <c r="G130" s="18" t="str">
        <f>IF($A130="","",INDEX('Logic &amp; Lists'!$J$4:$J$20,$E130))</f>
        <v/>
      </c>
      <c r="H130" s="6" t="str">
        <f t="shared" si="6"/>
        <v/>
      </c>
      <c r="I130" s="18" t="str">
        <f t="shared" ca="1" si="7"/>
        <v/>
      </c>
      <c r="J130" s="5" t="str">
        <f t="shared" si="8"/>
        <v/>
      </c>
      <c r="K130" s="25"/>
      <c r="L130" s="5" t="str">
        <f t="shared" si="9"/>
        <v/>
      </c>
      <c r="M130" s="7"/>
      <c r="N130" s="7"/>
      <c r="O130" s="7"/>
      <c r="P130" s="20" t="str">
        <f>IF($A130="","",INDEX(Project_Tracker!$I$2:$I$101,INT((ROW()-6)/17)+1))</f>
        <v/>
      </c>
      <c r="Q130" s="20" t="str">
        <f>IF($A130="","",INDEX(Project_Tracker!$K$2:$K$101,INT((ROW()-6)/17)+1))</f>
        <v/>
      </c>
    </row>
    <row r="131" spans="1:17" x14ac:dyDescent="0.2">
      <c r="A131" s="20" t="str">
        <f>IF(INDEX(Project_Tracker!$AL$2:$AL$101,INT((ROW()-6)/17)+1)="","",INDEX(Project_Tracker!$AL$2:$AL$101,INT((ROW()-6)/17)+1))</f>
        <v/>
      </c>
      <c r="B131" s="21" t="str">
        <f>IF($A131="","",INDEX(Project_Tracker!$AM$2:$AM$101,INT((ROW()-6)/17)+1))</f>
        <v/>
      </c>
      <c r="C131" s="20" t="str">
        <f>IF($A131="","",INDEX(Project_Tracker!$C$2:$C$101,INT((ROW()-6)/17)+1))</f>
        <v/>
      </c>
      <c r="D131" s="6" t="str">
        <f>IF($A131="","",INDEX(Project_Tracker!$T$2:$T$101,INT((ROW()-6)/17)+1))</f>
        <v/>
      </c>
      <c r="E131" s="18">
        <f t="shared" si="5"/>
        <v>7</v>
      </c>
      <c r="F131" s="23" t="str">
        <f>IF($A131="","",INDEX('Logic &amp; Lists'!$I$4:$I$20,$E131))</f>
        <v/>
      </c>
      <c r="G131" s="18" t="str">
        <f>IF($A131="","",INDEX('Logic &amp; Lists'!$J$4:$J$20,$E131))</f>
        <v/>
      </c>
      <c r="H131" s="6" t="str">
        <f t="shared" si="6"/>
        <v/>
      </c>
      <c r="I131" s="18" t="str">
        <f t="shared" ca="1" si="7"/>
        <v/>
      </c>
      <c r="J131" s="5" t="str">
        <f t="shared" si="8"/>
        <v/>
      </c>
      <c r="K131" s="25"/>
      <c r="L131" s="5" t="str">
        <f t="shared" si="9"/>
        <v/>
      </c>
      <c r="M131" s="7"/>
      <c r="N131" s="7"/>
      <c r="O131" s="7"/>
      <c r="P131" s="20" t="str">
        <f>IF($A131="","",INDEX(Project_Tracker!$I$2:$I$101,INT((ROW()-6)/17)+1))</f>
        <v/>
      </c>
      <c r="Q131" s="20" t="str">
        <f>IF($A131="","",INDEX(Project_Tracker!$K$2:$K$101,INT((ROW()-6)/17)+1))</f>
        <v/>
      </c>
    </row>
    <row r="132" spans="1:17" x14ac:dyDescent="0.2">
      <c r="A132" s="20" t="str">
        <f>IF(INDEX(Project_Tracker!$AL$2:$AL$101,INT((ROW()-6)/17)+1)="","",INDEX(Project_Tracker!$AL$2:$AL$101,INT((ROW()-6)/17)+1))</f>
        <v/>
      </c>
      <c r="B132" s="21" t="str">
        <f>IF($A132="","",INDEX(Project_Tracker!$AM$2:$AM$101,INT((ROW()-6)/17)+1))</f>
        <v/>
      </c>
      <c r="C132" s="20" t="str">
        <f>IF($A132="","",INDEX(Project_Tracker!$C$2:$C$101,INT((ROW()-6)/17)+1))</f>
        <v/>
      </c>
      <c r="D132" s="6" t="str">
        <f>IF($A132="","",INDEX(Project_Tracker!$T$2:$T$101,INT((ROW()-6)/17)+1))</f>
        <v/>
      </c>
      <c r="E132" s="18">
        <f t="shared" si="5"/>
        <v>8</v>
      </c>
      <c r="F132" s="23" t="str">
        <f>IF($A132="","",INDEX('Logic &amp; Lists'!$I$4:$I$20,$E132))</f>
        <v/>
      </c>
      <c r="G132" s="18" t="str">
        <f>IF($A132="","",INDEX('Logic &amp; Lists'!$J$4:$J$20,$E132))</f>
        <v/>
      </c>
      <c r="H132" s="6" t="str">
        <f t="shared" si="6"/>
        <v/>
      </c>
      <c r="I132" s="18" t="str">
        <f t="shared" ca="1" si="7"/>
        <v/>
      </c>
      <c r="J132" s="5" t="str">
        <f t="shared" si="8"/>
        <v/>
      </c>
      <c r="K132" s="25"/>
      <c r="L132" s="5" t="str">
        <f t="shared" si="9"/>
        <v/>
      </c>
      <c r="M132" s="7"/>
      <c r="N132" s="7"/>
      <c r="O132" s="7"/>
      <c r="P132" s="20" t="str">
        <f>IF($A132="","",INDEX(Project_Tracker!$I$2:$I$101,INT((ROW()-6)/17)+1))</f>
        <v/>
      </c>
      <c r="Q132" s="20" t="str">
        <f>IF($A132="","",INDEX(Project_Tracker!$K$2:$K$101,INT((ROW()-6)/17)+1))</f>
        <v/>
      </c>
    </row>
    <row r="133" spans="1:17" x14ac:dyDescent="0.2">
      <c r="A133" s="20" t="str">
        <f>IF(INDEX(Project_Tracker!$AL$2:$AL$101,INT((ROW()-6)/17)+1)="","",INDEX(Project_Tracker!$AL$2:$AL$101,INT((ROW()-6)/17)+1))</f>
        <v/>
      </c>
      <c r="B133" s="21" t="str">
        <f>IF($A133="","",INDEX(Project_Tracker!$AM$2:$AM$101,INT((ROW()-6)/17)+1))</f>
        <v/>
      </c>
      <c r="C133" s="20" t="str">
        <f>IF($A133="","",INDEX(Project_Tracker!$C$2:$C$101,INT((ROW()-6)/17)+1))</f>
        <v/>
      </c>
      <c r="D133" s="6" t="str">
        <f>IF($A133="","",INDEX(Project_Tracker!$T$2:$T$101,INT((ROW()-6)/17)+1))</f>
        <v/>
      </c>
      <c r="E133" s="18">
        <f t="shared" si="5"/>
        <v>9</v>
      </c>
      <c r="F133" s="23" t="str">
        <f>IF($A133="","",INDEX('Logic &amp; Lists'!$I$4:$I$20,$E133))</f>
        <v/>
      </c>
      <c r="G133" s="18" t="str">
        <f>IF($A133="","",INDEX('Logic &amp; Lists'!$J$4:$J$20,$E133))</f>
        <v/>
      </c>
      <c r="H133" s="6" t="str">
        <f t="shared" si="6"/>
        <v/>
      </c>
      <c r="I133" s="18" t="str">
        <f t="shared" ca="1" si="7"/>
        <v/>
      </c>
      <c r="J133" s="5" t="str">
        <f t="shared" si="8"/>
        <v/>
      </c>
      <c r="K133" s="25"/>
      <c r="L133" s="5" t="str">
        <f t="shared" si="9"/>
        <v/>
      </c>
      <c r="M133" s="7"/>
      <c r="N133" s="7"/>
      <c r="O133" s="7"/>
      <c r="P133" s="20" t="str">
        <f>IF($A133="","",INDEX(Project_Tracker!$I$2:$I$101,INT((ROW()-6)/17)+1))</f>
        <v/>
      </c>
      <c r="Q133" s="20" t="str">
        <f>IF($A133="","",INDEX(Project_Tracker!$K$2:$K$101,INT((ROW()-6)/17)+1))</f>
        <v/>
      </c>
    </row>
    <row r="134" spans="1:17" x14ac:dyDescent="0.2">
      <c r="A134" s="20" t="str">
        <f>IF(INDEX(Project_Tracker!$AL$2:$AL$101,INT((ROW()-6)/17)+1)="","",INDEX(Project_Tracker!$AL$2:$AL$101,INT((ROW()-6)/17)+1))</f>
        <v/>
      </c>
      <c r="B134" s="21" t="str">
        <f>IF($A134="","",INDEX(Project_Tracker!$AM$2:$AM$101,INT((ROW()-6)/17)+1))</f>
        <v/>
      </c>
      <c r="C134" s="20" t="str">
        <f>IF($A134="","",INDEX(Project_Tracker!$C$2:$C$101,INT((ROW()-6)/17)+1))</f>
        <v/>
      </c>
      <c r="D134" s="6" t="str">
        <f>IF($A134="","",INDEX(Project_Tracker!$T$2:$T$101,INT((ROW()-6)/17)+1))</f>
        <v/>
      </c>
      <c r="E134" s="18">
        <f t="shared" ref="E134:E197" si="10">MOD(ROW()-6,17)+1</f>
        <v>10</v>
      </c>
      <c r="F134" s="23" t="str">
        <f>IF($A134="","",INDEX('Logic &amp; Lists'!$I$4:$I$20,$E134))</f>
        <v/>
      </c>
      <c r="G134" s="18" t="str">
        <f>IF($A134="","",INDEX('Logic &amp; Lists'!$J$4:$J$20,$E134))</f>
        <v/>
      </c>
      <c r="H134" s="6" t="str">
        <f t="shared" ref="H134:H197" si="11">IF($D134="","",$D134-$G134)</f>
        <v/>
      </c>
      <c r="I134" s="18" t="str">
        <f t="shared" ref="I134:I197" ca="1" si="12">IF($H134="","",$H134-TODAY())</f>
        <v/>
      </c>
      <c r="J134" s="5" t="str">
        <f t="shared" ref="J134:J197" si="13">IF($A134="","",IF($K134&lt;&gt;"","ORDERED",IF($I134&lt;0,"OVERDUE",IF($I134&lt;=7,"URGENT",IF($I134&lt;=14,"PREPARE","OK")))))</f>
        <v/>
      </c>
      <c r="K134" s="25"/>
      <c r="L134" s="5" t="str">
        <f t="shared" ref="L134:L197" si="14">IF($A134="","",IF($K134="",$J134,IF($K134&lt;=$H134,"Ordered On Time","Ordered Late")))</f>
        <v/>
      </c>
      <c r="M134" s="7"/>
      <c r="N134" s="7"/>
      <c r="O134" s="7"/>
      <c r="P134" s="20" t="str">
        <f>IF($A134="","",INDEX(Project_Tracker!$I$2:$I$101,INT((ROW()-6)/17)+1))</f>
        <v/>
      </c>
      <c r="Q134" s="20" t="str">
        <f>IF($A134="","",INDEX(Project_Tracker!$K$2:$K$101,INT((ROW()-6)/17)+1))</f>
        <v/>
      </c>
    </row>
    <row r="135" spans="1:17" x14ac:dyDescent="0.2">
      <c r="A135" s="20" t="str">
        <f>IF(INDEX(Project_Tracker!$AL$2:$AL$101,INT((ROW()-6)/17)+1)="","",INDEX(Project_Tracker!$AL$2:$AL$101,INT((ROW()-6)/17)+1))</f>
        <v/>
      </c>
      <c r="B135" s="21" t="str">
        <f>IF($A135="","",INDEX(Project_Tracker!$AM$2:$AM$101,INT((ROW()-6)/17)+1))</f>
        <v/>
      </c>
      <c r="C135" s="20" t="str">
        <f>IF($A135="","",INDEX(Project_Tracker!$C$2:$C$101,INT((ROW()-6)/17)+1))</f>
        <v/>
      </c>
      <c r="D135" s="6" t="str">
        <f>IF($A135="","",INDEX(Project_Tracker!$T$2:$T$101,INT((ROW()-6)/17)+1))</f>
        <v/>
      </c>
      <c r="E135" s="18">
        <f t="shared" si="10"/>
        <v>11</v>
      </c>
      <c r="F135" s="23" t="str">
        <f>IF($A135="","",INDEX('Logic &amp; Lists'!$I$4:$I$20,$E135))</f>
        <v/>
      </c>
      <c r="G135" s="18" t="str">
        <f>IF($A135="","",INDEX('Logic &amp; Lists'!$J$4:$J$20,$E135))</f>
        <v/>
      </c>
      <c r="H135" s="6" t="str">
        <f t="shared" si="11"/>
        <v/>
      </c>
      <c r="I135" s="18" t="str">
        <f t="shared" ca="1" si="12"/>
        <v/>
      </c>
      <c r="J135" s="5" t="str">
        <f t="shared" si="13"/>
        <v/>
      </c>
      <c r="K135" s="25"/>
      <c r="L135" s="5" t="str">
        <f t="shared" si="14"/>
        <v/>
      </c>
      <c r="M135" s="7"/>
      <c r="N135" s="7"/>
      <c r="O135" s="7"/>
      <c r="P135" s="20" t="str">
        <f>IF($A135="","",INDEX(Project_Tracker!$I$2:$I$101,INT((ROW()-6)/17)+1))</f>
        <v/>
      </c>
      <c r="Q135" s="20" t="str">
        <f>IF($A135="","",INDEX(Project_Tracker!$K$2:$K$101,INT((ROW()-6)/17)+1))</f>
        <v/>
      </c>
    </row>
    <row r="136" spans="1:17" x14ac:dyDescent="0.2">
      <c r="A136" s="20" t="str">
        <f>IF(INDEX(Project_Tracker!$AL$2:$AL$101,INT((ROW()-6)/17)+1)="","",INDEX(Project_Tracker!$AL$2:$AL$101,INT((ROW()-6)/17)+1))</f>
        <v/>
      </c>
      <c r="B136" s="21" t="str">
        <f>IF($A136="","",INDEX(Project_Tracker!$AM$2:$AM$101,INT((ROW()-6)/17)+1))</f>
        <v/>
      </c>
      <c r="C136" s="20" t="str">
        <f>IF($A136="","",INDEX(Project_Tracker!$C$2:$C$101,INT((ROW()-6)/17)+1))</f>
        <v/>
      </c>
      <c r="D136" s="6" t="str">
        <f>IF($A136="","",INDEX(Project_Tracker!$T$2:$T$101,INT((ROW()-6)/17)+1))</f>
        <v/>
      </c>
      <c r="E136" s="18">
        <f t="shared" si="10"/>
        <v>12</v>
      </c>
      <c r="F136" s="23" t="str">
        <f>IF($A136="","",INDEX('Logic &amp; Lists'!$I$4:$I$20,$E136))</f>
        <v/>
      </c>
      <c r="G136" s="18" t="str">
        <f>IF($A136="","",INDEX('Logic &amp; Lists'!$J$4:$J$20,$E136))</f>
        <v/>
      </c>
      <c r="H136" s="6" t="str">
        <f t="shared" si="11"/>
        <v/>
      </c>
      <c r="I136" s="18" t="str">
        <f t="shared" ca="1" si="12"/>
        <v/>
      </c>
      <c r="J136" s="5" t="str">
        <f t="shared" si="13"/>
        <v/>
      </c>
      <c r="K136" s="25"/>
      <c r="L136" s="5" t="str">
        <f t="shared" si="14"/>
        <v/>
      </c>
      <c r="M136" s="7"/>
      <c r="N136" s="7"/>
      <c r="O136" s="7"/>
      <c r="P136" s="20" t="str">
        <f>IF($A136="","",INDEX(Project_Tracker!$I$2:$I$101,INT((ROW()-6)/17)+1))</f>
        <v/>
      </c>
      <c r="Q136" s="20" t="str">
        <f>IF($A136="","",INDEX(Project_Tracker!$K$2:$K$101,INT((ROW()-6)/17)+1))</f>
        <v/>
      </c>
    </row>
    <row r="137" spans="1:17" x14ac:dyDescent="0.2">
      <c r="A137" s="20" t="str">
        <f>IF(INDEX(Project_Tracker!$AL$2:$AL$101,INT((ROW()-6)/17)+1)="","",INDEX(Project_Tracker!$AL$2:$AL$101,INT((ROW()-6)/17)+1))</f>
        <v/>
      </c>
      <c r="B137" s="21" t="str">
        <f>IF($A137="","",INDEX(Project_Tracker!$AM$2:$AM$101,INT((ROW()-6)/17)+1))</f>
        <v/>
      </c>
      <c r="C137" s="20" t="str">
        <f>IF($A137="","",INDEX(Project_Tracker!$C$2:$C$101,INT((ROW()-6)/17)+1))</f>
        <v/>
      </c>
      <c r="D137" s="6" t="str">
        <f>IF($A137="","",INDEX(Project_Tracker!$T$2:$T$101,INT((ROW()-6)/17)+1))</f>
        <v/>
      </c>
      <c r="E137" s="18">
        <f t="shared" si="10"/>
        <v>13</v>
      </c>
      <c r="F137" s="23" t="str">
        <f>IF($A137="","",INDEX('Logic &amp; Lists'!$I$4:$I$20,$E137))</f>
        <v/>
      </c>
      <c r="G137" s="18" t="str">
        <f>IF($A137="","",INDEX('Logic &amp; Lists'!$J$4:$J$20,$E137))</f>
        <v/>
      </c>
      <c r="H137" s="6" t="str">
        <f t="shared" si="11"/>
        <v/>
      </c>
      <c r="I137" s="18" t="str">
        <f t="shared" ca="1" si="12"/>
        <v/>
      </c>
      <c r="J137" s="5" t="str">
        <f t="shared" si="13"/>
        <v/>
      </c>
      <c r="K137" s="25"/>
      <c r="L137" s="5" t="str">
        <f t="shared" si="14"/>
        <v/>
      </c>
      <c r="M137" s="7"/>
      <c r="N137" s="7"/>
      <c r="O137" s="7"/>
      <c r="P137" s="20" t="str">
        <f>IF($A137="","",INDEX(Project_Tracker!$I$2:$I$101,INT((ROW()-6)/17)+1))</f>
        <v/>
      </c>
      <c r="Q137" s="20" t="str">
        <f>IF($A137="","",INDEX(Project_Tracker!$K$2:$K$101,INT((ROW()-6)/17)+1))</f>
        <v/>
      </c>
    </row>
    <row r="138" spans="1:17" x14ac:dyDescent="0.2">
      <c r="A138" s="20" t="str">
        <f>IF(INDEX(Project_Tracker!$AL$2:$AL$101,INT((ROW()-6)/17)+1)="","",INDEX(Project_Tracker!$AL$2:$AL$101,INT((ROW()-6)/17)+1))</f>
        <v/>
      </c>
      <c r="B138" s="21" t="str">
        <f>IF($A138="","",INDEX(Project_Tracker!$AM$2:$AM$101,INT((ROW()-6)/17)+1))</f>
        <v/>
      </c>
      <c r="C138" s="20" t="str">
        <f>IF($A138="","",INDEX(Project_Tracker!$C$2:$C$101,INT((ROW()-6)/17)+1))</f>
        <v/>
      </c>
      <c r="D138" s="6" t="str">
        <f>IF($A138="","",INDEX(Project_Tracker!$T$2:$T$101,INT((ROW()-6)/17)+1))</f>
        <v/>
      </c>
      <c r="E138" s="18">
        <f t="shared" si="10"/>
        <v>14</v>
      </c>
      <c r="F138" s="23" t="str">
        <f>IF($A138="","",INDEX('Logic &amp; Lists'!$I$4:$I$20,$E138))</f>
        <v/>
      </c>
      <c r="G138" s="18" t="str">
        <f>IF($A138="","",INDEX('Logic &amp; Lists'!$J$4:$J$20,$E138))</f>
        <v/>
      </c>
      <c r="H138" s="6" t="str">
        <f t="shared" si="11"/>
        <v/>
      </c>
      <c r="I138" s="18" t="str">
        <f t="shared" ca="1" si="12"/>
        <v/>
      </c>
      <c r="J138" s="5" t="str">
        <f t="shared" si="13"/>
        <v/>
      </c>
      <c r="K138" s="25"/>
      <c r="L138" s="5" t="str">
        <f t="shared" si="14"/>
        <v/>
      </c>
      <c r="M138" s="7"/>
      <c r="N138" s="7"/>
      <c r="O138" s="7"/>
      <c r="P138" s="20" t="str">
        <f>IF($A138="","",INDEX(Project_Tracker!$I$2:$I$101,INT((ROW()-6)/17)+1))</f>
        <v/>
      </c>
      <c r="Q138" s="20" t="str">
        <f>IF($A138="","",INDEX(Project_Tracker!$K$2:$K$101,INT((ROW()-6)/17)+1))</f>
        <v/>
      </c>
    </row>
    <row r="139" spans="1:17" x14ac:dyDescent="0.2">
      <c r="A139" s="20" t="str">
        <f>IF(INDEX(Project_Tracker!$AL$2:$AL$101,INT((ROW()-6)/17)+1)="","",INDEX(Project_Tracker!$AL$2:$AL$101,INT((ROW()-6)/17)+1))</f>
        <v/>
      </c>
      <c r="B139" s="21" t="str">
        <f>IF($A139="","",INDEX(Project_Tracker!$AM$2:$AM$101,INT((ROW()-6)/17)+1))</f>
        <v/>
      </c>
      <c r="C139" s="20" t="str">
        <f>IF($A139="","",INDEX(Project_Tracker!$C$2:$C$101,INT((ROW()-6)/17)+1))</f>
        <v/>
      </c>
      <c r="D139" s="6" t="str">
        <f>IF($A139="","",INDEX(Project_Tracker!$T$2:$T$101,INT((ROW()-6)/17)+1))</f>
        <v/>
      </c>
      <c r="E139" s="18">
        <f t="shared" si="10"/>
        <v>15</v>
      </c>
      <c r="F139" s="23" t="str">
        <f>IF($A139="","",INDEX('Logic &amp; Lists'!$I$4:$I$20,$E139))</f>
        <v/>
      </c>
      <c r="G139" s="18" t="str">
        <f>IF($A139="","",INDEX('Logic &amp; Lists'!$J$4:$J$20,$E139))</f>
        <v/>
      </c>
      <c r="H139" s="6" t="str">
        <f t="shared" si="11"/>
        <v/>
      </c>
      <c r="I139" s="18" t="str">
        <f t="shared" ca="1" si="12"/>
        <v/>
      </c>
      <c r="J139" s="5" t="str">
        <f t="shared" si="13"/>
        <v/>
      </c>
      <c r="K139" s="25"/>
      <c r="L139" s="5" t="str">
        <f t="shared" si="14"/>
        <v/>
      </c>
      <c r="M139" s="7"/>
      <c r="N139" s="7"/>
      <c r="O139" s="7"/>
      <c r="P139" s="20" t="str">
        <f>IF($A139="","",INDEX(Project_Tracker!$I$2:$I$101,INT((ROW()-6)/17)+1))</f>
        <v/>
      </c>
      <c r="Q139" s="20" t="str">
        <f>IF($A139="","",INDEX(Project_Tracker!$K$2:$K$101,INT((ROW()-6)/17)+1))</f>
        <v/>
      </c>
    </row>
    <row r="140" spans="1:17" x14ac:dyDescent="0.2">
      <c r="A140" s="20" t="str">
        <f>IF(INDEX(Project_Tracker!$AL$2:$AL$101,INT((ROW()-6)/17)+1)="","",INDEX(Project_Tracker!$AL$2:$AL$101,INT((ROW()-6)/17)+1))</f>
        <v/>
      </c>
      <c r="B140" s="21" t="str">
        <f>IF($A140="","",INDEX(Project_Tracker!$AM$2:$AM$101,INT((ROW()-6)/17)+1))</f>
        <v/>
      </c>
      <c r="C140" s="20" t="str">
        <f>IF($A140="","",INDEX(Project_Tracker!$C$2:$C$101,INT((ROW()-6)/17)+1))</f>
        <v/>
      </c>
      <c r="D140" s="6" t="str">
        <f>IF($A140="","",INDEX(Project_Tracker!$T$2:$T$101,INT((ROW()-6)/17)+1))</f>
        <v/>
      </c>
      <c r="E140" s="18">
        <f t="shared" si="10"/>
        <v>16</v>
      </c>
      <c r="F140" s="23" t="str">
        <f>IF($A140="","",INDEX('Logic &amp; Lists'!$I$4:$I$20,$E140))</f>
        <v/>
      </c>
      <c r="G140" s="18" t="str">
        <f>IF($A140="","",INDEX('Logic &amp; Lists'!$J$4:$J$20,$E140))</f>
        <v/>
      </c>
      <c r="H140" s="6" t="str">
        <f t="shared" si="11"/>
        <v/>
      </c>
      <c r="I140" s="18" t="str">
        <f t="shared" ca="1" si="12"/>
        <v/>
      </c>
      <c r="J140" s="5" t="str">
        <f t="shared" si="13"/>
        <v/>
      </c>
      <c r="K140" s="25"/>
      <c r="L140" s="5" t="str">
        <f t="shared" si="14"/>
        <v/>
      </c>
      <c r="M140" s="7"/>
      <c r="N140" s="7"/>
      <c r="O140" s="7"/>
      <c r="P140" s="20" t="str">
        <f>IF($A140="","",INDEX(Project_Tracker!$I$2:$I$101,INT((ROW()-6)/17)+1))</f>
        <v/>
      </c>
      <c r="Q140" s="20" t="str">
        <f>IF($A140="","",INDEX(Project_Tracker!$K$2:$K$101,INT((ROW()-6)/17)+1))</f>
        <v/>
      </c>
    </row>
    <row r="141" spans="1:17" x14ac:dyDescent="0.2">
      <c r="A141" s="20" t="str">
        <f>IF(INDEX(Project_Tracker!$AL$2:$AL$101,INT((ROW()-6)/17)+1)="","",INDEX(Project_Tracker!$AL$2:$AL$101,INT((ROW()-6)/17)+1))</f>
        <v/>
      </c>
      <c r="B141" s="21" t="str">
        <f>IF($A141="","",INDEX(Project_Tracker!$AM$2:$AM$101,INT((ROW()-6)/17)+1))</f>
        <v/>
      </c>
      <c r="C141" s="20" t="str">
        <f>IF($A141="","",INDEX(Project_Tracker!$C$2:$C$101,INT((ROW()-6)/17)+1))</f>
        <v/>
      </c>
      <c r="D141" s="6" t="str">
        <f>IF($A141="","",INDEX(Project_Tracker!$T$2:$T$101,INT((ROW()-6)/17)+1))</f>
        <v/>
      </c>
      <c r="E141" s="18">
        <f t="shared" si="10"/>
        <v>17</v>
      </c>
      <c r="F141" s="23" t="str">
        <f>IF($A141="","",INDEX('Logic &amp; Lists'!$I$4:$I$20,$E141))</f>
        <v/>
      </c>
      <c r="G141" s="18" t="str">
        <f>IF($A141="","",INDEX('Logic &amp; Lists'!$J$4:$J$20,$E141))</f>
        <v/>
      </c>
      <c r="H141" s="6" t="str">
        <f t="shared" si="11"/>
        <v/>
      </c>
      <c r="I141" s="18" t="str">
        <f t="shared" ca="1" si="12"/>
        <v/>
      </c>
      <c r="J141" s="5" t="str">
        <f t="shared" si="13"/>
        <v/>
      </c>
      <c r="K141" s="25"/>
      <c r="L141" s="5" t="str">
        <f t="shared" si="14"/>
        <v/>
      </c>
      <c r="M141" s="7"/>
      <c r="N141" s="7"/>
      <c r="O141" s="7"/>
      <c r="P141" s="20" t="str">
        <f>IF($A141="","",INDEX(Project_Tracker!$I$2:$I$101,INT((ROW()-6)/17)+1))</f>
        <v/>
      </c>
      <c r="Q141" s="20" t="str">
        <f>IF($A141="","",INDEX(Project_Tracker!$K$2:$K$101,INT((ROW()-6)/17)+1))</f>
        <v/>
      </c>
    </row>
    <row r="142" spans="1:17" x14ac:dyDescent="0.2">
      <c r="A142" s="20" t="str">
        <f>IF(INDEX(Project_Tracker!$AL$2:$AL$101,INT((ROW()-6)/17)+1)="","",INDEX(Project_Tracker!$AL$2:$AL$101,INT((ROW()-6)/17)+1))</f>
        <v/>
      </c>
      <c r="B142" s="21" t="str">
        <f>IF($A142="","",INDEX(Project_Tracker!$AM$2:$AM$101,INT((ROW()-6)/17)+1))</f>
        <v/>
      </c>
      <c r="C142" s="20" t="str">
        <f>IF($A142="","",INDEX(Project_Tracker!$C$2:$C$101,INT((ROW()-6)/17)+1))</f>
        <v/>
      </c>
      <c r="D142" s="6" t="str">
        <f>IF($A142="","",INDEX(Project_Tracker!$T$2:$T$101,INT((ROW()-6)/17)+1))</f>
        <v/>
      </c>
      <c r="E142" s="18">
        <f t="shared" si="10"/>
        <v>1</v>
      </c>
      <c r="F142" s="23" t="str">
        <f>IF($A142="","",INDEX('Logic &amp; Lists'!$I$4:$I$20,$E142))</f>
        <v/>
      </c>
      <c r="G142" s="18" t="str">
        <f>IF($A142="","",INDEX('Logic &amp; Lists'!$J$4:$J$20,$E142))</f>
        <v/>
      </c>
      <c r="H142" s="6" t="str">
        <f t="shared" si="11"/>
        <v/>
      </c>
      <c r="I142" s="18" t="str">
        <f t="shared" ca="1" si="12"/>
        <v/>
      </c>
      <c r="J142" s="5" t="str">
        <f t="shared" si="13"/>
        <v/>
      </c>
      <c r="K142" s="25"/>
      <c r="L142" s="5" t="str">
        <f t="shared" si="14"/>
        <v/>
      </c>
      <c r="M142" s="7"/>
      <c r="N142" s="7"/>
      <c r="O142" s="7"/>
      <c r="P142" s="20" t="str">
        <f>IF($A142="","",INDEX(Project_Tracker!$I$2:$I$101,INT((ROW()-6)/17)+1))</f>
        <v/>
      </c>
      <c r="Q142" s="20" t="str">
        <f>IF($A142="","",INDEX(Project_Tracker!$K$2:$K$101,INT((ROW()-6)/17)+1))</f>
        <v/>
      </c>
    </row>
    <row r="143" spans="1:17" x14ac:dyDescent="0.2">
      <c r="A143" s="20" t="str">
        <f>IF(INDEX(Project_Tracker!$AL$2:$AL$101,INT((ROW()-6)/17)+1)="","",INDEX(Project_Tracker!$AL$2:$AL$101,INT((ROW()-6)/17)+1))</f>
        <v/>
      </c>
      <c r="B143" s="21" t="str">
        <f>IF($A143="","",INDEX(Project_Tracker!$AM$2:$AM$101,INT((ROW()-6)/17)+1))</f>
        <v/>
      </c>
      <c r="C143" s="20" t="str">
        <f>IF($A143="","",INDEX(Project_Tracker!$C$2:$C$101,INT((ROW()-6)/17)+1))</f>
        <v/>
      </c>
      <c r="D143" s="6" t="str">
        <f>IF($A143="","",INDEX(Project_Tracker!$T$2:$T$101,INT((ROW()-6)/17)+1))</f>
        <v/>
      </c>
      <c r="E143" s="18">
        <f t="shared" si="10"/>
        <v>2</v>
      </c>
      <c r="F143" s="23" t="str">
        <f>IF($A143="","",INDEX('Logic &amp; Lists'!$I$4:$I$20,$E143))</f>
        <v/>
      </c>
      <c r="G143" s="18" t="str">
        <f>IF($A143="","",INDEX('Logic &amp; Lists'!$J$4:$J$20,$E143))</f>
        <v/>
      </c>
      <c r="H143" s="6" t="str">
        <f t="shared" si="11"/>
        <v/>
      </c>
      <c r="I143" s="18" t="str">
        <f t="shared" ca="1" si="12"/>
        <v/>
      </c>
      <c r="J143" s="5" t="str">
        <f t="shared" si="13"/>
        <v/>
      </c>
      <c r="K143" s="25"/>
      <c r="L143" s="5" t="str">
        <f t="shared" si="14"/>
        <v/>
      </c>
      <c r="M143" s="7"/>
      <c r="N143" s="7"/>
      <c r="O143" s="7"/>
      <c r="P143" s="20" t="str">
        <f>IF($A143="","",INDEX(Project_Tracker!$I$2:$I$101,INT((ROW()-6)/17)+1))</f>
        <v/>
      </c>
      <c r="Q143" s="20" t="str">
        <f>IF($A143="","",INDEX(Project_Tracker!$K$2:$K$101,INT((ROW()-6)/17)+1))</f>
        <v/>
      </c>
    </row>
    <row r="144" spans="1:17" x14ac:dyDescent="0.2">
      <c r="A144" s="20" t="str">
        <f>IF(INDEX(Project_Tracker!$AL$2:$AL$101,INT((ROW()-6)/17)+1)="","",INDEX(Project_Tracker!$AL$2:$AL$101,INT((ROW()-6)/17)+1))</f>
        <v/>
      </c>
      <c r="B144" s="21" t="str">
        <f>IF($A144="","",INDEX(Project_Tracker!$AM$2:$AM$101,INT((ROW()-6)/17)+1))</f>
        <v/>
      </c>
      <c r="C144" s="20" t="str">
        <f>IF($A144="","",INDEX(Project_Tracker!$C$2:$C$101,INT((ROW()-6)/17)+1))</f>
        <v/>
      </c>
      <c r="D144" s="6" t="str">
        <f>IF($A144="","",INDEX(Project_Tracker!$T$2:$T$101,INT((ROW()-6)/17)+1))</f>
        <v/>
      </c>
      <c r="E144" s="18">
        <f t="shared" si="10"/>
        <v>3</v>
      </c>
      <c r="F144" s="23" t="str">
        <f>IF($A144="","",INDEX('Logic &amp; Lists'!$I$4:$I$20,$E144))</f>
        <v/>
      </c>
      <c r="G144" s="18" t="str">
        <f>IF($A144="","",INDEX('Logic &amp; Lists'!$J$4:$J$20,$E144))</f>
        <v/>
      </c>
      <c r="H144" s="6" t="str">
        <f t="shared" si="11"/>
        <v/>
      </c>
      <c r="I144" s="18" t="str">
        <f t="shared" ca="1" si="12"/>
        <v/>
      </c>
      <c r="J144" s="5" t="str">
        <f t="shared" si="13"/>
        <v/>
      </c>
      <c r="K144" s="25"/>
      <c r="L144" s="5" t="str">
        <f t="shared" si="14"/>
        <v/>
      </c>
      <c r="M144" s="7"/>
      <c r="N144" s="7"/>
      <c r="O144" s="7"/>
      <c r="P144" s="20" t="str">
        <f>IF($A144="","",INDEX(Project_Tracker!$I$2:$I$101,INT((ROW()-6)/17)+1))</f>
        <v/>
      </c>
      <c r="Q144" s="20" t="str">
        <f>IF($A144="","",INDEX(Project_Tracker!$K$2:$K$101,INT((ROW()-6)/17)+1))</f>
        <v/>
      </c>
    </row>
    <row r="145" spans="1:17" x14ac:dyDescent="0.2">
      <c r="A145" s="20" t="str">
        <f>IF(INDEX(Project_Tracker!$AL$2:$AL$101,INT((ROW()-6)/17)+1)="","",INDEX(Project_Tracker!$AL$2:$AL$101,INT((ROW()-6)/17)+1))</f>
        <v/>
      </c>
      <c r="B145" s="21" t="str">
        <f>IF($A145="","",INDEX(Project_Tracker!$AM$2:$AM$101,INT((ROW()-6)/17)+1))</f>
        <v/>
      </c>
      <c r="C145" s="20" t="str">
        <f>IF($A145="","",INDEX(Project_Tracker!$C$2:$C$101,INT((ROW()-6)/17)+1))</f>
        <v/>
      </c>
      <c r="D145" s="6" t="str">
        <f>IF($A145="","",INDEX(Project_Tracker!$T$2:$T$101,INT((ROW()-6)/17)+1))</f>
        <v/>
      </c>
      <c r="E145" s="18">
        <f t="shared" si="10"/>
        <v>4</v>
      </c>
      <c r="F145" s="23" t="str">
        <f>IF($A145="","",INDEX('Logic &amp; Lists'!$I$4:$I$20,$E145))</f>
        <v/>
      </c>
      <c r="G145" s="18" t="str">
        <f>IF($A145="","",INDEX('Logic &amp; Lists'!$J$4:$J$20,$E145))</f>
        <v/>
      </c>
      <c r="H145" s="6" t="str">
        <f t="shared" si="11"/>
        <v/>
      </c>
      <c r="I145" s="18" t="str">
        <f t="shared" ca="1" si="12"/>
        <v/>
      </c>
      <c r="J145" s="5" t="str">
        <f t="shared" si="13"/>
        <v/>
      </c>
      <c r="K145" s="25"/>
      <c r="L145" s="5" t="str">
        <f t="shared" si="14"/>
        <v/>
      </c>
      <c r="M145" s="7"/>
      <c r="N145" s="7"/>
      <c r="O145" s="7"/>
      <c r="P145" s="20" t="str">
        <f>IF($A145="","",INDEX(Project_Tracker!$I$2:$I$101,INT((ROW()-6)/17)+1))</f>
        <v/>
      </c>
      <c r="Q145" s="20" t="str">
        <f>IF($A145="","",INDEX(Project_Tracker!$K$2:$K$101,INT((ROW()-6)/17)+1))</f>
        <v/>
      </c>
    </row>
    <row r="146" spans="1:17" x14ac:dyDescent="0.2">
      <c r="A146" s="20" t="str">
        <f>IF(INDEX(Project_Tracker!$AL$2:$AL$101,INT((ROW()-6)/17)+1)="","",INDEX(Project_Tracker!$AL$2:$AL$101,INT((ROW()-6)/17)+1))</f>
        <v/>
      </c>
      <c r="B146" s="21" t="str">
        <f>IF($A146="","",INDEX(Project_Tracker!$AM$2:$AM$101,INT((ROW()-6)/17)+1))</f>
        <v/>
      </c>
      <c r="C146" s="20" t="str">
        <f>IF($A146="","",INDEX(Project_Tracker!$C$2:$C$101,INT((ROW()-6)/17)+1))</f>
        <v/>
      </c>
      <c r="D146" s="6" t="str">
        <f>IF($A146="","",INDEX(Project_Tracker!$T$2:$T$101,INT((ROW()-6)/17)+1))</f>
        <v/>
      </c>
      <c r="E146" s="18">
        <f t="shared" si="10"/>
        <v>5</v>
      </c>
      <c r="F146" s="23" t="str">
        <f>IF($A146="","",INDEX('Logic &amp; Lists'!$I$4:$I$20,$E146))</f>
        <v/>
      </c>
      <c r="G146" s="18" t="str">
        <f>IF($A146="","",INDEX('Logic &amp; Lists'!$J$4:$J$20,$E146))</f>
        <v/>
      </c>
      <c r="H146" s="6" t="str">
        <f t="shared" si="11"/>
        <v/>
      </c>
      <c r="I146" s="18" t="str">
        <f t="shared" ca="1" si="12"/>
        <v/>
      </c>
      <c r="J146" s="5" t="str">
        <f t="shared" si="13"/>
        <v/>
      </c>
      <c r="K146" s="25"/>
      <c r="L146" s="5" t="str">
        <f t="shared" si="14"/>
        <v/>
      </c>
      <c r="M146" s="7"/>
      <c r="N146" s="7"/>
      <c r="O146" s="7"/>
      <c r="P146" s="20" t="str">
        <f>IF($A146="","",INDEX(Project_Tracker!$I$2:$I$101,INT((ROW()-6)/17)+1))</f>
        <v/>
      </c>
      <c r="Q146" s="20" t="str">
        <f>IF($A146="","",INDEX(Project_Tracker!$K$2:$K$101,INT((ROW()-6)/17)+1))</f>
        <v/>
      </c>
    </row>
    <row r="147" spans="1:17" x14ac:dyDescent="0.2">
      <c r="A147" s="20" t="str">
        <f>IF(INDEX(Project_Tracker!$AL$2:$AL$101,INT((ROW()-6)/17)+1)="","",INDEX(Project_Tracker!$AL$2:$AL$101,INT((ROW()-6)/17)+1))</f>
        <v/>
      </c>
      <c r="B147" s="21" t="str">
        <f>IF($A147="","",INDEX(Project_Tracker!$AM$2:$AM$101,INT((ROW()-6)/17)+1))</f>
        <v/>
      </c>
      <c r="C147" s="20" t="str">
        <f>IF($A147="","",INDEX(Project_Tracker!$C$2:$C$101,INT((ROW()-6)/17)+1))</f>
        <v/>
      </c>
      <c r="D147" s="6" t="str">
        <f>IF($A147="","",INDEX(Project_Tracker!$T$2:$T$101,INT((ROW()-6)/17)+1))</f>
        <v/>
      </c>
      <c r="E147" s="18">
        <f t="shared" si="10"/>
        <v>6</v>
      </c>
      <c r="F147" s="23" t="str">
        <f>IF($A147="","",INDEX('Logic &amp; Lists'!$I$4:$I$20,$E147))</f>
        <v/>
      </c>
      <c r="G147" s="18" t="str">
        <f>IF($A147="","",INDEX('Logic &amp; Lists'!$J$4:$J$20,$E147))</f>
        <v/>
      </c>
      <c r="H147" s="6" t="str">
        <f t="shared" si="11"/>
        <v/>
      </c>
      <c r="I147" s="18" t="str">
        <f t="shared" ca="1" si="12"/>
        <v/>
      </c>
      <c r="J147" s="5" t="str">
        <f t="shared" si="13"/>
        <v/>
      </c>
      <c r="K147" s="25"/>
      <c r="L147" s="5" t="str">
        <f t="shared" si="14"/>
        <v/>
      </c>
      <c r="M147" s="7"/>
      <c r="N147" s="7"/>
      <c r="O147" s="7"/>
      <c r="P147" s="20" t="str">
        <f>IF($A147="","",INDEX(Project_Tracker!$I$2:$I$101,INT((ROW()-6)/17)+1))</f>
        <v/>
      </c>
      <c r="Q147" s="20" t="str">
        <f>IF($A147="","",INDEX(Project_Tracker!$K$2:$K$101,INT((ROW()-6)/17)+1))</f>
        <v/>
      </c>
    </row>
    <row r="148" spans="1:17" x14ac:dyDescent="0.2">
      <c r="A148" s="20" t="str">
        <f>IF(INDEX(Project_Tracker!$AL$2:$AL$101,INT((ROW()-6)/17)+1)="","",INDEX(Project_Tracker!$AL$2:$AL$101,INT((ROW()-6)/17)+1))</f>
        <v/>
      </c>
      <c r="B148" s="21" t="str">
        <f>IF($A148="","",INDEX(Project_Tracker!$AM$2:$AM$101,INT((ROW()-6)/17)+1))</f>
        <v/>
      </c>
      <c r="C148" s="20" t="str">
        <f>IF($A148="","",INDEX(Project_Tracker!$C$2:$C$101,INT((ROW()-6)/17)+1))</f>
        <v/>
      </c>
      <c r="D148" s="6" t="str">
        <f>IF($A148="","",INDEX(Project_Tracker!$T$2:$T$101,INT((ROW()-6)/17)+1))</f>
        <v/>
      </c>
      <c r="E148" s="18">
        <f t="shared" si="10"/>
        <v>7</v>
      </c>
      <c r="F148" s="23" t="str">
        <f>IF($A148="","",INDEX('Logic &amp; Lists'!$I$4:$I$20,$E148))</f>
        <v/>
      </c>
      <c r="G148" s="18" t="str">
        <f>IF($A148="","",INDEX('Logic &amp; Lists'!$J$4:$J$20,$E148))</f>
        <v/>
      </c>
      <c r="H148" s="6" t="str">
        <f t="shared" si="11"/>
        <v/>
      </c>
      <c r="I148" s="18" t="str">
        <f t="shared" ca="1" si="12"/>
        <v/>
      </c>
      <c r="J148" s="5" t="str">
        <f t="shared" si="13"/>
        <v/>
      </c>
      <c r="K148" s="25"/>
      <c r="L148" s="5" t="str">
        <f t="shared" si="14"/>
        <v/>
      </c>
      <c r="M148" s="7"/>
      <c r="N148" s="7"/>
      <c r="O148" s="7"/>
      <c r="P148" s="20" t="str">
        <f>IF($A148="","",INDEX(Project_Tracker!$I$2:$I$101,INT((ROW()-6)/17)+1))</f>
        <v/>
      </c>
      <c r="Q148" s="20" t="str">
        <f>IF($A148="","",INDEX(Project_Tracker!$K$2:$K$101,INT((ROW()-6)/17)+1))</f>
        <v/>
      </c>
    </row>
    <row r="149" spans="1:17" x14ac:dyDescent="0.2">
      <c r="A149" s="20" t="str">
        <f>IF(INDEX(Project_Tracker!$AL$2:$AL$101,INT((ROW()-6)/17)+1)="","",INDEX(Project_Tracker!$AL$2:$AL$101,INT((ROW()-6)/17)+1))</f>
        <v/>
      </c>
      <c r="B149" s="21" t="str">
        <f>IF($A149="","",INDEX(Project_Tracker!$AM$2:$AM$101,INT((ROW()-6)/17)+1))</f>
        <v/>
      </c>
      <c r="C149" s="20" t="str">
        <f>IF($A149="","",INDEX(Project_Tracker!$C$2:$C$101,INT((ROW()-6)/17)+1))</f>
        <v/>
      </c>
      <c r="D149" s="6" t="str">
        <f>IF($A149="","",INDEX(Project_Tracker!$T$2:$T$101,INT((ROW()-6)/17)+1))</f>
        <v/>
      </c>
      <c r="E149" s="18">
        <f t="shared" si="10"/>
        <v>8</v>
      </c>
      <c r="F149" s="23" t="str">
        <f>IF($A149="","",INDEX('Logic &amp; Lists'!$I$4:$I$20,$E149))</f>
        <v/>
      </c>
      <c r="G149" s="18" t="str">
        <f>IF($A149="","",INDEX('Logic &amp; Lists'!$J$4:$J$20,$E149))</f>
        <v/>
      </c>
      <c r="H149" s="6" t="str">
        <f t="shared" si="11"/>
        <v/>
      </c>
      <c r="I149" s="18" t="str">
        <f t="shared" ca="1" si="12"/>
        <v/>
      </c>
      <c r="J149" s="5" t="str">
        <f t="shared" si="13"/>
        <v/>
      </c>
      <c r="K149" s="25"/>
      <c r="L149" s="5" t="str">
        <f t="shared" si="14"/>
        <v/>
      </c>
      <c r="M149" s="7"/>
      <c r="N149" s="7"/>
      <c r="O149" s="7"/>
      <c r="P149" s="20" t="str">
        <f>IF($A149="","",INDEX(Project_Tracker!$I$2:$I$101,INT((ROW()-6)/17)+1))</f>
        <v/>
      </c>
      <c r="Q149" s="20" t="str">
        <f>IF($A149="","",INDEX(Project_Tracker!$K$2:$K$101,INT((ROW()-6)/17)+1))</f>
        <v/>
      </c>
    </row>
    <row r="150" spans="1:17" x14ac:dyDescent="0.2">
      <c r="A150" s="20" t="str">
        <f>IF(INDEX(Project_Tracker!$AL$2:$AL$101,INT((ROW()-6)/17)+1)="","",INDEX(Project_Tracker!$AL$2:$AL$101,INT((ROW()-6)/17)+1))</f>
        <v/>
      </c>
      <c r="B150" s="21" t="str">
        <f>IF($A150="","",INDEX(Project_Tracker!$AM$2:$AM$101,INT((ROW()-6)/17)+1))</f>
        <v/>
      </c>
      <c r="C150" s="20" t="str">
        <f>IF($A150="","",INDEX(Project_Tracker!$C$2:$C$101,INT((ROW()-6)/17)+1))</f>
        <v/>
      </c>
      <c r="D150" s="6" t="str">
        <f>IF($A150="","",INDEX(Project_Tracker!$T$2:$T$101,INT((ROW()-6)/17)+1))</f>
        <v/>
      </c>
      <c r="E150" s="18">
        <f t="shared" si="10"/>
        <v>9</v>
      </c>
      <c r="F150" s="23" t="str">
        <f>IF($A150="","",INDEX('Logic &amp; Lists'!$I$4:$I$20,$E150))</f>
        <v/>
      </c>
      <c r="G150" s="18" t="str">
        <f>IF($A150="","",INDEX('Logic &amp; Lists'!$J$4:$J$20,$E150))</f>
        <v/>
      </c>
      <c r="H150" s="6" t="str">
        <f t="shared" si="11"/>
        <v/>
      </c>
      <c r="I150" s="18" t="str">
        <f t="shared" ca="1" si="12"/>
        <v/>
      </c>
      <c r="J150" s="5" t="str">
        <f t="shared" si="13"/>
        <v/>
      </c>
      <c r="K150" s="25"/>
      <c r="L150" s="5" t="str">
        <f t="shared" si="14"/>
        <v/>
      </c>
      <c r="M150" s="7"/>
      <c r="N150" s="7"/>
      <c r="O150" s="7"/>
      <c r="P150" s="20" t="str">
        <f>IF($A150="","",INDEX(Project_Tracker!$I$2:$I$101,INT((ROW()-6)/17)+1))</f>
        <v/>
      </c>
      <c r="Q150" s="20" t="str">
        <f>IF($A150="","",INDEX(Project_Tracker!$K$2:$K$101,INT((ROW()-6)/17)+1))</f>
        <v/>
      </c>
    </row>
    <row r="151" spans="1:17" x14ac:dyDescent="0.2">
      <c r="A151" s="20" t="str">
        <f>IF(INDEX(Project_Tracker!$AL$2:$AL$101,INT((ROW()-6)/17)+1)="","",INDEX(Project_Tracker!$AL$2:$AL$101,INT((ROW()-6)/17)+1))</f>
        <v/>
      </c>
      <c r="B151" s="21" t="str">
        <f>IF($A151="","",INDEX(Project_Tracker!$AM$2:$AM$101,INT((ROW()-6)/17)+1))</f>
        <v/>
      </c>
      <c r="C151" s="20" t="str">
        <f>IF($A151="","",INDEX(Project_Tracker!$C$2:$C$101,INT((ROW()-6)/17)+1))</f>
        <v/>
      </c>
      <c r="D151" s="6" t="str">
        <f>IF($A151="","",INDEX(Project_Tracker!$T$2:$T$101,INT((ROW()-6)/17)+1))</f>
        <v/>
      </c>
      <c r="E151" s="18">
        <f t="shared" si="10"/>
        <v>10</v>
      </c>
      <c r="F151" s="23" t="str">
        <f>IF($A151="","",INDEX('Logic &amp; Lists'!$I$4:$I$20,$E151))</f>
        <v/>
      </c>
      <c r="G151" s="18" t="str">
        <f>IF($A151="","",INDEX('Logic &amp; Lists'!$J$4:$J$20,$E151))</f>
        <v/>
      </c>
      <c r="H151" s="6" t="str">
        <f t="shared" si="11"/>
        <v/>
      </c>
      <c r="I151" s="18" t="str">
        <f t="shared" ca="1" si="12"/>
        <v/>
      </c>
      <c r="J151" s="5" t="str">
        <f t="shared" si="13"/>
        <v/>
      </c>
      <c r="K151" s="25"/>
      <c r="L151" s="5" t="str">
        <f t="shared" si="14"/>
        <v/>
      </c>
      <c r="M151" s="7"/>
      <c r="N151" s="7"/>
      <c r="O151" s="7"/>
      <c r="P151" s="20" t="str">
        <f>IF($A151="","",INDEX(Project_Tracker!$I$2:$I$101,INT((ROW()-6)/17)+1))</f>
        <v/>
      </c>
      <c r="Q151" s="20" t="str">
        <f>IF($A151="","",INDEX(Project_Tracker!$K$2:$K$101,INT((ROW()-6)/17)+1))</f>
        <v/>
      </c>
    </row>
    <row r="152" spans="1:17" x14ac:dyDescent="0.2">
      <c r="A152" s="20" t="str">
        <f>IF(INDEX(Project_Tracker!$AL$2:$AL$101,INT((ROW()-6)/17)+1)="","",INDEX(Project_Tracker!$AL$2:$AL$101,INT((ROW()-6)/17)+1))</f>
        <v/>
      </c>
      <c r="B152" s="21" t="str">
        <f>IF($A152="","",INDEX(Project_Tracker!$AM$2:$AM$101,INT((ROW()-6)/17)+1))</f>
        <v/>
      </c>
      <c r="C152" s="20" t="str">
        <f>IF($A152="","",INDEX(Project_Tracker!$C$2:$C$101,INT((ROW()-6)/17)+1))</f>
        <v/>
      </c>
      <c r="D152" s="6" t="str">
        <f>IF($A152="","",INDEX(Project_Tracker!$T$2:$T$101,INT((ROW()-6)/17)+1))</f>
        <v/>
      </c>
      <c r="E152" s="18">
        <f t="shared" si="10"/>
        <v>11</v>
      </c>
      <c r="F152" s="23" t="str">
        <f>IF($A152="","",INDEX('Logic &amp; Lists'!$I$4:$I$20,$E152))</f>
        <v/>
      </c>
      <c r="G152" s="18" t="str">
        <f>IF($A152="","",INDEX('Logic &amp; Lists'!$J$4:$J$20,$E152))</f>
        <v/>
      </c>
      <c r="H152" s="6" t="str">
        <f t="shared" si="11"/>
        <v/>
      </c>
      <c r="I152" s="18" t="str">
        <f t="shared" ca="1" si="12"/>
        <v/>
      </c>
      <c r="J152" s="5" t="str">
        <f t="shared" si="13"/>
        <v/>
      </c>
      <c r="K152" s="25"/>
      <c r="L152" s="5" t="str">
        <f t="shared" si="14"/>
        <v/>
      </c>
      <c r="M152" s="7"/>
      <c r="N152" s="7"/>
      <c r="O152" s="7"/>
      <c r="P152" s="20" t="str">
        <f>IF($A152="","",INDEX(Project_Tracker!$I$2:$I$101,INT((ROW()-6)/17)+1))</f>
        <v/>
      </c>
      <c r="Q152" s="20" t="str">
        <f>IF($A152="","",INDEX(Project_Tracker!$K$2:$K$101,INT((ROW()-6)/17)+1))</f>
        <v/>
      </c>
    </row>
    <row r="153" spans="1:17" x14ac:dyDescent="0.2">
      <c r="A153" s="20" t="str">
        <f>IF(INDEX(Project_Tracker!$AL$2:$AL$101,INT((ROW()-6)/17)+1)="","",INDEX(Project_Tracker!$AL$2:$AL$101,INT((ROW()-6)/17)+1))</f>
        <v/>
      </c>
      <c r="B153" s="21" t="str">
        <f>IF($A153="","",INDEX(Project_Tracker!$AM$2:$AM$101,INT((ROW()-6)/17)+1))</f>
        <v/>
      </c>
      <c r="C153" s="20" t="str">
        <f>IF($A153="","",INDEX(Project_Tracker!$C$2:$C$101,INT((ROW()-6)/17)+1))</f>
        <v/>
      </c>
      <c r="D153" s="6" t="str">
        <f>IF($A153="","",INDEX(Project_Tracker!$T$2:$T$101,INT((ROW()-6)/17)+1))</f>
        <v/>
      </c>
      <c r="E153" s="18">
        <f t="shared" si="10"/>
        <v>12</v>
      </c>
      <c r="F153" s="23" t="str">
        <f>IF($A153="","",INDEX('Logic &amp; Lists'!$I$4:$I$20,$E153))</f>
        <v/>
      </c>
      <c r="G153" s="18" t="str">
        <f>IF($A153="","",INDEX('Logic &amp; Lists'!$J$4:$J$20,$E153))</f>
        <v/>
      </c>
      <c r="H153" s="6" t="str">
        <f t="shared" si="11"/>
        <v/>
      </c>
      <c r="I153" s="18" t="str">
        <f t="shared" ca="1" si="12"/>
        <v/>
      </c>
      <c r="J153" s="5" t="str">
        <f t="shared" si="13"/>
        <v/>
      </c>
      <c r="K153" s="25"/>
      <c r="L153" s="5" t="str">
        <f t="shared" si="14"/>
        <v/>
      </c>
      <c r="M153" s="7"/>
      <c r="N153" s="7"/>
      <c r="O153" s="7"/>
      <c r="P153" s="20" t="str">
        <f>IF($A153="","",INDEX(Project_Tracker!$I$2:$I$101,INT((ROW()-6)/17)+1))</f>
        <v/>
      </c>
      <c r="Q153" s="20" t="str">
        <f>IF($A153="","",INDEX(Project_Tracker!$K$2:$K$101,INT((ROW()-6)/17)+1))</f>
        <v/>
      </c>
    </row>
    <row r="154" spans="1:17" x14ac:dyDescent="0.2">
      <c r="A154" s="20" t="str">
        <f>IF(INDEX(Project_Tracker!$AL$2:$AL$101,INT((ROW()-6)/17)+1)="","",INDEX(Project_Tracker!$AL$2:$AL$101,INT((ROW()-6)/17)+1))</f>
        <v/>
      </c>
      <c r="B154" s="21" t="str">
        <f>IF($A154="","",INDEX(Project_Tracker!$AM$2:$AM$101,INT((ROW()-6)/17)+1))</f>
        <v/>
      </c>
      <c r="C154" s="20" t="str">
        <f>IF($A154="","",INDEX(Project_Tracker!$C$2:$C$101,INT((ROW()-6)/17)+1))</f>
        <v/>
      </c>
      <c r="D154" s="6" t="str">
        <f>IF($A154="","",INDEX(Project_Tracker!$T$2:$T$101,INT((ROW()-6)/17)+1))</f>
        <v/>
      </c>
      <c r="E154" s="18">
        <f t="shared" si="10"/>
        <v>13</v>
      </c>
      <c r="F154" s="23" t="str">
        <f>IF($A154="","",INDEX('Logic &amp; Lists'!$I$4:$I$20,$E154))</f>
        <v/>
      </c>
      <c r="G154" s="18" t="str">
        <f>IF($A154="","",INDEX('Logic &amp; Lists'!$J$4:$J$20,$E154))</f>
        <v/>
      </c>
      <c r="H154" s="6" t="str">
        <f t="shared" si="11"/>
        <v/>
      </c>
      <c r="I154" s="18" t="str">
        <f t="shared" ca="1" si="12"/>
        <v/>
      </c>
      <c r="J154" s="5" t="str">
        <f t="shared" si="13"/>
        <v/>
      </c>
      <c r="K154" s="25"/>
      <c r="L154" s="5" t="str">
        <f t="shared" si="14"/>
        <v/>
      </c>
      <c r="M154" s="7"/>
      <c r="N154" s="7"/>
      <c r="O154" s="7"/>
      <c r="P154" s="20" t="str">
        <f>IF($A154="","",INDEX(Project_Tracker!$I$2:$I$101,INT((ROW()-6)/17)+1))</f>
        <v/>
      </c>
      <c r="Q154" s="20" t="str">
        <f>IF($A154="","",INDEX(Project_Tracker!$K$2:$K$101,INT((ROW()-6)/17)+1))</f>
        <v/>
      </c>
    </row>
    <row r="155" spans="1:17" x14ac:dyDescent="0.2">
      <c r="A155" s="20" t="str">
        <f>IF(INDEX(Project_Tracker!$AL$2:$AL$101,INT((ROW()-6)/17)+1)="","",INDEX(Project_Tracker!$AL$2:$AL$101,INT((ROW()-6)/17)+1))</f>
        <v/>
      </c>
      <c r="B155" s="21" t="str">
        <f>IF($A155="","",INDEX(Project_Tracker!$AM$2:$AM$101,INT((ROW()-6)/17)+1))</f>
        <v/>
      </c>
      <c r="C155" s="20" t="str">
        <f>IF($A155="","",INDEX(Project_Tracker!$C$2:$C$101,INT((ROW()-6)/17)+1))</f>
        <v/>
      </c>
      <c r="D155" s="6" t="str">
        <f>IF($A155="","",INDEX(Project_Tracker!$T$2:$T$101,INT((ROW()-6)/17)+1))</f>
        <v/>
      </c>
      <c r="E155" s="18">
        <f t="shared" si="10"/>
        <v>14</v>
      </c>
      <c r="F155" s="23" t="str">
        <f>IF($A155="","",INDEX('Logic &amp; Lists'!$I$4:$I$20,$E155))</f>
        <v/>
      </c>
      <c r="G155" s="18" t="str">
        <f>IF($A155="","",INDEX('Logic &amp; Lists'!$J$4:$J$20,$E155))</f>
        <v/>
      </c>
      <c r="H155" s="6" t="str">
        <f t="shared" si="11"/>
        <v/>
      </c>
      <c r="I155" s="18" t="str">
        <f t="shared" ca="1" si="12"/>
        <v/>
      </c>
      <c r="J155" s="5" t="str">
        <f t="shared" si="13"/>
        <v/>
      </c>
      <c r="K155" s="25"/>
      <c r="L155" s="5" t="str">
        <f t="shared" si="14"/>
        <v/>
      </c>
      <c r="M155" s="7"/>
      <c r="N155" s="7"/>
      <c r="O155" s="7"/>
      <c r="P155" s="20" t="str">
        <f>IF($A155="","",INDEX(Project_Tracker!$I$2:$I$101,INT((ROW()-6)/17)+1))</f>
        <v/>
      </c>
      <c r="Q155" s="20" t="str">
        <f>IF($A155="","",INDEX(Project_Tracker!$K$2:$K$101,INT((ROW()-6)/17)+1))</f>
        <v/>
      </c>
    </row>
    <row r="156" spans="1:17" x14ac:dyDescent="0.2">
      <c r="A156" s="20" t="str">
        <f>IF(INDEX(Project_Tracker!$AL$2:$AL$101,INT((ROW()-6)/17)+1)="","",INDEX(Project_Tracker!$AL$2:$AL$101,INT((ROW()-6)/17)+1))</f>
        <v/>
      </c>
      <c r="B156" s="21" t="str">
        <f>IF($A156="","",INDEX(Project_Tracker!$AM$2:$AM$101,INT((ROW()-6)/17)+1))</f>
        <v/>
      </c>
      <c r="C156" s="20" t="str">
        <f>IF($A156="","",INDEX(Project_Tracker!$C$2:$C$101,INT((ROW()-6)/17)+1))</f>
        <v/>
      </c>
      <c r="D156" s="6" t="str">
        <f>IF($A156="","",INDEX(Project_Tracker!$T$2:$T$101,INT((ROW()-6)/17)+1))</f>
        <v/>
      </c>
      <c r="E156" s="18">
        <f t="shared" si="10"/>
        <v>15</v>
      </c>
      <c r="F156" s="23" t="str">
        <f>IF($A156="","",INDEX('Logic &amp; Lists'!$I$4:$I$20,$E156))</f>
        <v/>
      </c>
      <c r="G156" s="18" t="str">
        <f>IF($A156="","",INDEX('Logic &amp; Lists'!$J$4:$J$20,$E156))</f>
        <v/>
      </c>
      <c r="H156" s="6" t="str">
        <f t="shared" si="11"/>
        <v/>
      </c>
      <c r="I156" s="18" t="str">
        <f t="shared" ca="1" si="12"/>
        <v/>
      </c>
      <c r="J156" s="5" t="str">
        <f t="shared" si="13"/>
        <v/>
      </c>
      <c r="K156" s="25"/>
      <c r="L156" s="5" t="str">
        <f t="shared" si="14"/>
        <v/>
      </c>
      <c r="M156" s="7"/>
      <c r="N156" s="7"/>
      <c r="O156" s="7"/>
      <c r="P156" s="20" t="str">
        <f>IF($A156="","",INDEX(Project_Tracker!$I$2:$I$101,INT((ROW()-6)/17)+1))</f>
        <v/>
      </c>
      <c r="Q156" s="20" t="str">
        <f>IF($A156="","",INDEX(Project_Tracker!$K$2:$K$101,INT((ROW()-6)/17)+1))</f>
        <v/>
      </c>
    </row>
    <row r="157" spans="1:17" x14ac:dyDescent="0.2">
      <c r="A157" s="20" t="str">
        <f>IF(INDEX(Project_Tracker!$AL$2:$AL$101,INT((ROW()-6)/17)+1)="","",INDEX(Project_Tracker!$AL$2:$AL$101,INT((ROW()-6)/17)+1))</f>
        <v/>
      </c>
      <c r="B157" s="21" t="str">
        <f>IF($A157="","",INDEX(Project_Tracker!$AM$2:$AM$101,INT((ROW()-6)/17)+1))</f>
        <v/>
      </c>
      <c r="C157" s="20" t="str">
        <f>IF($A157="","",INDEX(Project_Tracker!$C$2:$C$101,INT((ROW()-6)/17)+1))</f>
        <v/>
      </c>
      <c r="D157" s="6" t="str">
        <f>IF($A157="","",INDEX(Project_Tracker!$T$2:$T$101,INT((ROW()-6)/17)+1))</f>
        <v/>
      </c>
      <c r="E157" s="18">
        <f t="shared" si="10"/>
        <v>16</v>
      </c>
      <c r="F157" s="23" t="str">
        <f>IF($A157="","",INDEX('Logic &amp; Lists'!$I$4:$I$20,$E157))</f>
        <v/>
      </c>
      <c r="G157" s="18" t="str">
        <f>IF($A157="","",INDEX('Logic &amp; Lists'!$J$4:$J$20,$E157))</f>
        <v/>
      </c>
      <c r="H157" s="6" t="str">
        <f t="shared" si="11"/>
        <v/>
      </c>
      <c r="I157" s="18" t="str">
        <f t="shared" ca="1" si="12"/>
        <v/>
      </c>
      <c r="J157" s="5" t="str">
        <f t="shared" si="13"/>
        <v/>
      </c>
      <c r="K157" s="25"/>
      <c r="L157" s="5" t="str">
        <f t="shared" si="14"/>
        <v/>
      </c>
      <c r="M157" s="7"/>
      <c r="N157" s="7"/>
      <c r="O157" s="7"/>
      <c r="P157" s="20" t="str">
        <f>IF($A157="","",INDEX(Project_Tracker!$I$2:$I$101,INT((ROW()-6)/17)+1))</f>
        <v/>
      </c>
      <c r="Q157" s="20" t="str">
        <f>IF($A157="","",INDEX(Project_Tracker!$K$2:$K$101,INT((ROW()-6)/17)+1))</f>
        <v/>
      </c>
    </row>
    <row r="158" spans="1:17" x14ac:dyDescent="0.2">
      <c r="A158" s="20" t="str">
        <f>IF(INDEX(Project_Tracker!$AL$2:$AL$101,INT((ROW()-6)/17)+1)="","",INDEX(Project_Tracker!$AL$2:$AL$101,INT((ROW()-6)/17)+1))</f>
        <v/>
      </c>
      <c r="B158" s="21" t="str">
        <f>IF($A158="","",INDEX(Project_Tracker!$AM$2:$AM$101,INT((ROW()-6)/17)+1))</f>
        <v/>
      </c>
      <c r="C158" s="20" t="str">
        <f>IF($A158="","",INDEX(Project_Tracker!$C$2:$C$101,INT((ROW()-6)/17)+1))</f>
        <v/>
      </c>
      <c r="D158" s="6" t="str">
        <f>IF($A158="","",INDEX(Project_Tracker!$T$2:$T$101,INT((ROW()-6)/17)+1))</f>
        <v/>
      </c>
      <c r="E158" s="18">
        <f t="shared" si="10"/>
        <v>17</v>
      </c>
      <c r="F158" s="23" t="str">
        <f>IF($A158="","",INDEX('Logic &amp; Lists'!$I$4:$I$20,$E158))</f>
        <v/>
      </c>
      <c r="G158" s="18" t="str">
        <f>IF($A158="","",INDEX('Logic &amp; Lists'!$J$4:$J$20,$E158))</f>
        <v/>
      </c>
      <c r="H158" s="6" t="str">
        <f t="shared" si="11"/>
        <v/>
      </c>
      <c r="I158" s="18" t="str">
        <f t="shared" ca="1" si="12"/>
        <v/>
      </c>
      <c r="J158" s="5" t="str">
        <f t="shared" si="13"/>
        <v/>
      </c>
      <c r="K158" s="25"/>
      <c r="L158" s="5" t="str">
        <f t="shared" si="14"/>
        <v/>
      </c>
      <c r="M158" s="7"/>
      <c r="N158" s="7"/>
      <c r="O158" s="7"/>
      <c r="P158" s="20" t="str">
        <f>IF($A158="","",INDEX(Project_Tracker!$I$2:$I$101,INT((ROW()-6)/17)+1))</f>
        <v/>
      </c>
      <c r="Q158" s="20" t="str">
        <f>IF($A158="","",INDEX(Project_Tracker!$K$2:$K$101,INT((ROW()-6)/17)+1))</f>
        <v/>
      </c>
    </row>
    <row r="159" spans="1:17" x14ac:dyDescent="0.2">
      <c r="A159" s="20" t="str">
        <f>IF(INDEX(Project_Tracker!$AL$2:$AL$101,INT((ROW()-6)/17)+1)="","",INDEX(Project_Tracker!$AL$2:$AL$101,INT((ROW()-6)/17)+1))</f>
        <v/>
      </c>
      <c r="B159" s="21" t="str">
        <f>IF($A159="","",INDEX(Project_Tracker!$AM$2:$AM$101,INT((ROW()-6)/17)+1))</f>
        <v/>
      </c>
      <c r="C159" s="20" t="str">
        <f>IF($A159="","",INDEX(Project_Tracker!$C$2:$C$101,INT((ROW()-6)/17)+1))</f>
        <v/>
      </c>
      <c r="D159" s="6" t="str">
        <f>IF($A159="","",INDEX(Project_Tracker!$T$2:$T$101,INT((ROW()-6)/17)+1))</f>
        <v/>
      </c>
      <c r="E159" s="18">
        <f t="shared" si="10"/>
        <v>1</v>
      </c>
      <c r="F159" s="23" t="str">
        <f>IF($A159="","",INDEX('Logic &amp; Lists'!$I$4:$I$20,$E159))</f>
        <v/>
      </c>
      <c r="G159" s="18" t="str">
        <f>IF($A159="","",INDEX('Logic &amp; Lists'!$J$4:$J$20,$E159))</f>
        <v/>
      </c>
      <c r="H159" s="6" t="str">
        <f t="shared" si="11"/>
        <v/>
      </c>
      <c r="I159" s="18" t="str">
        <f t="shared" ca="1" si="12"/>
        <v/>
      </c>
      <c r="J159" s="5" t="str">
        <f t="shared" si="13"/>
        <v/>
      </c>
      <c r="K159" s="25"/>
      <c r="L159" s="5" t="str">
        <f t="shared" si="14"/>
        <v/>
      </c>
      <c r="M159" s="7"/>
      <c r="N159" s="7"/>
      <c r="O159" s="7"/>
      <c r="P159" s="20" t="str">
        <f>IF($A159="","",INDEX(Project_Tracker!$I$2:$I$101,INT((ROW()-6)/17)+1))</f>
        <v/>
      </c>
      <c r="Q159" s="20" t="str">
        <f>IF($A159="","",INDEX(Project_Tracker!$K$2:$K$101,INT((ROW()-6)/17)+1))</f>
        <v/>
      </c>
    </row>
    <row r="160" spans="1:17" x14ac:dyDescent="0.2">
      <c r="A160" s="20" t="str">
        <f>IF(INDEX(Project_Tracker!$AL$2:$AL$101,INT((ROW()-6)/17)+1)="","",INDEX(Project_Tracker!$AL$2:$AL$101,INT((ROW()-6)/17)+1))</f>
        <v/>
      </c>
      <c r="B160" s="21" t="str">
        <f>IF($A160="","",INDEX(Project_Tracker!$AM$2:$AM$101,INT((ROW()-6)/17)+1))</f>
        <v/>
      </c>
      <c r="C160" s="20" t="str">
        <f>IF($A160="","",INDEX(Project_Tracker!$C$2:$C$101,INT((ROW()-6)/17)+1))</f>
        <v/>
      </c>
      <c r="D160" s="6" t="str">
        <f>IF($A160="","",INDEX(Project_Tracker!$T$2:$T$101,INT((ROW()-6)/17)+1))</f>
        <v/>
      </c>
      <c r="E160" s="18">
        <f t="shared" si="10"/>
        <v>2</v>
      </c>
      <c r="F160" s="23" t="str">
        <f>IF($A160="","",INDEX('Logic &amp; Lists'!$I$4:$I$20,$E160))</f>
        <v/>
      </c>
      <c r="G160" s="18" t="str">
        <f>IF($A160="","",INDEX('Logic &amp; Lists'!$J$4:$J$20,$E160))</f>
        <v/>
      </c>
      <c r="H160" s="6" t="str">
        <f t="shared" si="11"/>
        <v/>
      </c>
      <c r="I160" s="18" t="str">
        <f t="shared" ca="1" si="12"/>
        <v/>
      </c>
      <c r="J160" s="5" t="str">
        <f t="shared" si="13"/>
        <v/>
      </c>
      <c r="K160" s="25"/>
      <c r="L160" s="5" t="str">
        <f t="shared" si="14"/>
        <v/>
      </c>
      <c r="M160" s="7"/>
      <c r="N160" s="7"/>
      <c r="O160" s="7"/>
      <c r="P160" s="20" t="str">
        <f>IF($A160="","",INDEX(Project_Tracker!$I$2:$I$101,INT((ROW()-6)/17)+1))</f>
        <v/>
      </c>
      <c r="Q160" s="20" t="str">
        <f>IF($A160="","",INDEX(Project_Tracker!$K$2:$K$101,INT((ROW()-6)/17)+1))</f>
        <v/>
      </c>
    </row>
    <row r="161" spans="1:17" x14ac:dyDescent="0.2">
      <c r="A161" s="20" t="str">
        <f>IF(INDEX(Project_Tracker!$AL$2:$AL$101,INT((ROW()-6)/17)+1)="","",INDEX(Project_Tracker!$AL$2:$AL$101,INT((ROW()-6)/17)+1))</f>
        <v/>
      </c>
      <c r="B161" s="21" t="str">
        <f>IF($A161="","",INDEX(Project_Tracker!$AM$2:$AM$101,INT((ROW()-6)/17)+1))</f>
        <v/>
      </c>
      <c r="C161" s="20" t="str">
        <f>IF($A161="","",INDEX(Project_Tracker!$C$2:$C$101,INT((ROW()-6)/17)+1))</f>
        <v/>
      </c>
      <c r="D161" s="6" t="str">
        <f>IF($A161="","",INDEX(Project_Tracker!$T$2:$T$101,INT((ROW()-6)/17)+1))</f>
        <v/>
      </c>
      <c r="E161" s="18">
        <f t="shared" si="10"/>
        <v>3</v>
      </c>
      <c r="F161" s="23" t="str">
        <f>IF($A161="","",INDEX('Logic &amp; Lists'!$I$4:$I$20,$E161))</f>
        <v/>
      </c>
      <c r="G161" s="18" t="str">
        <f>IF($A161="","",INDEX('Logic &amp; Lists'!$J$4:$J$20,$E161))</f>
        <v/>
      </c>
      <c r="H161" s="6" t="str">
        <f t="shared" si="11"/>
        <v/>
      </c>
      <c r="I161" s="18" t="str">
        <f t="shared" ca="1" si="12"/>
        <v/>
      </c>
      <c r="J161" s="5" t="str">
        <f t="shared" si="13"/>
        <v/>
      </c>
      <c r="K161" s="25"/>
      <c r="L161" s="5" t="str">
        <f t="shared" si="14"/>
        <v/>
      </c>
      <c r="M161" s="7"/>
      <c r="N161" s="7"/>
      <c r="O161" s="7"/>
      <c r="P161" s="20" t="str">
        <f>IF($A161="","",INDEX(Project_Tracker!$I$2:$I$101,INT((ROW()-6)/17)+1))</f>
        <v/>
      </c>
      <c r="Q161" s="20" t="str">
        <f>IF($A161="","",INDEX(Project_Tracker!$K$2:$K$101,INT((ROW()-6)/17)+1))</f>
        <v/>
      </c>
    </row>
    <row r="162" spans="1:17" x14ac:dyDescent="0.2">
      <c r="A162" s="20" t="str">
        <f>IF(INDEX(Project_Tracker!$AL$2:$AL$101,INT((ROW()-6)/17)+1)="","",INDEX(Project_Tracker!$AL$2:$AL$101,INT((ROW()-6)/17)+1))</f>
        <v/>
      </c>
      <c r="B162" s="21" t="str">
        <f>IF($A162="","",INDEX(Project_Tracker!$AM$2:$AM$101,INT((ROW()-6)/17)+1))</f>
        <v/>
      </c>
      <c r="C162" s="20" t="str">
        <f>IF($A162="","",INDEX(Project_Tracker!$C$2:$C$101,INT((ROW()-6)/17)+1))</f>
        <v/>
      </c>
      <c r="D162" s="6" t="str">
        <f>IF($A162="","",INDEX(Project_Tracker!$T$2:$T$101,INT((ROW()-6)/17)+1))</f>
        <v/>
      </c>
      <c r="E162" s="18">
        <f t="shared" si="10"/>
        <v>4</v>
      </c>
      <c r="F162" s="23" t="str">
        <f>IF($A162="","",INDEX('Logic &amp; Lists'!$I$4:$I$20,$E162))</f>
        <v/>
      </c>
      <c r="G162" s="18" t="str">
        <f>IF($A162="","",INDEX('Logic &amp; Lists'!$J$4:$J$20,$E162))</f>
        <v/>
      </c>
      <c r="H162" s="6" t="str">
        <f t="shared" si="11"/>
        <v/>
      </c>
      <c r="I162" s="18" t="str">
        <f t="shared" ca="1" si="12"/>
        <v/>
      </c>
      <c r="J162" s="5" t="str">
        <f t="shared" si="13"/>
        <v/>
      </c>
      <c r="K162" s="25"/>
      <c r="L162" s="5" t="str">
        <f t="shared" si="14"/>
        <v/>
      </c>
      <c r="M162" s="7"/>
      <c r="N162" s="7"/>
      <c r="O162" s="7"/>
      <c r="P162" s="20" t="str">
        <f>IF($A162="","",INDEX(Project_Tracker!$I$2:$I$101,INT((ROW()-6)/17)+1))</f>
        <v/>
      </c>
      <c r="Q162" s="20" t="str">
        <f>IF($A162="","",INDEX(Project_Tracker!$K$2:$K$101,INT((ROW()-6)/17)+1))</f>
        <v/>
      </c>
    </row>
    <row r="163" spans="1:17" x14ac:dyDescent="0.2">
      <c r="A163" s="20" t="str">
        <f>IF(INDEX(Project_Tracker!$AL$2:$AL$101,INT((ROW()-6)/17)+1)="","",INDEX(Project_Tracker!$AL$2:$AL$101,INT((ROW()-6)/17)+1))</f>
        <v/>
      </c>
      <c r="B163" s="21" t="str">
        <f>IF($A163="","",INDEX(Project_Tracker!$AM$2:$AM$101,INT((ROW()-6)/17)+1))</f>
        <v/>
      </c>
      <c r="C163" s="20" t="str">
        <f>IF($A163="","",INDEX(Project_Tracker!$C$2:$C$101,INT((ROW()-6)/17)+1))</f>
        <v/>
      </c>
      <c r="D163" s="6" t="str">
        <f>IF($A163="","",INDEX(Project_Tracker!$T$2:$T$101,INT((ROW()-6)/17)+1))</f>
        <v/>
      </c>
      <c r="E163" s="18">
        <f t="shared" si="10"/>
        <v>5</v>
      </c>
      <c r="F163" s="23" t="str">
        <f>IF($A163="","",INDEX('Logic &amp; Lists'!$I$4:$I$20,$E163))</f>
        <v/>
      </c>
      <c r="G163" s="18" t="str">
        <f>IF($A163="","",INDEX('Logic &amp; Lists'!$J$4:$J$20,$E163))</f>
        <v/>
      </c>
      <c r="H163" s="6" t="str">
        <f t="shared" si="11"/>
        <v/>
      </c>
      <c r="I163" s="18" t="str">
        <f t="shared" ca="1" si="12"/>
        <v/>
      </c>
      <c r="J163" s="5" t="str">
        <f t="shared" si="13"/>
        <v/>
      </c>
      <c r="K163" s="25"/>
      <c r="L163" s="5" t="str">
        <f t="shared" si="14"/>
        <v/>
      </c>
      <c r="M163" s="7"/>
      <c r="N163" s="7"/>
      <c r="O163" s="7"/>
      <c r="P163" s="20" t="str">
        <f>IF($A163="","",INDEX(Project_Tracker!$I$2:$I$101,INT((ROW()-6)/17)+1))</f>
        <v/>
      </c>
      <c r="Q163" s="20" t="str">
        <f>IF($A163="","",INDEX(Project_Tracker!$K$2:$K$101,INT((ROW()-6)/17)+1))</f>
        <v/>
      </c>
    </row>
    <row r="164" spans="1:17" x14ac:dyDescent="0.2">
      <c r="A164" s="20" t="str">
        <f>IF(INDEX(Project_Tracker!$AL$2:$AL$101,INT((ROW()-6)/17)+1)="","",INDEX(Project_Tracker!$AL$2:$AL$101,INT((ROW()-6)/17)+1))</f>
        <v/>
      </c>
      <c r="B164" s="21" t="str">
        <f>IF($A164="","",INDEX(Project_Tracker!$AM$2:$AM$101,INT((ROW()-6)/17)+1))</f>
        <v/>
      </c>
      <c r="C164" s="20" t="str">
        <f>IF($A164="","",INDEX(Project_Tracker!$C$2:$C$101,INT((ROW()-6)/17)+1))</f>
        <v/>
      </c>
      <c r="D164" s="6" t="str">
        <f>IF($A164="","",INDEX(Project_Tracker!$T$2:$T$101,INT((ROW()-6)/17)+1))</f>
        <v/>
      </c>
      <c r="E164" s="18">
        <f t="shared" si="10"/>
        <v>6</v>
      </c>
      <c r="F164" s="23" t="str">
        <f>IF($A164="","",INDEX('Logic &amp; Lists'!$I$4:$I$20,$E164))</f>
        <v/>
      </c>
      <c r="G164" s="18" t="str">
        <f>IF($A164="","",INDEX('Logic &amp; Lists'!$J$4:$J$20,$E164))</f>
        <v/>
      </c>
      <c r="H164" s="6" t="str">
        <f t="shared" si="11"/>
        <v/>
      </c>
      <c r="I164" s="18" t="str">
        <f t="shared" ca="1" si="12"/>
        <v/>
      </c>
      <c r="J164" s="5" t="str">
        <f t="shared" si="13"/>
        <v/>
      </c>
      <c r="K164" s="25"/>
      <c r="L164" s="5" t="str">
        <f t="shared" si="14"/>
        <v/>
      </c>
      <c r="M164" s="7"/>
      <c r="N164" s="7"/>
      <c r="O164" s="7"/>
      <c r="P164" s="20" t="str">
        <f>IF($A164="","",INDEX(Project_Tracker!$I$2:$I$101,INT((ROW()-6)/17)+1))</f>
        <v/>
      </c>
      <c r="Q164" s="20" t="str">
        <f>IF($A164="","",INDEX(Project_Tracker!$K$2:$K$101,INT((ROW()-6)/17)+1))</f>
        <v/>
      </c>
    </row>
    <row r="165" spans="1:17" x14ac:dyDescent="0.2">
      <c r="A165" s="20" t="str">
        <f>IF(INDEX(Project_Tracker!$AL$2:$AL$101,INT((ROW()-6)/17)+1)="","",INDEX(Project_Tracker!$AL$2:$AL$101,INT((ROW()-6)/17)+1))</f>
        <v/>
      </c>
      <c r="B165" s="21" t="str">
        <f>IF($A165="","",INDEX(Project_Tracker!$AM$2:$AM$101,INT((ROW()-6)/17)+1))</f>
        <v/>
      </c>
      <c r="C165" s="20" t="str">
        <f>IF($A165="","",INDEX(Project_Tracker!$C$2:$C$101,INT((ROW()-6)/17)+1))</f>
        <v/>
      </c>
      <c r="D165" s="6" t="str">
        <f>IF($A165="","",INDEX(Project_Tracker!$T$2:$T$101,INT((ROW()-6)/17)+1))</f>
        <v/>
      </c>
      <c r="E165" s="18">
        <f t="shared" si="10"/>
        <v>7</v>
      </c>
      <c r="F165" s="23" t="str">
        <f>IF($A165="","",INDEX('Logic &amp; Lists'!$I$4:$I$20,$E165))</f>
        <v/>
      </c>
      <c r="G165" s="18" t="str">
        <f>IF($A165="","",INDEX('Logic &amp; Lists'!$J$4:$J$20,$E165))</f>
        <v/>
      </c>
      <c r="H165" s="6" t="str">
        <f t="shared" si="11"/>
        <v/>
      </c>
      <c r="I165" s="18" t="str">
        <f t="shared" ca="1" si="12"/>
        <v/>
      </c>
      <c r="J165" s="5" t="str">
        <f t="shared" si="13"/>
        <v/>
      </c>
      <c r="K165" s="25"/>
      <c r="L165" s="5" t="str">
        <f t="shared" si="14"/>
        <v/>
      </c>
      <c r="M165" s="7"/>
      <c r="N165" s="7"/>
      <c r="O165" s="7"/>
      <c r="P165" s="20" t="str">
        <f>IF($A165="","",INDEX(Project_Tracker!$I$2:$I$101,INT((ROW()-6)/17)+1))</f>
        <v/>
      </c>
      <c r="Q165" s="20" t="str">
        <f>IF($A165="","",INDEX(Project_Tracker!$K$2:$K$101,INT((ROW()-6)/17)+1))</f>
        <v/>
      </c>
    </row>
    <row r="166" spans="1:17" x14ac:dyDescent="0.2">
      <c r="A166" s="20" t="str">
        <f>IF(INDEX(Project_Tracker!$AL$2:$AL$101,INT((ROW()-6)/17)+1)="","",INDEX(Project_Tracker!$AL$2:$AL$101,INT((ROW()-6)/17)+1))</f>
        <v/>
      </c>
      <c r="B166" s="21" t="str">
        <f>IF($A166="","",INDEX(Project_Tracker!$AM$2:$AM$101,INT((ROW()-6)/17)+1))</f>
        <v/>
      </c>
      <c r="C166" s="20" t="str">
        <f>IF($A166="","",INDEX(Project_Tracker!$C$2:$C$101,INT((ROW()-6)/17)+1))</f>
        <v/>
      </c>
      <c r="D166" s="6" t="str">
        <f>IF($A166="","",INDEX(Project_Tracker!$T$2:$T$101,INT((ROW()-6)/17)+1))</f>
        <v/>
      </c>
      <c r="E166" s="18">
        <f t="shared" si="10"/>
        <v>8</v>
      </c>
      <c r="F166" s="23" t="str">
        <f>IF($A166="","",INDEX('Logic &amp; Lists'!$I$4:$I$20,$E166))</f>
        <v/>
      </c>
      <c r="G166" s="18" t="str">
        <f>IF($A166="","",INDEX('Logic &amp; Lists'!$J$4:$J$20,$E166))</f>
        <v/>
      </c>
      <c r="H166" s="6" t="str">
        <f t="shared" si="11"/>
        <v/>
      </c>
      <c r="I166" s="18" t="str">
        <f t="shared" ca="1" si="12"/>
        <v/>
      </c>
      <c r="J166" s="5" t="str">
        <f t="shared" si="13"/>
        <v/>
      </c>
      <c r="K166" s="25"/>
      <c r="L166" s="5" t="str">
        <f t="shared" si="14"/>
        <v/>
      </c>
      <c r="M166" s="7"/>
      <c r="N166" s="7"/>
      <c r="O166" s="7"/>
      <c r="P166" s="20" t="str">
        <f>IF($A166="","",INDEX(Project_Tracker!$I$2:$I$101,INT((ROW()-6)/17)+1))</f>
        <v/>
      </c>
      <c r="Q166" s="20" t="str">
        <f>IF($A166="","",INDEX(Project_Tracker!$K$2:$K$101,INT((ROW()-6)/17)+1))</f>
        <v/>
      </c>
    </row>
    <row r="167" spans="1:17" x14ac:dyDescent="0.2">
      <c r="A167" s="20" t="str">
        <f>IF(INDEX(Project_Tracker!$AL$2:$AL$101,INT((ROW()-6)/17)+1)="","",INDEX(Project_Tracker!$AL$2:$AL$101,INT((ROW()-6)/17)+1))</f>
        <v/>
      </c>
      <c r="B167" s="21" t="str">
        <f>IF($A167="","",INDEX(Project_Tracker!$AM$2:$AM$101,INT((ROW()-6)/17)+1))</f>
        <v/>
      </c>
      <c r="C167" s="20" t="str">
        <f>IF($A167="","",INDEX(Project_Tracker!$C$2:$C$101,INT((ROW()-6)/17)+1))</f>
        <v/>
      </c>
      <c r="D167" s="6" t="str">
        <f>IF($A167="","",INDEX(Project_Tracker!$T$2:$T$101,INT((ROW()-6)/17)+1))</f>
        <v/>
      </c>
      <c r="E167" s="18">
        <f t="shared" si="10"/>
        <v>9</v>
      </c>
      <c r="F167" s="23" t="str">
        <f>IF($A167="","",INDEX('Logic &amp; Lists'!$I$4:$I$20,$E167))</f>
        <v/>
      </c>
      <c r="G167" s="18" t="str">
        <f>IF($A167="","",INDEX('Logic &amp; Lists'!$J$4:$J$20,$E167))</f>
        <v/>
      </c>
      <c r="H167" s="6" t="str">
        <f t="shared" si="11"/>
        <v/>
      </c>
      <c r="I167" s="18" t="str">
        <f t="shared" ca="1" si="12"/>
        <v/>
      </c>
      <c r="J167" s="5" t="str">
        <f t="shared" si="13"/>
        <v/>
      </c>
      <c r="K167" s="25"/>
      <c r="L167" s="5" t="str">
        <f t="shared" si="14"/>
        <v/>
      </c>
      <c r="M167" s="7"/>
      <c r="N167" s="7"/>
      <c r="O167" s="7"/>
      <c r="P167" s="20" t="str">
        <f>IF($A167="","",INDEX(Project_Tracker!$I$2:$I$101,INT((ROW()-6)/17)+1))</f>
        <v/>
      </c>
      <c r="Q167" s="20" t="str">
        <f>IF($A167="","",INDEX(Project_Tracker!$K$2:$K$101,INT((ROW()-6)/17)+1))</f>
        <v/>
      </c>
    </row>
    <row r="168" spans="1:17" x14ac:dyDescent="0.2">
      <c r="A168" s="20" t="str">
        <f>IF(INDEX(Project_Tracker!$AL$2:$AL$101,INT((ROW()-6)/17)+1)="","",INDEX(Project_Tracker!$AL$2:$AL$101,INT((ROW()-6)/17)+1))</f>
        <v/>
      </c>
      <c r="B168" s="21" t="str">
        <f>IF($A168="","",INDEX(Project_Tracker!$AM$2:$AM$101,INT((ROW()-6)/17)+1))</f>
        <v/>
      </c>
      <c r="C168" s="20" t="str">
        <f>IF($A168="","",INDEX(Project_Tracker!$C$2:$C$101,INT((ROW()-6)/17)+1))</f>
        <v/>
      </c>
      <c r="D168" s="6" t="str">
        <f>IF($A168="","",INDEX(Project_Tracker!$T$2:$T$101,INT((ROW()-6)/17)+1))</f>
        <v/>
      </c>
      <c r="E168" s="18">
        <f t="shared" si="10"/>
        <v>10</v>
      </c>
      <c r="F168" s="23" t="str">
        <f>IF($A168="","",INDEX('Logic &amp; Lists'!$I$4:$I$20,$E168))</f>
        <v/>
      </c>
      <c r="G168" s="18" t="str">
        <f>IF($A168="","",INDEX('Logic &amp; Lists'!$J$4:$J$20,$E168))</f>
        <v/>
      </c>
      <c r="H168" s="6" t="str">
        <f t="shared" si="11"/>
        <v/>
      </c>
      <c r="I168" s="18" t="str">
        <f t="shared" ca="1" si="12"/>
        <v/>
      </c>
      <c r="J168" s="5" t="str">
        <f t="shared" si="13"/>
        <v/>
      </c>
      <c r="K168" s="25"/>
      <c r="L168" s="5" t="str">
        <f t="shared" si="14"/>
        <v/>
      </c>
      <c r="M168" s="7"/>
      <c r="N168" s="7"/>
      <c r="O168" s="7"/>
      <c r="P168" s="20" t="str">
        <f>IF($A168="","",INDEX(Project_Tracker!$I$2:$I$101,INT((ROW()-6)/17)+1))</f>
        <v/>
      </c>
      <c r="Q168" s="20" t="str">
        <f>IF($A168="","",INDEX(Project_Tracker!$K$2:$K$101,INT((ROW()-6)/17)+1))</f>
        <v/>
      </c>
    </row>
    <row r="169" spans="1:17" x14ac:dyDescent="0.2">
      <c r="A169" s="20" t="str">
        <f>IF(INDEX(Project_Tracker!$AL$2:$AL$101,INT((ROW()-6)/17)+1)="","",INDEX(Project_Tracker!$AL$2:$AL$101,INT((ROW()-6)/17)+1))</f>
        <v/>
      </c>
      <c r="B169" s="21" t="str">
        <f>IF($A169="","",INDEX(Project_Tracker!$AM$2:$AM$101,INT((ROW()-6)/17)+1))</f>
        <v/>
      </c>
      <c r="C169" s="20" t="str">
        <f>IF($A169="","",INDEX(Project_Tracker!$C$2:$C$101,INT((ROW()-6)/17)+1))</f>
        <v/>
      </c>
      <c r="D169" s="6" t="str">
        <f>IF($A169="","",INDEX(Project_Tracker!$T$2:$T$101,INT((ROW()-6)/17)+1))</f>
        <v/>
      </c>
      <c r="E169" s="18">
        <f t="shared" si="10"/>
        <v>11</v>
      </c>
      <c r="F169" s="23" t="str">
        <f>IF($A169="","",INDEX('Logic &amp; Lists'!$I$4:$I$20,$E169))</f>
        <v/>
      </c>
      <c r="G169" s="18" t="str">
        <f>IF($A169="","",INDEX('Logic &amp; Lists'!$J$4:$J$20,$E169))</f>
        <v/>
      </c>
      <c r="H169" s="6" t="str">
        <f t="shared" si="11"/>
        <v/>
      </c>
      <c r="I169" s="18" t="str">
        <f t="shared" ca="1" si="12"/>
        <v/>
      </c>
      <c r="J169" s="5" t="str">
        <f t="shared" si="13"/>
        <v/>
      </c>
      <c r="K169" s="25"/>
      <c r="L169" s="5" t="str">
        <f t="shared" si="14"/>
        <v/>
      </c>
      <c r="M169" s="7"/>
      <c r="N169" s="7"/>
      <c r="O169" s="7"/>
      <c r="P169" s="20" t="str">
        <f>IF($A169="","",INDEX(Project_Tracker!$I$2:$I$101,INT((ROW()-6)/17)+1))</f>
        <v/>
      </c>
      <c r="Q169" s="20" t="str">
        <f>IF($A169="","",INDEX(Project_Tracker!$K$2:$K$101,INT((ROW()-6)/17)+1))</f>
        <v/>
      </c>
    </row>
    <row r="170" spans="1:17" x14ac:dyDescent="0.2">
      <c r="A170" s="20" t="str">
        <f>IF(INDEX(Project_Tracker!$AL$2:$AL$101,INT((ROW()-6)/17)+1)="","",INDEX(Project_Tracker!$AL$2:$AL$101,INT((ROW()-6)/17)+1))</f>
        <v/>
      </c>
      <c r="B170" s="21" t="str">
        <f>IF($A170="","",INDEX(Project_Tracker!$AM$2:$AM$101,INT((ROW()-6)/17)+1))</f>
        <v/>
      </c>
      <c r="C170" s="20" t="str">
        <f>IF($A170="","",INDEX(Project_Tracker!$C$2:$C$101,INT((ROW()-6)/17)+1))</f>
        <v/>
      </c>
      <c r="D170" s="6" t="str">
        <f>IF($A170="","",INDEX(Project_Tracker!$T$2:$T$101,INT((ROW()-6)/17)+1))</f>
        <v/>
      </c>
      <c r="E170" s="18">
        <f t="shared" si="10"/>
        <v>12</v>
      </c>
      <c r="F170" s="23" t="str">
        <f>IF($A170="","",INDEX('Logic &amp; Lists'!$I$4:$I$20,$E170))</f>
        <v/>
      </c>
      <c r="G170" s="18" t="str">
        <f>IF($A170="","",INDEX('Logic &amp; Lists'!$J$4:$J$20,$E170))</f>
        <v/>
      </c>
      <c r="H170" s="6" t="str">
        <f t="shared" si="11"/>
        <v/>
      </c>
      <c r="I170" s="18" t="str">
        <f t="shared" ca="1" si="12"/>
        <v/>
      </c>
      <c r="J170" s="5" t="str">
        <f t="shared" si="13"/>
        <v/>
      </c>
      <c r="K170" s="25"/>
      <c r="L170" s="5" t="str">
        <f t="shared" si="14"/>
        <v/>
      </c>
      <c r="M170" s="7"/>
      <c r="N170" s="7"/>
      <c r="O170" s="7"/>
      <c r="P170" s="20" t="str">
        <f>IF($A170="","",INDEX(Project_Tracker!$I$2:$I$101,INT((ROW()-6)/17)+1))</f>
        <v/>
      </c>
      <c r="Q170" s="20" t="str">
        <f>IF($A170="","",INDEX(Project_Tracker!$K$2:$K$101,INT((ROW()-6)/17)+1))</f>
        <v/>
      </c>
    </row>
    <row r="171" spans="1:17" x14ac:dyDescent="0.2">
      <c r="A171" s="20" t="str">
        <f>IF(INDEX(Project_Tracker!$AL$2:$AL$101,INT((ROW()-6)/17)+1)="","",INDEX(Project_Tracker!$AL$2:$AL$101,INT((ROW()-6)/17)+1))</f>
        <v/>
      </c>
      <c r="B171" s="21" t="str">
        <f>IF($A171="","",INDEX(Project_Tracker!$AM$2:$AM$101,INT((ROW()-6)/17)+1))</f>
        <v/>
      </c>
      <c r="C171" s="20" t="str">
        <f>IF($A171="","",INDEX(Project_Tracker!$C$2:$C$101,INT((ROW()-6)/17)+1))</f>
        <v/>
      </c>
      <c r="D171" s="6" t="str">
        <f>IF($A171="","",INDEX(Project_Tracker!$T$2:$T$101,INT((ROW()-6)/17)+1))</f>
        <v/>
      </c>
      <c r="E171" s="18">
        <f t="shared" si="10"/>
        <v>13</v>
      </c>
      <c r="F171" s="23" t="str">
        <f>IF($A171="","",INDEX('Logic &amp; Lists'!$I$4:$I$20,$E171))</f>
        <v/>
      </c>
      <c r="G171" s="18" t="str">
        <f>IF($A171="","",INDEX('Logic &amp; Lists'!$J$4:$J$20,$E171))</f>
        <v/>
      </c>
      <c r="H171" s="6" t="str">
        <f t="shared" si="11"/>
        <v/>
      </c>
      <c r="I171" s="18" t="str">
        <f t="shared" ca="1" si="12"/>
        <v/>
      </c>
      <c r="J171" s="5" t="str">
        <f t="shared" si="13"/>
        <v/>
      </c>
      <c r="K171" s="25"/>
      <c r="L171" s="5" t="str">
        <f t="shared" si="14"/>
        <v/>
      </c>
      <c r="M171" s="7"/>
      <c r="N171" s="7"/>
      <c r="O171" s="7"/>
      <c r="P171" s="20" t="str">
        <f>IF($A171="","",INDEX(Project_Tracker!$I$2:$I$101,INT((ROW()-6)/17)+1))</f>
        <v/>
      </c>
      <c r="Q171" s="20" t="str">
        <f>IF($A171="","",INDEX(Project_Tracker!$K$2:$K$101,INT((ROW()-6)/17)+1))</f>
        <v/>
      </c>
    </row>
    <row r="172" spans="1:17" x14ac:dyDescent="0.2">
      <c r="A172" s="20" t="str">
        <f>IF(INDEX(Project_Tracker!$AL$2:$AL$101,INT((ROW()-6)/17)+1)="","",INDEX(Project_Tracker!$AL$2:$AL$101,INT((ROW()-6)/17)+1))</f>
        <v/>
      </c>
      <c r="B172" s="21" t="str">
        <f>IF($A172="","",INDEX(Project_Tracker!$AM$2:$AM$101,INT((ROW()-6)/17)+1))</f>
        <v/>
      </c>
      <c r="C172" s="20" t="str">
        <f>IF($A172="","",INDEX(Project_Tracker!$C$2:$C$101,INT((ROW()-6)/17)+1))</f>
        <v/>
      </c>
      <c r="D172" s="6" t="str">
        <f>IF($A172="","",INDEX(Project_Tracker!$T$2:$T$101,INT((ROW()-6)/17)+1))</f>
        <v/>
      </c>
      <c r="E172" s="18">
        <f t="shared" si="10"/>
        <v>14</v>
      </c>
      <c r="F172" s="23" t="str">
        <f>IF($A172="","",INDEX('Logic &amp; Lists'!$I$4:$I$20,$E172))</f>
        <v/>
      </c>
      <c r="G172" s="18" t="str">
        <f>IF($A172="","",INDEX('Logic &amp; Lists'!$J$4:$J$20,$E172))</f>
        <v/>
      </c>
      <c r="H172" s="6" t="str">
        <f t="shared" si="11"/>
        <v/>
      </c>
      <c r="I172" s="18" t="str">
        <f t="shared" ca="1" si="12"/>
        <v/>
      </c>
      <c r="J172" s="5" t="str">
        <f t="shared" si="13"/>
        <v/>
      </c>
      <c r="K172" s="25"/>
      <c r="L172" s="5" t="str">
        <f t="shared" si="14"/>
        <v/>
      </c>
      <c r="M172" s="7"/>
      <c r="N172" s="7"/>
      <c r="O172" s="7"/>
      <c r="P172" s="20" t="str">
        <f>IF($A172="","",INDEX(Project_Tracker!$I$2:$I$101,INT((ROW()-6)/17)+1))</f>
        <v/>
      </c>
      <c r="Q172" s="20" t="str">
        <f>IF($A172="","",INDEX(Project_Tracker!$K$2:$K$101,INT((ROW()-6)/17)+1))</f>
        <v/>
      </c>
    </row>
    <row r="173" spans="1:17" x14ac:dyDescent="0.2">
      <c r="A173" s="20" t="str">
        <f>IF(INDEX(Project_Tracker!$AL$2:$AL$101,INT((ROW()-6)/17)+1)="","",INDEX(Project_Tracker!$AL$2:$AL$101,INT((ROW()-6)/17)+1))</f>
        <v/>
      </c>
      <c r="B173" s="21" t="str">
        <f>IF($A173="","",INDEX(Project_Tracker!$AM$2:$AM$101,INT((ROW()-6)/17)+1))</f>
        <v/>
      </c>
      <c r="C173" s="20" t="str">
        <f>IF($A173="","",INDEX(Project_Tracker!$C$2:$C$101,INT((ROW()-6)/17)+1))</f>
        <v/>
      </c>
      <c r="D173" s="6" t="str">
        <f>IF($A173="","",INDEX(Project_Tracker!$T$2:$T$101,INT((ROW()-6)/17)+1))</f>
        <v/>
      </c>
      <c r="E173" s="18">
        <f t="shared" si="10"/>
        <v>15</v>
      </c>
      <c r="F173" s="23" t="str">
        <f>IF($A173="","",INDEX('Logic &amp; Lists'!$I$4:$I$20,$E173))</f>
        <v/>
      </c>
      <c r="G173" s="18" t="str">
        <f>IF($A173="","",INDEX('Logic &amp; Lists'!$J$4:$J$20,$E173))</f>
        <v/>
      </c>
      <c r="H173" s="6" t="str">
        <f t="shared" si="11"/>
        <v/>
      </c>
      <c r="I173" s="18" t="str">
        <f t="shared" ca="1" si="12"/>
        <v/>
      </c>
      <c r="J173" s="5" t="str">
        <f t="shared" si="13"/>
        <v/>
      </c>
      <c r="K173" s="25"/>
      <c r="L173" s="5" t="str">
        <f t="shared" si="14"/>
        <v/>
      </c>
      <c r="M173" s="7"/>
      <c r="N173" s="7"/>
      <c r="O173" s="7"/>
      <c r="P173" s="20" t="str">
        <f>IF($A173="","",INDEX(Project_Tracker!$I$2:$I$101,INT((ROW()-6)/17)+1))</f>
        <v/>
      </c>
      <c r="Q173" s="20" t="str">
        <f>IF($A173="","",INDEX(Project_Tracker!$K$2:$K$101,INT((ROW()-6)/17)+1))</f>
        <v/>
      </c>
    </row>
    <row r="174" spans="1:17" x14ac:dyDescent="0.2">
      <c r="A174" s="20" t="str">
        <f>IF(INDEX(Project_Tracker!$AL$2:$AL$101,INT((ROW()-6)/17)+1)="","",INDEX(Project_Tracker!$AL$2:$AL$101,INT((ROW()-6)/17)+1))</f>
        <v/>
      </c>
      <c r="B174" s="21" t="str">
        <f>IF($A174="","",INDEX(Project_Tracker!$AM$2:$AM$101,INT((ROW()-6)/17)+1))</f>
        <v/>
      </c>
      <c r="C174" s="20" t="str">
        <f>IF($A174="","",INDEX(Project_Tracker!$C$2:$C$101,INT((ROW()-6)/17)+1))</f>
        <v/>
      </c>
      <c r="D174" s="6" t="str">
        <f>IF($A174="","",INDEX(Project_Tracker!$T$2:$T$101,INT((ROW()-6)/17)+1))</f>
        <v/>
      </c>
      <c r="E174" s="18">
        <f t="shared" si="10"/>
        <v>16</v>
      </c>
      <c r="F174" s="23" t="str">
        <f>IF($A174="","",INDEX('Logic &amp; Lists'!$I$4:$I$20,$E174))</f>
        <v/>
      </c>
      <c r="G174" s="18" t="str">
        <f>IF($A174="","",INDEX('Logic &amp; Lists'!$J$4:$J$20,$E174))</f>
        <v/>
      </c>
      <c r="H174" s="6" t="str">
        <f t="shared" si="11"/>
        <v/>
      </c>
      <c r="I174" s="18" t="str">
        <f t="shared" ca="1" si="12"/>
        <v/>
      </c>
      <c r="J174" s="5" t="str">
        <f t="shared" si="13"/>
        <v/>
      </c>
      <c r="K174" s="25"/>
      <c r="L174" s="5" t="str">
        <f t="shared" si="14"/>
        <v/>
      </c>
      <c r="M174" s="7"/>
      <c r="N174" s="7"/>
      <c r="O174" s="7"/>
      <c r="P174" s="20" t="str">
        <f>IF($A174="","",INDEX(Project_Tracker!$I$2:$I$101,INT((ROW()-6)/17)+1))</f>
        <v/>
      </c>
      <c r="Q174" s="20" t="str">
        <f>IF($A174="","",INDEX(Project_Tracker!$K$2:$K$101,INT((ROW()-6)/17)+1))</f>
        <v/>
      </c>
    </row>
    <row r="175" spans="1:17" x14ac:dyDescent="0.2">
      <c r="A175" s="20" t="str">
        <f>IF(INDEX(Project_Tracker!$AL$2:$AL$101,INT((ROW()-6)/17)+1)="","",INDEX(Project_Tracker!$AL$2:$AL$101,INT((ROW()-6)/17)+1))</f>
        <v/>
      </c>
      <c r="B175" s="21" t="str">
        <f>IF($A175="","",INDEX(Project_Tracker!$AM$2:$AM$101,INT((ROW()-6)/17)+1))</f>
        <v/>
      </c>
      <c r="C175" s="20" t="str">
        <f>IF($A175="","",INDEX(Project_Tracker!$C$2:$C$101,INT((ROW()-6)/17)+1))</f>
        <v/>
      </c>
      <c r="D175" s="6" t="str">
        <f>IF($A175="","",INDEX(Project_Tracker!$T$2:$T$101,INT((ROW()-6)/17)+1))</f>
        <v/>
      </c>
      <c r="E175" s="18">
        <f t="shared" si="10"/>
        <v>17</v>
      </c>
      <c r="F175" s="23" t="str">
        <f>IF($A175="","",INDEX('Logic &amp; Lists'!$I$4:$I$20,$E175))</f>
        <v/>
      </c>
      <c r="G175" s="18" t="str">
        <f>IF($A175="","",INDEX('Logic &amp; Lists'!$J$4:$J$20,$E175))</f>
        <v/>
      </c>
      <c r="H175" s="6" t="str">
        <f t="shared" si="11"/>
        <v/>
      </c>
      <c r="I175" s="18" t="str">
        <f t="shared" ca="1" si="12"/>
        <v/>
      </c>
      <c r="J175" s="5" t="str">
        <f t="shared" si="13"/>
        <v/>
      </c>
      <c r="K175" s="25"/>
      <c r="L175" s="5" t="str">
        <f t="shared" si="14"/>
        <v/>
      </c>
      <c r="M175" s="7"/>
      <c r="N175" s="7"/>
      <c r="O175" s="7"/>
      <c r="P175" s="20" t="str">
        <f>IF($A175="","",INDEX(Project_Tracker!$I$2:$I$101,INT((ROW()-6)/17)+1))</f>
        <v/>
      </c>
      <c r="Q175" s="20" t="str">
        <f>IF($A175="","",INDEX(Project_Tracker!$K$2:$K$101,INT((ROW()-6)/17)+1))</f>
        <v/>
      </c>
    </row>
    <row r="176" spans="1:17" x14ac:dyDescent="0.2">
      <c r="A176" s="20" t="str">
        <f>IF(INDEX(Project_Tracker!$AL$2:$AL$101,INT((ROW()-6)/17)+1)="","",INDEX(Project_Tracker!$AL$2:$AL$101,INT((ROW()-6)/17)+1))</f>
        <v/>
      </c>
      <c r="B176" s="21" t="str">
        <f>IF($A176="","",INDEX(Project_Tracker!$AM$2:$AM$101,INT((ROW()-6)/17)+1))</f>
        <v/>
      </c>
      <c r="C176" s="20" t="str">
        <f>IF($A176="","",INDEX(Project_Tracker!$C$2:$C$101,INT((ROW()-6)/17)+1))</f>
        <v/>
      </c>
      <c r="D176" s="6" t="str">
        <f>IF($A176="","",INDEX(Project_Tracker!$T$2:$T$101,INT((ROW()-6)/17)+1))</f>
        <v/>
      </c>
      <c r="E176" s="18">
        <f t="shared" si="10"/>
        <v>1</v>
      </c>
      <c r="F176" s="23" t="str">
        <f>IF($A176="","",INDEX('Logic &amp; Lists'!$I$4:$I$20,$E176))</f>
        <v/>
      </c>
      <c r="G176" s="18" t="str">
        <f>IF($A176="","",INDEX('Logic &amp; Lists'!$J$4:$J$20,$E176))</f>
        <v/>
      </c>
      <c r="H176" s="6" t="str">
        <f t="shared" si="11"/>
        <v/>
      </c>
      <c r="I176" s="18" t="str">
        <f t="shared" ca="1" si="12"/>
        <v/>
      </c>
      <c r="J176" s="5" t="str">
        <f t="shared" si="13"/>
        <v/>
      </c>
      <c r="K176" s="25"/>
      <c r="L176" s="5" t="str">
        <f t="shared" si="14"/>
        <v/>
      </c>
      <c r="M176" s="7"/>
      <c r="N176" s="7"/>
      <c r="O176" s="7"/>
      <c r="P176" s="20" t="str">
        <f>IF($A176="","",INDEX(Project_Tracker!$I$2:$I$101,INT((ROW()-6)/17)+1))</f>
        <v/>
      </c>
      <c r="Q176" s="20" t="str">
        <f>IF($A176="","",INDEX(Project_Tracker!$K$2:$K$101,INT((ROW()-6)/17)+1))</f>
        <v/>
      </c>
    </row>
    <row r="177" spans="1:17" x14ac:dyDescent="0.2">
      <c r="A177" s="20" t="str">
        <f>IF(INDEX(Project_Tracker!$AL$2:$AL$101,INT((ROW()-6)/17)+1)="","",INDEX(Project_Tracker!$AL$2:$AL$101,INT((ROW()-6)/17)+1))</f>
        <v/>
      </c>
      <c r="B177" s="21" t="str">
        <f>IF($A177="","",INDEX(Project_Tracker!$AM$2:$AM$101,INT((ROW()-6)/17)+1))</f>
        <v/>
      </c>
      <c r="C177" s="20" t="str">
        <f>IF($A177="","",INDEX(Project_Tracker!$C$2:$C$101,INT((ROW()-6)/17)+1))</f>
        <v/>
      </c>
      <c r="D177" s="6" t="str">
        <f>IF($A177="","",INDEX(Project_Tracker!$T$2:$T$101,INT((ROW()-6)/17)+1))</f>
        <v/>
      </c>
      <c r="E177" s="18">
        <f t="shared" si="10"/>
        <v>2</v>
      </c>
      <c r="F177" s="23" t="str">
        <f>IF($A177="","",INDEX('Logic &amp; Lists'!$I$4:$I$20,$E177))</f>
        <v/>
      </c>
      <c r="G177" s="18" t="str">
        <f>IF($A177="","",INDEX('Logic &amp; Lists'!$J$4:$J$20,$E177))</f>
        <v/>
      </c>
      <c r="H177" s="6" t="str">
        <f t="shared" si="11"/>
        <v/>
      </c>
      <c r="I177" s="18" t="str">
        <f t="shared" ca="1" si="12"/>
        <v/>
      </c>
      <c r="J177" s="5" t="str">
        <f t="shared" si="13"/>
        <v/>
      </c>
      <c r="K177" s="25"/>
      <c r="L177" s="5" t="str">
        <f t="shared" si="14"/>
        <v/>
      </c>
      <c r="M177" s="7"/>
      <c r="N177" s="7"/>
      <c r="O177" s="7"/>
      <c r="P177" s="20" t="str">
        <f>IF($A177="","",INDEX(Project_Tracker!$I$2:$I$101,INT((ROW()-6)/17)+1))</f>
        <v/>
      </c>
      <c r="Q177" s="20" t="str">
        <f>IF($A177="","",INDEX(Project_Tracker!$K$2:$K$101,INT((ROW()-6)/17)+1))</f>
        <v/>
      </c>
    </row>
    <row r="178" spans="1:17" x14ac:dyDescent="0.2">
      <c r="A178" s="20" t="str">
        <f>IF(INDEX(Project_Tracker!$AL$2:$AL$101,INT((ROW()-6)/17)+1)="","",INDEX(Project_Tracker!$AL$2:$AL$101,INT((ROW()-6)/17)+1))</f>
        <v/>
      </c>
      <c r="B178" s="21" t="str">
        <f>IF($A178="","",INDEX(Project_Tracker!$AM$2:$AM$101,INT((ROW()-6)/17)+1))</f>
        <v/>
      </c>
      <c r="C178" s="20" t="str">
        <f>IF($A178="","",INDEX(Project_Tracker!$C$2:$C$101,INT((ROW()-6)/17)+1))</f>
        <v/>
      </c>
      <c r="D178" s="6" t="str">
        <f>IF($A178="","",INDEX(Project_Tracker!$T$2:$T$101,INT((ROW()-6)/17)+1))</f>
        <v/>
      </c>
      <c r="E178" s="18">
        <f t="shared" si="10"/>
        <v>3</v>
      </c>
      <c r="F178" s="23" t="str">
        <f>IF($A178="","",INDEX('Logic &amp; Lists'!$I$4:$I$20,$E178))</f>
        <v/>
      </c>
      <c r="G178" s="18" t="str">
        <f>IF($A178="","",INDEX('Logic &amp; Lists'!$J$4:$J$20,$E178))</f>
        <v/>
      </c>
      <c r="H178" s="6" t="str">
        <f t="shared" si="11"/>
        <v/>
      </c>
      <c r="I178" s="18" t="str">
        <f t="shared" ca="1" si="12"/>
        <v/>
      </c>
      <c r="J178" s="5" t="str">
        <f t="shared" si="13"/>
        <v/>
      </c>
      <c r="K178" s="25"/>
      <c r="L178" s="5" t="str">
        <f t="shared" si="14"/>
        <v/>
      </c>
      <c r="M178" s="7"/>
      <c r="N178" s="7"/>
      <c r="O178" s="7"/>
      <c r="P178" s="20" t="str">
        <f>IF($A178="","",INDEX(Project_Tracker!$I$2:$I$101,INT((ROW()-6)/17)+1))</f>
        <v/>
      </c>
      <c r="Q178" s="20" t="str">
        <f>IF($A178="","",INDEX(Project_Tracker!$K$2:$K$101,INT((ROW()-6)/17)+1))</f>
        <v/>
      </c>
    </row>
    <row r="179" spans="1:17" x14ac:dyDescent="0.2">
      <c r="A179" s="20" t="str">
        <f>IF(INDEX(Project_Tracker!$AL$2:$AL$101,INT((ROW()-6)/17)+1)="","",INDEX(Project_Tracker!$AL$2:$AL$101,INT((ROW()-6)/17)+1))</f>
        <v/>
      </c>
      <c r="B179" s="21" t="str">
        <f>IF($A179="","",INDEX(Project_Tracker!$AM$2:$AM$101,INT((ROW()-6)/17)+1))</f>
        <v/>
      </c>
      <c r="C179" s="20" t="str">
        <f>IF($A179="","",INDEX(Project_Tracker!$C$2:$C$101,INT((ROW()-6)/17)+1))</f>
        <v/>
      </c>
      <c r="D179" s="6" t="str">
        <f>IF($A179="","",INDEX(Project_Tracker!$T$2:$T$101,INT((ROW()-6)/17)+1))</f>
        <v/>
      </c>
      <c r="E179" s="18">
        <f t="shared" si="10"/>
        <v>4</v>
      </c>
      <c r="F179" s="23" t="str">
        <f>IF($A179="","",INDEX('Logic &amp; Lists'!$I$4:$I$20,$E179))</f>
        <v/>
      </c>
      <c r="G179" s="18" t="str">
        <f>IF($A179="","",INDEX('Logic &amp; Lists'!$J$4:$J$20,$E179))</f>
        <v/>
      </c>
      <c r="H179" s="6" t="str">
        <f t="shared" si="11"/>
        <v/>
      </c>
      <c r="I179" s="18" t="str">
        <f t="shared" ca="1" si="12"/>
        <v/>
      </c>
      <c r="J179" s="5" t="str">
        <f t="shared" si="13"/>
        <v/>
      </c>
      <c r="K179" s="25"/>
      <c r="L179" s="5" t="str">
        <f t="shared" si="14"/>
        <v/>
      </c>
      <c r="M179" s="7"/>
      <c r="N179" s="7"/>
      <c r="O179" s="7"/>
      <c r="P179" s="20" t="str">
        <f>IF($A179="","",INDEX(Project_Tracker!$I$2:$I$101,INT((ROW()-6)/17)+1))</f>
        <v/>
      </c>
      <c r="Q179" s="20" t="str">
        <f>IF($A179="","",INDEX(Project_Tracker!$K$2:$K$101,INT((ROW()-6)/17)+1))</f>
        <v/>
      </c>
    </row>
    <row r="180" spans="1:17" x14ac:dyDescent="0.2">
      <c r="A180" s="20" t="str">
        <f>IF(INDEX(Project_Tracker!$AL$2:$AL$101,INT((ROW()-6)/17)+1)="","",INDEX(Project_Tracker!$AL$2:$AL$101,INT((ROW()-6)/17)+1))</f>
        <v/>
      </c>
      <c r="B180" s="21" t="str">
        <f>IF($A180="","",INDEX(Project_Tracker!$AM$2:$AM$101,INT((ROW()-6)/17)+1))</f>
        <v/>
      </c>
      <c r="C180" s="20" t="str">
        <f>IF($A180="","",INDEX(Project_Tracker!$C$2:$C$101,INT((ROW()-6)/17)+1))</f>
        <v/>
      </c>
      <c r="D180" s="6" t="str">
        <f>IF($A180="","",INDEX(Project_Tracker!$T$2:$T$101,INT((ROW()-6)/17)+1))</f>
        <v/>
      </c>
      <c r="E180" s="18">
        <f t="shared" si="10"/>
        <v>5</v>
      </c>
      <c r="F180" s="23" t="str">
        <f>IF($A180="","",INDEX('Logic &amp; Lists'!$I$4:$I$20,$E180))</f>
        <v/>
      </c>
      <c r="G180" s="18" t="str">
        <f>IF($A180="","",INDEX('Logic &amp; Lists'!$J$4:$J$20,$E180))</f>
        <v/>
      </c>
      <c r="H180" s="6" t="str">
        <f t="shared" si="11"/>
        <v/>
      </c>
      <c r="I180" s="18" t="str">
        <f t="shared" ca="1" si="12"/>
        <v/>
      </c>
      <c r="J180" s="5" t="str">
        <f t="shared" si="13"/>
        <v/>
      </c>
      <c r="K180" s="25"/>
      <c r="L180" s="5" t="str">
        <f t="shared" si="14"/>
        <v/>
      </c>
      <c r="M180" s="7"/>
      <c r="N180" s="7"/>
      <c r="O180" s="7"/>
      <c r="P180" s="20" t="str">
        <f>IF($A180="","",INDEX(Project_Tracker!$I$2:$I$101,INT((ROW()-6)/17)+1))</f>
        <v/>
      </c>
      <c r="Q180" s="20" t="str">
        <f>IF($A180="","",INDEX(Project_Tracker!$K$2:$K$101,INT((ROW()-6)/17)+1))</f>
        <v/>
      </c>
    </row>
    <row r="181" spans="1:17" x14ac:dyDescent="0.2">
      <c r="A181" s="20" t="str">
        <f>IF(INDEX(Project_Tracker!$AL$2:$AL$101,INT((ROW()-6)/17)+1)="","",INDEX(Project_Tracker!$AL$2:$AL$101,INT((ROW()-6)/17)+1))</f>
        <v/>
      </c>
      <c r="B181" s="21" t="str">
        <f>IF($A181="","",INDEX(Project_Tracker!$AM$2:$AM$101,INT((ROW()-6)/17)+1))</f>
        <v/>
      </c>
      <c r="C181" s="20" t="str">
        <f>IF($A181="","",INDEX(Project_Tracker!$C$2:$C$101,INT((ROW()-6)/17)+1))</f>
        <v/>
      </c>
      <c r="D181" s="6" t="str">
        <f>IF($A181="","",INDEX(Project_Tracker!$T$2:$T$101,INT((ROW()-6)/17)+1))</f>
        <v/>
      </c>
      <c r="E181" s="18">
        <f t="shared" si="10"/>
        <v>6</v>
      </c>
      <c r="F181" s="23" t="str">
        <f>IF($A181="","",INDEX('Logic &amp; Lists'!$I$4:$I$20,$E181))</f>
        <v/>
      </c>
      <c r="G181" s="18" t="str">
        <f>IF($A181="","",INDEX('Logic &amp; Lists'!$J$4:$J$20,$E181))</f>
        <v/>
      </c>
      <c r="H181" s="6" t="str">
        <f t="shared" si="11"/>
        <v/>
      </c>
      <c r="I181" s="18" t="str">
        <f t="shared" ca="1" si="12"/>
        <v/>
      </c>
      <c r="J181" s="5" t="str">
        <f t="shared" si="13"/>
        <v/>
      </c>
      <c r="K181" s="25"/>
      <c r="L181" s="5" t="str">
        <f t="shared" si="14"/>
        <v/>
      </c>
      <c r="M181" s="7"/>
      <c r="N181" s="7"/>
      <c r="O181" s="7"/>
      <c r="P181" s="20" t="str">
        <f>IF($A181="","",INDEX(Project_Tracker!$I$2:$I$101,INT((ROW()-6)/17)+1))</f>
        <v/>
      </c>
      <c r="Q181" s="20" t="str">
        <f>IF($A181="","",INDEX(Project_Tracker!$K$2:$K$101,INT((ROW()-6)/17)+1))</f>
        <v/>
      </c>
    </row>
    <row r="182" spans="1:17" x14ac:dyDescent="0.2">
      <c r="A182" s="20" t="str">
        <f>IF(INDEX(Project_Tracker!$AL$2:$AL$101,INT((ROW()-6)/17)+1)="","",INDEX(Project_Tracker!$AL$2:$AL$101,INT((ROW()-6)/17)+1))</f>
        <v/>
      </c>
      <c r="B182" s="21" t="str">
        <f>IF($A182="","",INDEX(Project_Tracker!$AM$2:$AM$101,INT((ROW()-6)/17)+1))</f>
        <v/>
      </c>
      <c r="C182" s="20" t="str">
        <f>IF($A182="","",INDEX(Project_Tracker!$C$2:$C$101,INT((ROW()-6)/17)+1))</f>
        <v/>
      </c>
      <c r="D182" s="6" t="str">
        <f>IF($A182="","",INDEX(Project_Tracker!$T$2:$T$101,INT((ROW()-6)/17)+1))</f>
        <v/>
      </c>
      <c r="E182" s="18">
        <f t="shared" si="10"/>
        <v>7</v>
      </c>
      <c r="F182" s="23" t="str">
        <f>IF($A182="","",INDEX('Logic &amp; Lists'!$I$4:$I$20,$E182))</f>
        <v/>
      </c>
      <c r="G182" s="18" t="str">
        <f>IF($A182="","",INDEX('Logic &amp; Lists'!$J$4:$J$20,$E182))</f>
        <v/>
      </c>
      <c r="H182" s="6" t="str">
        <f t="shared" si="11"/>
        <v/>
      </c>
      <c r="I182" s="18" t="str">
        <f t="shared" ca="1" si="12"/>
        <v/>
      </c>
      <c r="J182" s="5" t="str">
        <f t="shared" si="13"/>
        <v/>
      </c>
      <c r="K182" s="25"/>
      <c r="L182" s="5" t="str">
        <f t="shared" si="14"/>
        <v/>
      </c>
      <c r="M182" s="7"/>
      <c r="N182" s="7"/>
      <c r="O182" s="7"/>
      <c r="P182" s="20" t="str">
        <f>IF($A182="","",INDEX(Project_Tracker!$I$2:$I$101,INT((ROW()-6)/17)+1))</f>
        <v/>
      </c>
      <c r="Q182" s="20" t="str">
        <f>IF($A182="","",INDEX(Project_Tracker!$K$2:$K$101,INT((ROW()-6)/17)+1))</f>
        <v/>
      </c>
    </row>
    <row r="183" spans="1:17" x14ac:dyDescent="0.2">
      <c r="A183" s="20" t="str">
        <f>IF(INDEX(Project_Tracker!$AL$2:$AL$101,INT((ROW()-6)/17)+1)="","",INDEX(Project_Tracker!$AL$2:$AL$101,INT((ROW()-6)/17)+1))</f>
        <v/>
      </c>
      <c r="B183" s="21" t="str">
        <f>IF($A183="","",INDEX(Project_Tracker!$AM$2:$AM$101,INT((ROW()-6)/17)+1))</f>
        <v/>
      </c>
      <c r="C183" s="20" t="str">
        <f>IF($A183="","",INDEX(Project_Tracker!$C$2:$C$101,INT((ROW()-6)/17)+1))</f>
        <v/>
      </c>
      <c r="D183" s="6" t="str">
        <f>IF($A183="","",INDEX(Project_Tracker!$T$2:$T$101,INT((ROW()-6)/17)+1))</f>
        <v/>
      </c>
      <c r="E183" s="18">
        <f t="shared" si="10"/>
        <v>8</v>
      </c>
      <c r="F183" s="23" t="str">
        <f>IF($A183="","",INDEX('Logic &amp; Lists'!$I$4:$I$20,$E183))</f>
        <v/>
      </c>
      <c r="G183" s="18" t="str">
        <f>IF($A183="","",INDEX('Logic &amp; Lists'!$J$4:$J$20,$E183))</f>
        <v/>
      </c>
      <c r="H183" s="6" t="str">
        <f t="shared" si="11"/>
        <v/>
      </c>
      <c r="I183" s="18" t="str">
        <f t="shared" ca="1" si="12"/>
        <v/>
      </c>
      <c r="J183" s="5" t="str">
        <f t="shared" si="13"/>
        <v/>
      </c>
      <c r="K183" s="25"/>
      <c r="L183" s="5" t="str">
        <f t="shared" si="14"/>
        <v/>
      </c>
      <c r="M183" s="7"/>
      <c r="N183" s="7"/>
      <c r="O183" s="7"/>
      <c r="P183" s="20" t="str">
        <f>IF($A183="","",INDEX(Project_Tracker!$I$2:$I$101,INT((ROW()-6)/17)+1))</f>
        <v/>
      </c>
      <c r="Q183" s="20" t="str">
        <f>IF($A183="","",INDEX(Project_Tracker!$K$2:$K$101,INT((ROW()-6)/17)+1))</f>
        <v/>
      </c>
    </row>
    <row r="184" spans="1:17" x14ac:dyDescent="0.2">
      <c r="A184" s="20" t="str">
        <f>IF(INDEX(Project_Tracker!$AL$2:$AL$101,INT((ROW()-6)/17)+1)="","",INDEX(Project_Tracker!$AL$2:$AL$101,INT((ROW()-6)/17)+1))</f>
        <v/>
      </c>
      <c r="B184" s="21" t="str">
        <f>IF($A184="","",INDEX(Project_Tracker!$AM$2:$AM$101,INT((ROW()-6)/17)+1))</f>
        <v/>
      </c>
      <c r="C184" s="20" t="str">
        <f>IF($A184="","",INDEX(Project_Tracker!$C$2:$C$101,INT((ROW()-6)/17)+1))</f>
        <v/>
      </c>
      <c r="D184" s="6" t="str">
        <f>IF($A184="","",INDEX(Project_Tracker!$T$2:$T$101,INT((ROW()-6)/17)+1))</f>
        <v/>
      </c>
      <c r="E184" s="18">
        <f t="shared" si="10"/>
        <v>9</v>
      </c>
      <c r="F184" s="23" t="str">
        <f>IF($A184="","",INDEX('Logic &amp; Lists'!$I$4:$I$20,$E184))</f>
        <v/>
      </c>
      <c r="G184" s="18" t="str">
        <f>IF($A184="","",INDEX('Logic &amp; Lists'!$J$4:$J$20,$E184))</f>
        <v/>
      </c>
      <c r="H184" s="6" t="str">
        <f t="shared" si="11"/>
        <v/>
      </c>
      <c r="I184" s="18" t="str">
        <f t="shared" ca="1" si="12"/>
        <v/>
      </c>
      <c r="J184" s="5" t="str">
        <f t="shared" si="13"/>
        <v/>
      </c>
      <c r="K184" s="25"/>
      <c r="L184" s="5" t="str">
        <f t="shared" si="14"/>
        <v/>
      </c>
      <c r="M184" s="7"/>
      <c r="N184" s="7"/>
      <c r="O184" s="7"/>
      <c r="P184" s="20" t="str">
        <f>IF($A184="","",INDEX(Project_Tracker!$I$2:$I$101,INT((ROW()-6)/17)+1))</f>
        <v/>
      </c>
      <c r="Q184" s="20" t="str">
        <f>IF($A184="","",INDEX(Project_Tracker!$K$2:$K$101,INT((ROW()-6)/17)+1))</f>
        <v/>
      </c>
    </row>
    <row r="185" spans="1:17" x14ac:dyDescent="0.2">
      <c r="A185" s="20" t="str">
        <f>IF(INDEX(Project_Tracker!$AL$2:$AL$101,INT((ROW()-6)/17)+1)="","",INDEX(Project_Tracker!$AL$2:$AL$101,INT((ROW()-6)/17)+1))</f>
        <v/>
      </c>
      <c r="B185" s="21" t="str">
        <f>IF($A185="","",INDEX(Project_Tracker!$AM$2:$AM$101,INT((ROW()-6)/17)+1))</f>
        <v/>
      </c>
      <c r="C185" s="20" t="str">
        <f>IF($A185="","",INDEX(Project_Tracker!$C$2:$C$101,INT((ROW()-6)/17)+1))</f>
        <v/>
      </c>
      <c r="D185" s="6" t="str">
        <f>IF($A185="","",INDEX(Project_Tracker!$T$2:$T$101,INT((ROW()-6)/17)+1))</f>
        <v/>
      </c>
      <c r="E185" s="18">
        <f t="shared" si="10"/>
        <v>10</v>
      </c>
      <c r="F185" s="23" t="str">
        <f>IF($A185="","",INDEX('Logic &amp; Lists'!$I$4:$I$20,$E185))</f>
        <v/>
      </c>
      <c r="G185" s="18" t="str">
        <f>IF($A185="","",INDEX('Logic &amp; Lists'!$J$4:$J$20,$E185))</f>
        <v/>
      </c>
      <c r="H185" s="6" t="str">
        <f t="shared" si="11"/>
        <v/>
      </c>
      <c r="I185" s="18" t="str">
        <f t="shared" ca="1" si="12"/>
        <v/>
      </c>
      <c r="J185" s="5" t="str">
        <f t="shared" si="13"/>
        <v/>
      </c>
      <c r="K185" s="25"/>
      <c r="L185" s="5" t="str">
        <f t="shared" si="14"/>
        <v/>
      </c>
      <c r="M185" s="7"/>
      <c r="N185" s="7"/>
      <c r="O185" s="7"/>
      <c r="P185" s="20" t="str">
        <f>IF($A185="","",INDEX(Project_Tracker!$I$2:$I$101,INT((ROW()-6)/17)+1))</f>
        <v/>
      </c>
      <c r="Q185" s="20" t="str">
        <f>IF($A185="","",INDEX(Project_Tracker!$K$2:$K$101,INT((ROW()-6)/17)+1))</f>
        <v/>
      </c>
    </row>
    <row r="186" spans="1:17" x14ac:dyDescent="0.2">
      <c r="A186" s="20" t="str">
        <f>IF(INDEX(Project_Tracker!$AL$2:$AL$101,INT((ROW()-6)/17)+1)="","",INDEX(Project_Tracker!$AL$2:$AL$101,INT((ROW()-6)/17)+1))</f>
        <v/>
      </c>
      <c r="B186" s="21" t="str">
        <f>IF($A186="","",INDEX(Project_Tracker!$AM$2:$AM$101,INT((ROW()-6)/17)+1))</f>
        <v/>
      </c>
      <c r="C186" s="20" t="str">
        <f>IF($A186="","",INDEX(Project_Tracker!$C$2:$C$101,INT((ROW()-6)/17)+1))</f>
        <v/>
      </c>
      <c r="D186" s="6" t="str">
        <f>IF($A186="","",INDEX(Project_Tracker!$T$2:$T$101,INT((ROW()-6)/17)+1))</f>
        <v/>
      </c>
      <c r="E186" s="18">
        <f t="shared" si="10"/>
        <v>11</v>
      </c>
      <c r="F186" s="23" t="str">
        <f>IF($A186="","",INDEX('Logic &amp; Lists'!$I$4:$I$20,$E186))</f>
        <v/>
      </c>
      <c r="G186" s="18" t="str">
        <f>IF($A186="","",INDEX('Logic &amp; Lists'!$J$4:$J$20,$E186))</f>
        <v/>
      </c>
      <c r="H186" s="6" t="str">
        <f t="shared" si="11"/>
        <v/>
      </c>
      <c r="I186" s="18" t="str">
        <f t="shared" ca="1" si="12"/>
        <v/>
      </c>
      <c r="J186" s="5" t="str">
        <f t="shared" si="13"/>
        <v/>
      </c>
      <c r="K186" s="25"/>
      <c r="L186" s="5" t="str">
        <f t="shared" si="14"/>
        <v/>
      </c>
      <c r="M186" s="7"/>
      <c r="N186" s="7"/>
      <c r="O186" s="7"/>
      <c r="P186" s="20" t="str">
        <f>IF($A186="","",INDEX(Project_Tracker!$I$2:$I$101,INT((ROW()-6)/17)+1))</f>
        <v/>
      </c>
      <c r="Q186" s="20" t="str">
        <f>IF($A186="","",INDEX(Project_Tracker!$K$2:$K$101,INT((ROW()-6)/17)+1))</f>
        <v/>
      </c>
    </row>
    <row r="187" spans="1:17" x14ac:dyDescent="0.2">
      <c r="A187" s="20" t="str">
        <f>IF(INDEX(Project_Tracker!$AL$2:$AL$101,INT((ROW()-6)/17)+1)="","",INDEX(Project_Tracker!$AL$2:$AL$101,INT((ROW()-6)/17)+1))</f>
        <v/>
      </c>
      <c r="B187" s="21" t="str">
        <f>IF($A187="","",INDEX(Project_Tracker!$AM$2:$AM$101,INT((ROW()-6)/17)+1))</f>
        <v/>
      </c>
      <c r="C187" s="20" t="str">
        <f>IF($A187="","",INDEX(Project_Tracker!$C$2:$C$101,INT((ROW()-6)/17)+1))</f>
        <v/>
      </c>
      <c r="D187" s="6" t="str">
        <f>IF($A187="","",INDEX(Project_Tracker!$T$2:$T$101,INT((ROW()-6)/17)+1))</f>
        <v/>
      </c>
      <c r="E187" s="18">
        <f t="shared" si="10"/>
        <v>12</v>
      </c>
      <c r="F187" s="23" t="str">
        <f>IF($A187="","",INDEX('Logic &amp; Lists'!$I$4:$I$20,$E187))</f>
        <v/>
      </c>
      <c r="G187" s="18" t="str">
        <f>IF($A187="","",INDEX('Logic &amp; Lists'!$J$4:$J$20,$E187))</f>
        <v/>
      </c>
      <c r="H187" s="6" t="str">
        <f t="shared" si="11"/>
        <v/>
      </c>
      <c r="I187" s="18" t="str">
        <f t="shared" ca="1" si="12"/>
        <v/>
      </c>
      <c r="J187" s="5" t="str">
        <f t="shared" si="13"/>
        <v/>
      </c>
      <c r="K187" s="25"/>
      <c r="L187" s="5" t="str">
        <f t="shared" si="14"/>
        <v/>
      </c>
      <c r="M187" s="7"/>
      <c r="N187" s="7"/>
      <c r="O187" s="7"/>
      <c r="P187" s="20" t="str">
        <f>IF($A187="","",INDEX(Project_Tracker!$I$2:$I$101,INT((ROW()-6)/17)+1))</f>
        <v/>
      </c>
      <c r="Q187" s="20" t="str">
        <f>IF($A187="","",INDEX(Project_Tracker!$K$2:$K$101,INT((ROW()-6)/17)+1))</f>
        <v/>
      </c>
    </row>
    <row r="188" spans="1:17" x14ac:dyDescent="0.2">
      <c r="A188" s="20" t="str">
        <f>IF(INDEX(Project_Tracker!$AL$2:$AL$101,INT((ROW()-6)/17)+1)="","",INDEX(Project_Tracker!$AL$2:$AL$101,INT((ROW()-6)/17)+1))</f>
        <v/>
      </c>
      <c r="B188" s="21" t="str">
        <f>IF($A188="","",INDEX(Project_Tracker!$AM$2:$AM$101,INT((ROW()-6)/17)+1))</f>
        <v/>
      </c>
      <c r="C188" s="20" t="str">
        <f>IF($A188="","",INDEX(Project_Tracker!$C$2:$C$101,INT((ROW()-6)/17)+1))</f>
        <v/>
      </c>
      <c r="D188" s="6" t="str">
        <f>IF($A188="","",INDEX(Project_Tracker!$T$2:$T$101,INT((ROW()-6)/17)+1))</f>
        <v/>
      </c>
      <c r="E188" s="18">
        <f t="shared" si="10"/>
        <v>13</v>
      </c>
      <c r="F188" s="23" t="str">
        <f>IF($A188="","",INDEX('Logic &amp; Lists'!$I$4:$I$20,$E188))</f>
        <v/>
      </c>
      <c r="G188" s="18" t="str">
        <f>IF($A188="","",INDEX('Logic &amp; Lists'!$J$4:$J$20,$E188))</f>
        <v/>
      </c>
      <c r="H188" s="6" t="str">
        <f t="shared" si="11"/>
        <v/>
      </c>
      <c r="I188" s="18" t="str">
        <f t="shared" ca="1" si="12"/>
        <v/>
      </c>
      <c r="J188" s="5" t="str">
        <f t="shared" si="13"/>
        <v/>
      </c>
      <c r="K188" s="25"/>
      <c r="L188" s="5" t="str">
        <f t="shared" si="14"/>
        <v/>
      </c>
      <c r="M188" s="7"/>
      <c r="N188" s="7"/>
      <c r="O188" s="7"/>
      <c r="P188" s="20" t="str">
        <f>IF($A188="","",INDEX(Project_Tracker!$I$2:$I$101,INT((ROW()-6)/17)+1))</f>
        <v/>
      </c>
      <c r="Q188" s="20" t="str">
        <f>IF($A188="","",INDEX(Project_Tracker!$K$2:$K$101,INT((ROW()-6)/17)+1))</f>
        <v/>
      </c>
    </row>
    <row r="189" spans="1:17" x14ac:dyDescent="0.2">
      <c r="A189" s="20" t="str">
        <f>IF(INDEX(Project_Tracker!$AL$2:$AL$101,INT((ROW()-6)/17)+1)="","",INDEX(Project_Tracker!$AL$2:$AL$101,INT((ROW()-6)/17)+1))</f>
        <v/>
      </c>
      <c r="B189" s="21" t="str">
        <f>IF($A189="","",INDEX(Project_Tracker!$AM$2:$AM$101,INT((ROW()-6)/17)+1))</f>
        <v/>
      </c>
      <c r="C189" s="20" t="str">
        <f>IF($A189="","",INDEX(Project_Tracker!$C$2:$C$101,INT((ROW()-6)/17)+1))</f>
        <v/>
      </c>
      <c r="D189" s="6" t="str">
        <f>IF($A189="","",INDEX(Project_Tracker!$T$2:$T$101,INT((ROW()-6)/17)+1))</f>
        <v/>
      </c>
      <c r="E189" s="18">
        <f t="shared" si="10"/>
        <v>14</v>
      </c>
      <c r="F189" s="23" t="str">
        <f>IF($A189="","",INDEX('Logic &amp; Lists'!$I$4:$I$20,$E189))</f>
        <v/>
      </c>
      <c r="G189" s="18" t="str">
        <f>IF($A189="","",INDEX('Logic &amp; Lists'!$J$4:$J$20,$E189))</f>
        <v/>
      </c>
      <c r="H189" s="6" t="str">
        <f t="shared" si="11"/>
        <v/>
      </c>
      <c r="I189" s="18" t="str">
        <f t="shared" ca="1" si="12"/>
        <v/>
      </c>
      <c r="J189" s="5" t="str">
        <f t="shared" si="13"/>
        <v/>
      </c>
      <c r="K189" s="25"/>
      <c r="L189" s="5" t="str">
        <f t="shared" si="14"/>
        <v/>
      </c>
      <c r="M189" s="7"/>
      <c r="N189" s="7"/>
      <c r="O189" s="7"/>
      <c r="P189" s="20" t="str">
        <f>IF($A189="","",INDEX(Project_Tracker!$I$2:$I$101,INT((ROW()-6)/17)+1))</f>
        <v/>
      </c>
      <c r="Q189" s="20" t="str">
        <f>IF($A189="","",INDEX(Project_Tracker!$K$2:$K$101,INT((ROW()-6)/17)+1))</f>
        <v/>
      </c>
    </row>
    <row r="190" spans="1:17" x14ac:dyDescent="0.2">
      <c r="A190" s="20" t="str">
        <f>IF(INDEX(Project_Tracker!$AL$2:$AL$101,INT((ROW()-6)/17)+1)="","",INDEX(Project_Tracker!$AL$2:$AL$101,INT((ROW()-6)/17)+1))</f>
        <v/>
      </c>
      <c r="B190" s="21" t="str">
        <f>IF($A190="","",INDEX(Project_Tracker!$AM$2:$AM$101,INT((ROW()-6)/17)+1))</f>
        <v/>
      </c>
      <c r="C190" s="20" t="str">
        <f>IF($A190="","",INDEX(Project_Tracker!$C$2:$C$101,INT((ROW()-6)/17)+1))</f>
        <v/>
      </c>
      <c r="D190" s="6" t="str">
        <f>IF($A190="","",INDEX(Project_Tracker!$T$2:$T$101,INT((ROW()-6)/17)+1))</f>
        <v/>
      </c>
      <c r="E190" s="18">
        <f t="shared" si="10"/>
        <v>15</v>
      </c>
      <c r="F190" s="23" t="str">
        <f>IF($A190="","",INDEX('Logic &amp; Lists'!$I$4:$I$20,$E190))</f>
        <v/>
      </c>
      <c r="G190" s="18" t="str">
        <f>IF($A190="","",INDEX('Logic &amp; Lists'!$J$4:$J$20,$E190))</f>
        <v/>
      </c>
      <c r="H190" s="6" t="str">
        <f t="shared" si="11"/>
        <v/>
      </c>
      <c r="I190" s="18" t="str">
        <f t="shared" ca="1" si="12"/>
        <v/>
      </c>
      <c r="J190" s="5" t="str">
        <f t="shared" si="13"/>
        <v/>
      </c>
      <c r="K190" s="25"/>
      <c r="L190" s="5" t="str">
        <f t="shared" si="14"/>
        <v/>
      </c>
      <c r="M190" s="7"/>
      <c r="N190" s="7"/>
      <c r="O190" s="7"/>
      <c r="P190" s="20" t="str">
        <f>IF($A190="","",INDEX(Project_Tracker!$I$2:$I$101,INT((ROW()-6)/17)+1))</f>
        <v/>
      </c>
      <c r="Q190" s="20" t="str">
        <f>IF($A190="","",INDEX(Project_Tracker!$K$2:$K$101,INT((ROW()-6)/17)+1))</f>
        <v/>
      </c>
    </row>
    <row r="191" spans="1:17" x14ac:dyDescent="0.2">
      <c r="A191" s="20" t="str">
        <f>IF(INDEX(Project_Tracker!$AL$2:$AL$101,INT((ROW()-6)/17)+1)="","",INDEX(Project_Tracker!$AL$2:$AL$101,INT((ROW()-6)/17)+1))</f>
        <v/>
      </c>
      <c r="B191" s="21" t="str">
        <f>IF($A191="","",INDEX(Project_Tracker!$AM$2:$AM$101,INT((ROW()-6)/17)+1))</f>
        <v/>
      </c>
      <c r="C191" s="20" t="str">
        <f>IF($A191="","",INDEX(Project_Tracker!$C$2:$C$101,INT((ROW()-6)/17)+1))</f>
        <v/>
      </c>
      <c r="D191" s="6" t="str">
        <f>IF($A191="","",INDEX(Project_Tracker!$T$2:$T$101,INT((ROW()-6)/17)+1))</f>
        <v/>
      </c>
      <c r="E191" s="18">
        <f t="shared" si="10"/>
        <v>16</v>
      </c>
      <c r="F191" s="23" t="str">
        <f>IF($A191="","",INDEX('Logic &amp; Lists'!$I$4:$I$20,$E191))</f>
        <v/>
      </c>
      <c r="G191" s="18" t="str">
        <f>IF($A191="","",INDEX('Logic &amp; Lists'!$J$4:$J$20,$E191))</f>
        <v/>
      </c>
      <c r="H191" s="6" t="str">
        <f t="shared" si="11"/>
        <v/>
      </c>
      <c r="I191" s="18" t="str">
        <f t="shared" ca="1" si="12"/>
        <v/>
      </c>
      <c r="J191" s="5" t="str">
        <f t="shared" si="13"/>
        <v/>
      </c>
      <c r="K191" s="25"/>
      <c r="L191" s="5" t="str">
        <f t="shared" si="14"/>
        <v/>
      </c>
      <c r="M191" s="7"/>
      <c r="N191" s="7"/>
      <c r="O191" s="7"/>
      <c r="P191" s="20" t="str">
        <f>IF($A191="","",INDEX(Project_Tracker!$I$2:$I$101,INT((ROW()-6)/17)+1))</f>
        <v/>
      </c>
      <c r="Q191" s="20" t="str">
        <f>IF($A191="","",INDEX(Project_Tracker!$K$2:$K$101,INT((ROW()-6)/17)+1))</f>
        <v/>
      </c>
    </row>
    <row r="192" spans="1:17" x14ac:dyDescent="0.2">
      <c r="A192" s="20" t="str">
        <f>IF(INDEX(Project_Tracker!$AL$2:$AL$101,INT((ROW()-6)/17)+1)="","",INDEX(Project_Tracker!$AL$2:$AL$101,INT((ROW()-6)/17)+1))</f>
        <v/>
      </c>
      <c r="B192" s="21" t="str">
        <f>IF($A192="","",INDEX(Project_Tracker!$AM$2:$AM$101,INT((ROW()-6)/17)+1))</f>
        <v/>
      </c>
      <c r="C192" s="20" t="str">
        <f>IF($A192="","",INDEX(Project_Tracker!$C$2:$C$101,INT((ROW()-6)/17)+1))</f>
        <v/>
      </c>
      <c r="D192" s="6" t="str">
        <f>IF($A192="","",INDEX(Project_Tracker!$T$2:$T$101,INT((ROW()-6)/17)+1))</f>
        <v/>
      </c>
      <c r="E192" s="18">
        <f t="shared" si="10"/>
        <v>17</v>
      </c>
      <c r="F192" s="23" t="str">
        <f>IF($A192="","",INDEX('Logic &amp; Lists'!$I$4:$I$20,$E192))</f>
        <v/>
      </c>
      <c r="G192" s="18" t="str">
        <f>IF($A192="","",INDEX('Logic &amp; Lists'!$J$4:$J$20,$E192))</f>
        <v/>
      </c>
      <c r="H192" s="6" t="str">
        <f t="shared" si="11"/>
        <v/>
      </c>
      <c r="I192" s="18" t="str">
        <f t="shared" ca="1" si="12"/>
        <v/>
      </c>
      <c r="J192" s="5" t="str">
        <f t="shared" si="13"/>
        <v/>
      </c>
      <c r="K192" s="25"/>
      <c r="L192" s="5" t="str">
        <f t="shared" si="14"/>
        <v/>
      </c>
      <c r="M192" s="7"/>
      <c r="N192" s="7"/>
      <c r="O192" s="7"/>
      <c r="P192" s="20" t="str">
        <f>IF($A192="","",INDEX(Project_Tracker!$I$2:$I$101,INT((ROW()-6)/17)+1))</f>
        <v/>
      </c>
      <c r="Q192" s="20" t="str">
        <f>IF($A192="","",INDEX(Project_Tracker!$K$2:$K$101,INT((ROW()-6)/17)+1))</f>
        <v/>
      </c>
    </row>
    <row r="193" spans="1:17" x14ac:dyDescent="0.2">
      <c r="A193" s="20" t="str">
        <f>IF(INDEX(Project_Tracker!$AL$2:$AL$101,INT((ROW()-6)/17)+1)="","",INDEX(Project_Tracker!$AL$2:$AL$101,INT((ROW()-6)/17)+1))</f>
        <v/>
      </c>
      <c r="B193" s="21" t="str">
        <f>IF($A193="","",INDEX(Project_Tracker!$AM$2:$AM$101,INT((ROW()-6)/17)+1))</f>
        <v/>
      </c>
      <c r="C193" s="20" t="str">
        <f>IF($A193="","",INDEX(Project_Tracker!$C$2:$C$101,INT((ROW()-6)/17)+1))</f>
        <v/>
      </c>
      <c r="D193" s="6" t="str">
        <f>IF($A193="","",INDEX(Project_Tracker!$T$2:$T$101,INT((ROW()-6)/17)+1))</f>
        <v/>
      </c>
      <c r="E193" s="18">
        <f t="shared" si="10"/>
        <v>1</v>
      </c>
      <c r="F193" s="23" t="str">
        <f>IF($A193="","",INDEX('Logic &amp; Lists'!$I$4:$I$20,$E193))</f>
        <v/>
      </c>
      <c r="G193" s="18" t="str">
        <f>IF($A193="","",INDEX('Logic &amp; Lists'!$J$4:$J$20,$E193))</f>
        <v/>
      </c>
      <c r="H193" s="6" t="str">
        <f t="shared" si="11"/>
        <v/>
      </c>
      <c r="I193" s="18" t="str">
        <f t="shared" ca="1" si="12"/>
        <v/>
      </c>
      <c r="J193" s="5" t="str">
        <f t="shared" si="13"/>
        <v/>
      </c>
      <c r="K193" s="25"/>
      <c r="L193" s="5" t="str">
        <f t="shared" si="14"/>
        <v/>
      </c>
      <c r="M193" s="7"/>
      <c r="N193" s="7"/>
      <c r="O193" s="7"/>
      <c r="P193" s="20" t="str">
        <f>IF($A193="","",INDEX(Project_Tracker!$I$2:$I$101,INT((ROW()-6)/17)+1))</f>
        <v/>
      </c>
      <c r="Q193" s="20" t="str">
        <f>IF($A193="","",INDEX(Project_Tracker!$K$2:$K$101,INT((ROW()-6)/17)+1))</f>
        <v/>
      </c>
    </row>
    <row r="194" spans="1:17" x14ac:dyDescent="0.2">
      <c r="A194" s="20" t="str">
        <f>IF(INDEX(Project_Tracker!$AL$2:$AL$101,INT((ROW()-6)/17)+1)="","",INDEX(Project_Tracker!$AL$2:$AL$101,INT((ROW()-6)/17)+1))</f>
        <v/>
      </c>
      <c r="B194" s="21" t="str">
        <f>IF($A194="","",INDEX(Project_Tracker!$AM$2:$AM$101,INT((ROW()-6)/17)+1))</f>
        <v/>
      </c>
      <c r="C194" s="20" t="str">
        <f>IF($A194="","",INDEX(Project_Tracker!$C$2:$C$101,INT((ROW()-6)/17)+1))</f>
        <v/>
      </c>
      <c r="D194" s="6" t="str">
        <f>IF($A194="","",INDEX(Project_Tracker!$T$2:$T$101,INT((ROW()-6)/17)+1))</f>
        <v/>
      </c>
      <c r="E194" s="18">
        <f t="shared" si="10"/>
        <v>2</v>
      </c>
      <c r="F194" s="23" t="str">
        <f>IF($A194="","",INDEX('Logic &amp; Lists'!$I$4:$I$20,$E194))</f>
        <v/>
      </c>
      <c r="G194" s="18" t="str">
        <f>IF($A194="","",INDEX('Logic &amp; Lists'!$J$4:$J$20,$E194))</f>
        <v/>
      </c>
      <c r="H194" s="6" t="str">
        <f t="shared" si="11"/>
        <v/>
      </c>
      <c r="I194" s="18" t="str">
        <f t="shared" ca="1" si="12"/>
        <v/>
      </c>
      <c r="J194" s="5" t="str">
        <f t="shared" si="13"/>
        <v/>
      </c>
      <c r="K194" s="25"/>
      <c r="L194" s="5" t="str">
        <f t="shared" si="14"/>
        <v/>
      </c>
      <c r="M194" s="7"/>
      <c r="N194" s="7"/>
      <c r="O194" s="7"/>
      <c r="P194" s="20" t="str">
        <f>IF($A194="","",INDEX(Project_Tracker!$I$2:$I$101,INT((ROW()-6)/17)+1))</f>
        <v/>
      </c>
      <c r="Q194" s="20" t="str">
        <f>IF($A194="","",INDEX(Project_Tracker!$K$2:$K$101,INT((ROW()-6)/17)+1))</f>
        <v/>
      </c>
    </row>
    <row r="195" spans="1:17" x14ac:dyDescent="0.2">
      <c r="A195" s="20" t="str">
        <f>IF(INDEX(Project_Tracker!$AL$2:$AL$101,INT((ROW()-6)/17)+1)="","",INDEX(Project_Tracker!$AL$2:$AL$101,INT((ROW()-6)/17)+1))</f>
        <v/>
      </c>
      <c r="B195" s="21" t="str">
        <f>IF($A195="","",INDEX(Project_Tracker!$AM$2:$AM$101,INT((ROW()-6)/17)+1))</f>
        <v/>
      </c>
      <c r="C195" s="20" t="str">
        <f>IF($A195="","",INDEX(Project_Tracker!$C$2:$C$101,INT((ROW()-6)/17)+1))</f>
        <v/>
      </c>
      <c r="D195" s="6" t="str">
        <f>IF($A195="","",INDEX(Project_Tracker!$T$2:$T$101,INT((ROW()-6)/17)+1))</f>
        <v/>
      </c>
      <c r="E195" s="18">
        <f t="shared" si="10"/>
        <v>3</v>
      </c>
      <c r="F195" s="23" t="str">
        <f>IF($A195="","",INDEX('Logic &amp; Lists'!$I$4:$I$20,$E195))</f>
        <v/>
      </c>
      <c r="G195" s="18" t="str">
        <f>IF($A195="","",INDEX('Logic &amp; Lists'!$J$4:$J$20,$E195))</f>
        <v/>
      </c>
      <c r="H195" s="6" t="str">
        <f t="shared" si="11"/>
        <v/>
      </c>
      <c r="I195" s="18" t="str">
        <f t="shared" ca="1" si="12"/>
        <v/>
      </c>
      <c r="J195" s="5" t="str">
        <f t="shared" si="13"/>
        <v/>
      </c>
      <c r="K195" s="25"/>
      <c r="L195" s="5" t="str">
        <f t="shared" si="14"/>
        <v/>
      </c>
      <c r="M195" s="7"/>
      <c r="N195" s="7"/>
      <c r="O195" s="7"/>
      <c r="P195" s="20" t="str">
        <f>IF($A195="","",INDEX(Project_Tracker!$I$2:$I$101,INT((ROW()-6)/17)+1))</f>
        <v/>
      </c>
      <c r="Q195" s="20" t="str">
        <f>IF($A195="","",INDEX(Project_Tracker!$K$2:$K$101,INT((ROW()-6)/17)+1))</f>
        <v/>
      </c>
    </row>
    <row r="196" spans="1:17" x14ac:dyDescent="0.2">
      <c r="A196" s="20" t="str">
        <f>IF(INDEX(Project_Tracker!$AL$2:$AL$101,INT((ROW()-6)/17)+1)="","",INDEX(Project_Tracker!$AL$2:$AL$101,INT((ROW()-6)/17)+1))</f>
        <v/>
      </c>
      <c r="B196" s="21" t="str">
        <f>IF($A196="","",INDEX(Project_Tracker!$AM$2:$AM$101,INT((ROW()-6)/17)+1))</f>
        <v/>
      </c>
      <c r="C196" s="20" t="str">
        <f>IF($A196="","",INDEX(Project_Tracker!$C$2:$C$101,INT((ROW()-6)/17)+1))</f>
        <v/>
      </c>
      <c r="D196" s="6" t="str">
        <f>IF($A196="","",INDEX(Project_Tracker!$T$2:$T$101,INT((ROW()-6)/17)+1))</f>
        <v/>
      </c>
      <c r="E196" s="18">
        <f t="shared" si="10"/>
        <v>4</v>
      </c>
      <c r="F196" s="23" t="str">
        <f>IF($A196="","",INDEX('Logic &amp; Lists'!$I$4:$I$20,$E196))</f>
        <v/>
      </c>
      <c r="G196" s="18" t="str">
        <f>IF($A196="","",INDEX('Logic &amp; Lists'!$J$4:$J$20,$E196))</f>
        <v/>
      </c>
      <c r="H196" s="6" t="str">
        <f t="shared" si="11"/>
        <v/>
      </c>
      <c r="I196" s="18" t="str">
        <f t="shared" ca="1" si="12"/>
        <v/>
      </c>
      <c r="J196" s="5" t="str">
        <f t="shared" si="13"/>
        <v/>
      </c>
      <c r="K196" s="25"/>
      <c r="L196" s="5" t="str">
        <f t="shared" si="14"/>
        <v/>
      </c>
      <c r="M196" s="7"/>
      <c r="N196" s="7"/>
      <c r="O196" s="7"/>
      <c r="P196" s="20" t="str">
        <f>IF($A196="","",INDEX(Project_Tracker!$I$2:$I$101,INT((ROW()-6)/17)+1))</f>
        <v/>
      </c>
      <c r="Q196" s="20" t="str">
        <f>IF($A196="","",INDEX(Project_Tracker!$K$2:$K$101,INT((ROW()-6)/17)+1))</f>
        <v/>
      </c>
    </row>
    <row r="197" spans="1:17" x14ac:dyDescent="0.2">
      <c r="A197" s="20" t="str">
        <f>IF(INDEX(Project_Tracker!$AL$2:$AL$101,INT((ROW()-6)/17)+1)="","",INDEX(Project_Tracker!$AL$2:$AL$101,INT((ROW()-6)/17)+1))</f>
        <v/>
      </c>
      <c r="B197" s="21" t="str">
        <f>IF($A197="","",INDEX(Project_Tracker!$AM$2:$AM$101,INT((ROW()-6)/17)+1))</f>
        <v/>
      </c>
      <c r="C197" s="20" t="str">
        <f>IF($A197="","",INDEX(Project_Tracker!$C$2:$C$101,INT((ROW()-6)/17)+1))</f>
        <v/>
      </c>
      <c r="D197" s="6" t="str">
        <f>IF($A197="","",INDEX(Project_Tracker!$T$2:$T$101,INT((ROW()-6)/17)+1))</f>
        <v/>
      </c>
      <c r="E197" s="18">
        <f t="shared" si="10"/>
        <v>5</v>
      </c>
      <c r="F197" s="23" t="str">
        <f>IF($A197="","",INDEX('Logic &amp; Lists'!$I$4:$I$20,$E197))</f>
        <v/>
      </c>
      <c r="G197" s="18" t="str">
        <f>IF($A197="","",INDEX('Logic &amp; Lists'!$J$4:$J$20,$E197))</f>
        <v/>
      </c>
      <c r="H197" s="6" t="str">
        <f t="shared" si="11"/>
        <v/>
      </c>
      <c r="I197" s="18" t="str">
        <f t="shared" ca="1" si="12"/>
        <v/>
      </c>
      <c r="J197" s="5" t="str">
        <f t="shared" si="13"/>
        <v/>
      </c>
      <c r="K197" s="25"/>
      <c r="L197" s="5" t="str">
        <f t="shared" si="14"/>
        <v/>
      </c>
      <c r="M197" s="7"/>
      <c r="N197" s="7"/>
      <c r="O197" s="7"/>
      <c r="P197" s="20" t="str">
        <f>IF($A197="","",INDEX(Project_Tracker!$I$2:$I$101,INT((ROW()-6)/17)+1))</f>
        <v/>
      </c>
      <c r="Q197" s="20" t="str">
        <f>IF($A197="","",INDEX(Project_Tracker!$K$2:$K$101,INT((ROW()-6)/17)+1))</f>
        <v/>
      </c>
    </row>
    <row r="198" spans="1:17" x14ac:dyDescent="0.2">
      <c r="A198" s="20" t="str">
        <f>IF(INDEX(Project_Tracker!$AL$2:$AL$101,INT((ROW()-6)/17)+1)="","",INDEX(Project_Tracker!$AL$2:$AL$101,INT((ROW()-6)/17)+1))</f>
        <v/>
      </c>
      <c r="B198" s="21" t="str">
        <f>IF($A198="","",INDEX(Project_Tracker!$AM$2:$AM$101,INT((ROW()-6)/17)+1))</f>
        <v/>
      </c>
      <c r="C198" s="20" t="str">
        <f>IF($A198="","",INDEX(Project_Tracker!$C$2:$C$101,INT((ROW()-6)/17)+1))</f>
        <v/>
      </c>
      <c r="D198" s="6" t="str">
        <f>IF($A198="","",INDEX(Project_Tracker!$T$2:$T$101,INT((ROW()-6)/17)+1))</f>
        <v/>
      </c>
      <c r="E198" s="18">
        <f t="shared" ref="E198:E261" si="15">MOD(ROW()-6,17)+1</f>
        <v>6</v>
      </c>
      <c r="F198" s="23" t="str">
        <f>IF($A198="","",INDEX('Logic &amp; Lists'!$I$4:$I$20,$E198))</f>
        <v/>
      </c>
      <c r="G198" s="18" t="str">
        <f>IF($A198="","",INDEX('Logic &amp; Lists'!$J$4:$J$20,$E198))</f>
        <v/>
      </c>
      <c r="H198" s="6" t="str">
        <f t="shared" ref="H198:H261" si="16">IF($D198="","",$D198-$G198)</f>
        <v/>
      </c>
      <c r="I198" s="18" t="str">
        <f t="shared" ref="I198:I261" ca="1" si="17">IF($H198="","",$H198-TODAY())</f>
        <v/>
      </c>
      <c r="J198" s="5" t="str">
        <f t="shared" ref="J198:J261" si="18">IF($A198="","",IF($K198&lt;&gt;"","ORDERED",IF($I198&lt;0,"OVERDUE",IF($I198&lt;=7,"URGENT",IF($I198&lt;=14,"PREPARE","OK")))))</f>
        <v/>
      </c>
      <c r="K198" s="25"/>
      <c r="L198" s="5" t="str">
        <f t="shared" ref="L198:L261" si="19">IF($A198="","",IF($K198="",$J198,IF($K198&lt;=$H198,"Ordered On Time","Ordered Late")))</f>
        <v/>
      </c>
      <c r="M198" s="7"/>
      <c r="N198" s="7"/>
      <c r="O198" s="7"/>
      <c r="P198" s="20" t="str">
        <f>IF($A198="","",INDEX(Project_Tracker!$I$2:$I$101,INT((ROW()-6)/17)+1))</f>
        <v/>
      </c>
      <c r="Q198" s="20" t="str">
        <f>IF($A198="","",INDEX(Project_Tracker!$K$2:$K$101,INT((ROW()-6)/17)+1))</f>
        <v/>
      </c>
    </row>
    <row r="199" spans="1:17" x14ac:dyDescent="0.2">
      <c r="A199" s="20" t="str">
        <f>IF(INDEX(Project_Tracker!$AL$2:$AL$101,INT((ROW()-6)/17)+1)="","",INDEX(Project_Tracker!$AL$2:$AL$101,INT((ROW()-6)/17)+1))</f>
        <v/>
      </c>
      <c r="B199" s="21" t="str">
        <f>IF($A199="","",INDEX(Project_Tracker!$AM$2:$AM$101,INT((ROW()-6)/17)+1))</f>
        <v/>
      </c>
      <c r="C199" s="20" t="str">
        <f>IF($A199="","",INDEX(Project_Tracker!$C$2:$C$101,INT((ROW()-6)/17)+1))</f>
        <v/>
      </c>
      <c r="D199" s="6" t="str">
        <f>IF($A199="","",INDEX(Project_Tracker!$T$2:$T$101,INT((ROW()-6)/17)+1))</f>
        <v/>
      </c>
      <c r="E199" s="18">
        <f t="shared" si="15"/>
        <v>7</v>
      </c>
      <c r="F199" s="23" t="str">
        <f>IF($A199="","",INDEX('Logic &amp; Lists'!$I$4:$I$20,$E199))</f>
        <v/>
      </c>
      <c r="G199" s="18" t="str">
        <f>IF($A199="","",INDEX('Logic &amp; Lists'!$J$4:$J$20,$E199))</f>
        <v/>
      </c>
      <c r="H199" s="6" t="str">
        <f t="shared" si="16"/>
        <v/>
      </c>
      <c r="I199" s="18" t="str">
        <f t="shared" ca="1" si="17"/>
        <v/>
      </c>
      <c r="J199" s="5" t="str">
        <f t="shared" si="18"/>
        <v/>
      </c>
      <c r="K199" s="25"/>
      <c r="L199" s="5" t="str">
        <f t="shared" si="19"/>
        <v/>
      </c>
      <c r="M199" s="7"/>
      <c r="N199" s="7"/>
      <c r="O199" s="7"/>
      <c r="P199" s="20" t="str">
        <f>IF($A199="","",INDEX(Project_Tracker!$I$2:$I$101,INT((ROW()-6)/17)+1))</f>
        <v/>
      </c>
      <c r="Q199" s="20" t="str">
        <f>IF($A199="","",INDEX(Project_Tracker!$K$2:$K$101,INT((ROW()-6)/17)+1))</f>
        <v/>
      </c>
    </row>
    <row r="200" spans="1:17" x14ac:dyDescent="0.2">
      <c r="A200" s="20" t="str">
        <f>IF(INDEX(Project_Tracker!$AL$2:$AL$101,INT((ROW()-6)/17)+1)="","",INDEX(Project_Tracker!$AL$2:$AL$101,INT((ROW()-6)/17)+1))</f>
        <v/>
      </c>
      <c r="B200" s="21" t="str">
        <f>IF($A200="","",INDEX(Project_Tracker!$AM$2:$AM$101,INT((ROW()-6)/17)+1))</f>
        <v/>
      </c>
      <c r="C200" s="20" t="str">
        <f>IF($A200="","",INDEX(Project_Tracker!$C$2:$C$101,INT((ROW()-6)/17)+1))</f>
        <v/>
      </c>
      <c r="D200" s="6" t="str">
        <f>IF($A200="","",INDEX(Project_Tracker!$T$2:$T$101,INT((ROW()-6)/17)+1))</f>
        <v/>
      </c>
      <c r="E200" s="18">
        <f t="shared" si="15"/>
        <v>8</v>
      </c>
      <c r="F200" s="23" t="str">
        <f>IF($A200="","",INDEX('Logic &amp; Lists'!$I$4:$I$20,$E200))</f>
        <v/>
      </c>
      <c r="G200" s="18" t="str">
        <f>IF($A200="","",INDEX('Logic &amp; Lists'!$J$4:$J$20,$E200))</f>
        <v/>
      </c>
      <c r="H200" s="6" t="str">
        <f t="shared" si="16"/>
        <v/>
      </c>
      <c r="I200" s="18" t="str">
        <f t="shared" ca="1" si="17"/>
        <v/>
      </c>
      <c r="J200" s="5" t="str">
        <f t="shared" si="18"/>
        <v/>
      </c>
      <c r="K200" s="25"/>
      <c r="L200" s="5" t="str">
        <f t="shared" si="19"/>
        <v/>
      </c>
      <c r="M200" s="7"/>
      <c r="N200" s="7"/>
      <c r="O200" s="7"/>
      <c r="P200" s="20" t="str">
        <f>IF($A200="","",INDEX(Project_Tracker!$I$2:$I$101,INT((ROW()-6)/17)+1))</f>
        <v/>
      </c>
      <c r="Q200" s="20" t="str">
        <f>IF($A200="","",INDEX(Project_Tracker!$K$2:$K$101,INT((ROW()-6)/17)+1))</f>
        <v/>
      </c>
    </row>
    <row r="201" spans="1:17" x14ac:dyDescent="0.2">
      <c r="A201" s="20" t="str">
        <f>IF(INDEX(Project_Tracker!$AL$2:$AL$101,INT((ROW()-6)/17)+1)="","",INDEX(Project_Tracker!$AL$2:$AL$101,INT((ROW()-6)/17)+1))</f>
        <v/>
      </c>
      <c r="B201" s="21" t="str">
        <f>IF($A201="","",INDEX(Project_Tracker!$AM$2:$AM$101,INT((ROW()-6)/17)+1))</f>
        <v/>
      </c>
      <c r="C201" s="20" t="str">
        <f>IF($A201="","",INDEX(Project_Tracker!$C$2:$C$101,INT((ROW()-6)/17)+1))</f>
        <v/>
      </c>
      <c r="D201" s="6" t="str">
        <f>IF($A201="","",INDEX(Project_Tracker!$T$2:$T$101,INT((ROW()-6)/17)+1))</f>
        <v/>
      </c>
      <c r="E201" s="18">
        <f t="shared" si="15"/>
        <v>9</v>
      </c>
      <c r="F201" s="23" t="str">
        <f>IF($A201="","",INDEX('Logic &amp; Lists'!$I$4:$I$20,$E201))</f>
        <v/>
      </c>
      <c r="G201" s="18" t="str">
        <f>IF($A201="","",INDEX('Logic &amp; Lists'!$J$4:$J$20,$E201))</f>
        <v/>
      </c>
      <c r="H201" s="6" t="str">
        <f t="shared" si="16"/>
        <v/>
      </c>
      <c r="I201" s="18" t="str">
        <f t="shared" ca="1" si="17"/>
        <v/>
      </c>
      <c r="J201" s="5" t="str">
        <f t="shared" si="18"/>
        <v/>
      </c>
      <c r="K201" s="25"/>
      <c r="L201" s="5" t="str">
        <f t="shared" si="19"/>
        <v/>
      </c>
      <c r="M201" s="7"/>
      <c r="N201" s="7"/>
      <c r="O201" s="7"/>
      <c r="P201" s="20" t="str">
        <f>IF($A201="","",INDEX(Project_Tracker!$I$2:$I$101,INT((ROW()-6)/17)+1))</f>
        <v/>
      </c>
      <c r="Q201" s="20" t="str">
        <f>IF($A201="","",INDEX(Project_Tracker!$K$2:$K$101,INT((ROW()-6)/17)+1))</f>
        <v/>
      </c>
    </row>
    <row r="202" spans="1:17" x14ac:dyDescent="0.2">
      <c r="A202" s="20" t="str">
        <f>IF(INDEX(Project_Tracker!$AL$2:$AL$101,INT((ROW()-6)/17)+1)="","",INDEX(Project_Tracker!$AL$2:$AL$101,INT((ROW()-6)/17)+1))</f>
        <v/>
      </c>
      <c r="B202" s="21" t="str">
        <f>IF($A202="","",INDEX(Project_Tracker!$AM$2:$AM$101,INT((ROW()-6)/17)+1))</f>
        <v/>
      </c>
      <c r="C202" s="20" t="str">
        <f>IF($A202="","",INDEX(Project_Tracker!$C$2:$C$101,INT((ROW()-6)/17)+1))</f>
        <v/>
      </c>
      <c r="D202" s="6" t="str">
        <f>IF($A202="","",INDEX(Project_Tracker!$T$2:$T$101,INT((ROW()-6)/17)+1))</f>
        <v/>
      </c>
      <c r="E202" s="18">
        <f t="shared" si="15"/>
        <v>10</v>
      </c>
      <c r="F202" s="23" t="str">
        <f>IF($A202="","",INDEX('Logic &amp; Lists'!$I$4:$I$20,$E202))</f>
        <v/>
      </c>
      <c r="G202" s="18" t="str">
        <f>IF($A202="","",INDEX('Logic &amp; Lists'!$J$4:$J$20,$E202))</f>
        <v/>
      </c>
      <c r="H202" s="6" t="str">
        <f t="shared" si="16"/>
        <v/>
      </c>
      <c r="I202" s="18" t="str">
        <f t="shared" ca="1" si="17"/>
        <v/>
      </c>
      <c r="J202" s="5" t="str">
        <f t="shared" si="18"/>
        <v/>
      </c>
      <c r="K202" s="25"/>
      <c r="L202" s="5" t="str">
        <f t="shared" si="19"/>
        <v/>
      </c>
      <c r="M202" s="7"/>
      <c r="N202" s="7"/>
      <c r="O202" s="7"/>
      <c r="P202" s="20" t="str">
        <f>IF($A202="","",INDEX(Project_Tracker!$I$2:$I$101,INT((ROW()-6)/17)+1))</f>
        <v/>
      </c>
      <c r="Q202" s="20" t="str">
        <f>IF($A202="","",INDEX(Project_Tracker!$K$2:$K$101,INT((ROW()-6)/17)+1))</f>
        <v/>
      </c>
    </row>
    <row r="203" spans="1:17" x14ac:dyDescent="0.2">
      <c r="A203" s="20" t="str">
        <f>IF(INDEX(Project_Tracker!$AL$2:$AL$101,INT((ROW()-6)/17)+1)="","",INDEX(Project_Tracker!$AL$2:$AL$101,INT((ROW()-6)/17)+1))</f>
        <v/>
      </c>
      <c r="B203" s="21" t="str">
        <f>IF($A203="","",INDEX(Project_Tracker!$AM$2:$AM$101,INT((ROW()-6)/17)+1))</f>
        <v/>
      </c>
      <c r="C203" s="20" t="str">
        <f>IF($A203="","",INDEX(Project_Tracker!$C$2:$C$101,INT((ROW()-6)/17)+1))</f>
        <v/>
      </c>
      <c r="D203" s="6" t="str">
        <f>IF($A203="","",INDEX(Project_Tracker!$T$2:$T$101,INT((ROW()-6)/17)+1))</f>
        <v/>
      </c>
      <c r="E203" s="18">
        <f t="shared" si="15"/>
        <v>11</v>
      </c>
      <c r="F203" s="23" t="str">
        <f>IF($A203="","",INDEX('Logic &amp; Lists'!$I$4:$I$20,$E203))</f>
        <v/>
      </c>
      <c r="G203" s="18" t="str">
        <f>IF($A203="","",INDEX('Logic &amp; Lists'!$J$4:$J$20,$E203))</f>
        <v/>
      </c>
      <c r="H203" s="6" t="str">
        <f t="shared" si="16"/>
        <v/>
      </c>
      <c r="I203" s="18" t="str">
        <f t="shared" ca="1" si="17"/>
        <v/>
      </c>
      <c r="J203" s="5" t="str">
        <f t="shared" si="18"/>
        <v/>
      </c>
      <c r="K203" s="25"/>
      <c r="L203" s="5" t="str">
        <f t="shared" si="19"/>
        <v/>
      </c>
      <c r="M203" s="7"/>
      <c r="N203" s="7"/>
      <c r="O203" s="7"/>
      <c r="P203" s="20" t="str">
        <f>IF($A203="","",INDEX(Project_Tracker!$I$2:$I$101,INT((ROW()-6)/17)+1))</f>
        <v/>
      </c>
      <c r="Q203" s="20" t="str">
        <f>IF($A203="","",INDEX(Project_Tracker!$K$2:$K$101,INT((ROW()-6)/17)+1))</f>
        <v/>
      </c>
    </row>
    <row r="204" spans="1:17" x14ac:dyDescent="0.2">
      <c r="A204" s="20" t="str">
        <f>IF(INDEX(Project_Tracker!$AL$2:$AL$101,INT((ROW()-6)/17)+1)="","",INDEX(Project_Tracker!$AL$2:$AL$101,INT((ROW()-6)/17)+1))</f>
        <v/>
      </c>
      <c r="B204" s="21" t="str">
        <f>IF($A204="","",INDEX(Project_Tracker!$AM$2:$AM$101,INT((ROW()-6)/17)+1))</f>
        <v/>
      </c>
      <c r="C204" s="20" t="str">
        <f>IF($A204="","",INDEX(Project_Tracker!$C$2:$C$101,INT((ROW()-6)/17)+1))</f>
        <v/>
      </c>
      <c r="D204" s="6" t="str">
        <f>IF($A204="","",INDEX(Project_Tracker!$T$2:$T$101,INT((ROW()-6)/17)+1))</f>
        <v/>
      </c>
      <c r="E204" s="18">
        <f t="shared" si="15"/>
        <v>12</v>
      </c>
      <c r="F204" s="23" t="str">
        <f>IF($A204="","",INDEX('Logic &amp; Lists'!$I$4:$I$20,$E204))</f>
        <v/>
      </c>
      <c r="G204" s="18" t="str">
        <f>IF($A204="","",INDEX('Logic &amp; Lists'!$J$4:$J$20,$E204))</f>
        <v/>
      </c>
      <c r="H204" s="6" t="str">
        <f t="shared" si="16"/>
        <v/>
      </c>
      <c r="I204" s="18" t="str">
        <f t="shared" ca="1" si="17"/>
        <v/>
      </c>
      <c r="J204" s="5" t="str">
        <f t="shared" si="18"/>
        <v/>
      </c>
      <c r="K204" s="25"/>
      <c r="L204" s="5" t="str">
        <f t="shared" si="19"/>
        <v/>
      </c>
      <c r="M204" s="7"/>
      <c r="N204" s="7"/>
      <c r="O204" s="7"/>
      <c r="P204" s="20" t="str">
        <f>IF($A204="","",INDEX(Project_Tracker!$I$2:$I$101,INT((ROW()-6)/17)+1))</f>
        <v/>
      </c>
      <c r="Q204" s="20" t="str">
        <f>IF($A204="","",INDEX(Project_Tracker!$K$2:$K$101,INT((ROW()-6)/17)+1))</f>
        <v/>
      </c>
    </row>
    <row r="205" spans="1:17" x14ac:dyDescent="0.2">
      <c r="A205" s="20" t="str">
        <f>IF(INDEX(Project_Tracker!$AL$2:$AL$101,INT((ROW()-6)/17)+1)="","",INDEX(Project_Tracker!$AL$2:$AL$101,INT((ROW()-6)/17)+1))</f>
        <v/>
      </c>
      <c r="B205" s="21" t="str">
        <f>IF($A205="","",INDEX(Project_Tracker!$AM$2:$AM$101,INT((ROW()-6)/17)+1))</f>
        <v/>
      </c>
      <c r="C205" s="20" t="str">
        <f>IF($A205="","",INDEX(Project_Tracker!$C$2:$C$101,INT((ROW()-6)/17)+1))</f>
        <v/>
      </c>
      <c r="D205" s="6" t="str">
        <f>IF($A205="","",INDEX(Project_Tracker!$T$2:$T$101,INT((ROW()-6)/17)+1))</f>
        <v/>
      </c>
      <c r="E205" s="18">
        <f t="shared" si="15"/>
        <v>13</v>
      </c>
      <c r="F205" s="23" t="str">
        <f>IF($A205="","",INDEX('Logic &amp; Lists'!$I$4:$I$20,$E205))</f>
        <v/>
      </c>
      <c r="G205" s="18" t="str">
        <f>IF($A205="","",INDEX('Logic &amp; Lists'!$J$4:$J$20,$E205))</f>
        <v/>
      </c>
      <c r="H205" s="6" t="str">
        <f t="shared" si="16"/>
        <v/>
      </c>
      <c r="I205" s="18" t="str">
        <f t="shared" ca="1" si="17"/>
        <v/>
      </c>
      <c r="J205" s="5" t="str">
        <f t="shared" si="18"/>
        <v/>
      </c>
      <c r="K205" s="25"/>
      <c r="L205" s="5" t="str">
        <f t="shared" si="19"/>
        <v/>
      </c>
      <c r="M205" s="7"/>
      <c r="N205" s="7"/>
      <c r="O205" s="7"/>
      <c r="P205" s="20" t="str">
        <f>IF($A205="","",INDEX(Project_Tracker!$I$2:$I$101,INT((ROW()-6)/17)+1))</f>
        <v/>
      </c>
      <c r="Q205" s="20" t="str">
        <f>IF($A205="","",INDEX(Project_Tracker!$K$2:$K$101,INT((ROW()-6)/17)+1))</f>
        <v/>
      </c>
    </row>
    <row r="206" spans="1:17" x14ac:dyDescent="0.2">
      <c r="A206" s="20" t="str">
        <f>IF(INDEX(Project_Tracker!$AL$2:$AL$101,INT((ROW()-6)/17)+1)="","",INDEX(Project_Tracker!$AL$2:$AL$101,INT((ROW()-6)/17)+1))</f>
        <v/>
      </c>
      <c r="B206" s="21" t="str">
        <f>IF($A206="","",INDEX(Project_Tracker!$AM$2:$AM$101,INT((ROW()-6)/17)+1))</f>
        <v/>
      </c>
      <c r="C206" s="20" t="str">
        <f>IF($A206="","",INDEX(Project_Tracker!$C$2:$C$101,INT((ROW()-6)/17)+1))</f>
        <v/>
      </c>
      <c r="D206" s="6" t="str">
        <f>IF($A206="","",INDEX(Project_Tracker!$T$2:$T$101,INT((ROW()-6)/17)+1))</f>
        <v/>
      </c>
      <c r="E206" s="18">
        <f t="shared" si="15"/>
        <v>14</v>
      </c>
      <c r="F206" s="23" t="str">
        <f>IF($A206="","",INDEX('Logic &amp; Lists'!$I$4:$I$20,$E206))</f>
        <v/>
      </c>
      <c r="G206" s="18" t="str">
        <f>IF($A206="","",INDEX('Logic &amp; Lists'!$J$4:$J$20,$E206))</f>
        <v/>
      </c>
      <c r="H206" s="6" t="str">
        <f t="shared" si="16"/>
        <v/>
      </c>
      <c r="I206" s="18" t="str">
        <f t="shared" ca="1" si="17"/>
        <v/>
      </c>
      <c r="J206" s="5" t="str">
        <f t="shared" si="18"/>
        <v/>
      </c>
      <c r="K206" s="25"/>
      <c r="L206" s="5" t="str">
        <f t="shared" si="19"/>
        <v/>
      </c>
      <c r="M206" s="7"/>
      <c r="N206" s="7"/>
      <c r="O206" s="7"/>
      <c r="P206" s="20" t="str">
        <f>IF($A206="","",INDEX(Project_Tracker!$I$2:$I$101,INT((ROW()-6)/17)+1))</f>
        <v/>
      </c>
      <c r="Q206" s="20" t="str">
        <f>IF($A206="","",INDEX(Project_Tracker!$K$2:$K$101,INT((ROW()-6)/17)+1))</f>
        <v/>
      </c>
    </row>
    <row r="207" spans="1:17" x14ac:dyDescent="0.2">
      <c r="A207" s="20" t="str">
        <f>IF(INDEX(Project_Tracker!$AL$2:$AL$101,INT((ROW()-6)/17)+1)="","",INDEX(Project_Tracker!$AL$2:$AL$101,INT((ROW()-6)/17)+1))</f>
        <v/>
      </c>
      <c r="B207" s="21" t="str">
        <f>IF($A207="","",INDEX(Project_Tracker!$AM$2:$AM$101,INT((ROW()-6)/17)+1))</f>
        <v/>
      </c>
      <c r="C207" s="20" t="str">
        <f>IF($A207="","",INDEX(Project_Tracker!$C$2:$C$101,INT((ROW()-6)/17)+1))</f>
        <v/>
      </c>
      <c r="D207" s="6" t="str">
        <f>IF($A207="","",INDEX(Project_Tracker!$T$2:$T$101,INT((ROW()-6)/17)+1))</f>
        <v/>
      </c>
      <c r="E207" s="18">
        <f t="shared" si="15"/>
        <v>15</v>
      </c>
      <c r="F207" s="23" t="str">
        <f>IF($A207="","",INDEX('Logic &amp; Lists'!$I$4:$I$20,$E207))</f>
        <v/>
      </c>
      <c r="G207" s="18" t="str">
        <f>IF($A207="","",INDEX('Logic &amp; Lists'!$J$4:$J$20,$E207))</f>
        <v/>
      </c>
      <c r="H207" s="6" t="str">
        <f t="shared" si="16"/>
        <v/>
      </c>
      <c r="I207" s="18" t="str">
        <f t="shared" ca="1" si="17"/>
        <v/>
      </c>
      <c r="J207" s="5" t="str">
        <f t="shared" si="18"/>
        <v/>
      </c>
      <c r="K207" s="25"/>
      <c r="L207" s="5" t="str">
        <f t="shared" si="19"/>
        <v/>
      </c>
      <c r="M207" s="7"/>
      <c r="N207" s="7"/>
      <c r="O207" s="7"/>
      <c r="P207" s="20" t="str">
        <f>IF($A207="","",INDEX(Project_Tracker!$I$2:$I$101,INT((ROW()-6)/17)+1))</f>
        <v/>
      </c>
      <c r="Q207" s="20" t="str">
        <f>IF($A207="","",INDEX(Project_Tracker!$K$2:$K$101,INT((ROW()-6)/17)+1))</f>
        <v/>
      </c>
    </row>
    <row r="208" spans="1:17" x14ac:dyDescent="0.2">
      <c r="A208" s="20" t="str">
        <f>IF(INDEX(Project_Tracker!$AL$2:$AL$101,INT((ROW()-6)/17)+1)="","",INDEX(Project_Tracker!$AL$2:$AL$101,INT((ROW()-6)/17)+1))</f>
        <v/>
      </c>
      <c r="B208" s="21" t="str">
        <f>IF($A208="","",INDEX(Project_Tracker!$AM$2:$AM$101,INT((ROW()-6)/17)+1))</f>
        <v/>
      </c>
      <c r="C208" s="20" t="str">
        <f>IF($A208="","",INDEX(Project_Tracker!$C$2:$C$101,INT((ROW()-6)/17)+1))</f>
        <v/>
      </c>
      <c r="D208" s="6" t="str">
        <f>IF($A208="","",INDEX(Project_Tracker!$T$2:$T$101,INT((ROW()-6)/17)+1))</f>
        <v/>
      </c>
      <c r="E208" s="18">
        <f t="shared" si="15"/>
        <v>16</v>
      </c>
      <c r="F208" s="23" t="str">
        <f>IF($A208="","",INDEX('Logic &amp; Lists'!$I$4:$I$20,$E208))</f>
        <v/>
      </c>
      <c r="G208" s="18" t="str">
        <f>IF($A208="","",INDEX('Logic &amp; Lists'!$J$4:$J$20,$E208))</f>
        <v/>
      </c>
      <c r="H208" s="6" t="str">
        <f t="shared" si="16"/>
        <v/>
      </c>
      <c r="I208" s="18" t="str">
        <f t="shared" ca="1" si="17"/>
        <v/>
      </c>
      <c r="J208" s="5" t="str">
        <f t="shared" si="18"/>
        <v/>
      </c>
      <c r="K208" s="25"/>
      <c r="L208" s="5" t="str">
        <f t="shared" si="19"/>
        <v/>
      </c>
      <c r="M208" s="7"/>
      <c r="N208" s="7"/>
      <c r="O208" s="7"/>
      <c r="P208" s="20" t="str">
        <f>IF($A208="","",INDEX(Project_Tracker!$I$2:$I$101,INT((ROW()-6)/17)+1))</f>
        <v/>
      </c>
      <c r="Q208" s="20" t="str">
        <f>IF($A208="","",INDEX(Project_Tracker!$K$2:$K$101,INT((ROW()-6)/17)+1))</f>
        <v/>
      </c>
    </row>
    <row r="209" spans="1:17" x14ac:dyDescent="0.2">
      <c r="A209" s="20" t="str">
        <f>IF(INDEX(Project_Tracker!$AL$2:$AL$101,INT((ROW()-6)/17)+1)="","",INDEX(Project_Tracker!$AL$2:$AL$101,INT((ROW()-6)/17)+1))</f>
        <v/>
      </c>
      <c r="B209" s="21" t="str">
        <f>IF($A209="","",INDEX(Project_Tracker!$AM$2:$AM$101,INT((ROW()-6)/17)+1))</f>
        <v/>
      </c>
      <c r="C209" s="20" t="str">
        <f>IF($A209="","",INDEX(Project_Tracker!$C$2:$C$101,INT((ROW()-6)/17)+1))</f>
        <v/>
      </c>
      <c r="D209" s="6" t="str">
        <f>IF($A209="","",INDEX(Project_Tracker!$T$2:$T$101,INT((ROW()-6)/17)+1))</f>
        <v/>
      </c>
      <c r="E209" s="18">
        <f t="shared" si="15"/>
        <v>17</v>
      </c>
      <c r="F209" s="23" t="str">
        <f>IF($A209="","",INDEX('Logic &amp; Lists'!$I$4:$I$20,$E209))</f>
        <v/>
      </c>
      <c r="G209" s="18" t="str">
        <f>IF($A209="","",INDEX('Logic &amp; Lists'!$J$4:$J$20,$E209))</f>
        <v/>
      </c>
      <c r="H209" s="6" t="str">
        <f t="shared" si="16"/>
        <v/>
      </c>
      <c r="I209" s="18" t="str">
        <f t="shared" ca="1" si="17"/>
        <v/>
      </c>
      <c r="J209" s="5" t="str">
        <f t="shared" si="18"/>
        <v/>
      </c>
      <c r="K209" s="25"/>
      <c r="L209" s="5" t="str">
        <f t="shared" si="19"/>
        <v/>
      </c>
      <c r="M209" s="7"/>
      <c r="N209" s="7"/>
      <c r="O209" s="7"/>
      <c r="P209" s="20" t="str">
        <f>IF($A209="","",INDEX(Project_Tracker!$I$2:$I$101,INT((ROW()-6)/17)+1))</f>
        <v/>
      </c>
      <c r="Q209" s="20" t="str">
        <f>IF($A209="","",INDEX(Project_Tracker!$K$2:$K$101,INT((ROW()-6)/17)+1))</f>
        <v/>
      </c>
    </row>
    <row r="210" spans="1:17" x14ac:dyDescent="0.2">
      <c r="A210" s="20" t="str">
        <f>IF(INDEX(Project_Tracker!$AL$2:$AL$101,INT((ROW()-6)/17)+1)="","",INDEX(Project_Tracker!$AL$2:$AL$101,INT((ROW()-6)/17)+1))</f>
        <v/>
      </c>
      <c r="B210" s="21" t="str">
        <f>IF($A210="","",INDEX(Project_Tracker!$AM$2:$AM$101,INT((ROW()-6)/17)+1))</f>
        <v/>
      </c>
      <c r="C210" s="20" t="str">
        <f>IF($A210="","",INDEX(Project_Tracker!$C$2:$C$101,INT((ROW()-6)/17)+1))</f>
        <v/>
      </c>
      <c r="D210" s="6" t="str">
        <f>IF($A210="","",INDEX(Project_Tracker!$T$2:$T$101,INT((ROW()-6)/17)+1))</f>
        <v/>
      </c>
      <c r="E210" s="18">
        <f t="shared" si="15"/>
        <v>1</v>
      </c>
      <c r="F210" s="23" t="str">
        <f>IF($A210="","",INDEX('Logic &amp; Lists'!$I$4:$I$20,$E210))</f>
        <v/>
      </c>
      <c r="G210" s="18" t="str">
        <f>IF($A210="","",INDEX('Logic &amp; Lists'!$J$4:$J$20,$E210))</f>
        <v/>
      </c>
      <c r="H210" s="6" t="str">
        <f t="shared" si="16"/>
        <v/>
      </c>
      <c r="I210" s="18" t="str">
        <f t="shared" ca="1" si="17"/>
        <v/>
      </c>
      <c r="J210" s="5" t="str">
        <f t="shared" si="18"/>
        <v/>
      </c>
      <c r="K210" s="25"/>
      <c r="L210" s="5" t="str">
        <f t="shared" si="19"/>
        <v/>
      </c>
      <c r="M210" s="7"/>
      <c r="N210" s="7"/>
      <c r="O210" s="7"/>
      <c r="P210" s="20" t="str">
        <f>IF($A210="","",INDEX(Project_Tracker!$I$2:$I$101,INT((ROW()-6)/17)+1))</f>
        <v/>
      </c>
      <c r="Q210" s="20" t="str">
        <f>IF($A210="","",INDEX(Project_Tracker!$K$2:$K$101,INT((ROW()-6)/17)+1))</f>
        <v/>
      </c>
    </row>
    <row r="211" spans="1:17" x14ac:dyDescent="0.2">
      <c r="A211" s="20" t="str">
        <f>IF(INDEX(Project_Tracker!$AL$2:$AL$101,INT((ROW()-6)/17)+1)="","",INDEX(Project_Tracker!$AL$2:$AL$101,INT((ROW()-6)/17)+1))</f>
        <v/>
      </c>
      <c r="B211" s="21" t="str">
        <f>IF($A211="","",INDEX(Project_Tracker!$AM$2:$AM$101,INT((ROW()-6)/17)+1))</f>
        <v/>
      </c>
      <c r="C211" s="20" t="str">
        <f>IF($A211="","",INDEX(Project_Tracker!$C$2:$C$101,INT((ROW()-6)/17)+1))</f>
        <v/>
      </c>
      <c r="D211" s="6" t="str">
        <f>IF($A211="","",INDEX(Project_Tracker!$T$2:$T$101,INT((ROW()-6)/17)+1))</f>
        <v/>
      </c>
      <c r="E211" s="18">
        <f t="shared" si="15"/>
        <v>2</v>
      </c>
      <c r="F211" s="23" t="str">
        <f>IF($A211="","",INDEX('Logic &amp; Lists'!$I$4:$I$20,$E211))</f>
        <v/>
      </c>
      <c r="G211" s="18" t="str">
        <f>IF($A211="","",INDEX('Logic &amp; Lists'!$J$4:$J$20,$E211))</f>
        <v/>
      </c>
      <c r="H211" s="6" t="str">
        <f t="shared" si="16"/>
        <v/>
      </c>
      <c r="I211" s="18" t="str">
        <f t="shared" ca="1" si="17"/>
        <v/>
      </c>
      <c r="J211" s="5" t="str">
        <f t="shared" si="18"/>
        <v/>
      </c>
      <c r="K211" s="25"/>
      <c r="L211" s="5" t="str">
        <f t="shared" si="19"/>
        <v/>
      </c>
      <c r="M211" s="7"/>
      <c r="N211" s="7"/>
      <c r="O211" s="7"/>
      <c r="P211" s="20" t="str">
        <f>IF($A211="","",INDEX(Project_Tracker!$I$2:$I$101,INT((ROW()-6)/17)+1))</f>
        <v/>
      </c>
      <c r="Q211" s="20" t="str">
        <f>IF($A211="","",INDEX(Project_Tracker!$K$2:$K$101,INT((ROW()-6)/17)+1))</f>
        <v/>
      </c>
    </row>
    <row r="212" spans="1:17" x14ac:dyDescent="0.2">
      <c r="A212" s="20" t="str">
        <f>IF(INDEX(Project_Tracker!$AL$2:$AL$101,INT((ROW()-6)/17)+1)="","",INDEX(Project_Tracker!$AL$2:$AL$101,INT((ROW()-6)/17)+1))</f>
        <v/>
      </c>
      <c r="B212" s="21" t="str">
        <f>IF($A212="","",INDEX(Project_Tracker!$AM$2:$AM$101,INT((ROW()-6)/17)+1))</f>
        <v/>
      </c>
      <c r="C212" s="20" t="str">
        <f>IF($A212="","",INDEX(Project_Tracker!$C$2:$C$101,INT((ROW()-6)/17)+1))</f>
        <v/>
      </c>
      <c r="D212" s="6" t="str">
        <f>IF($A212="","",INDEX(Project_Tracker!$T$2:$T$101,INT((ROW()-6)/17)+1))</f>
        <v/>
      </c>
      <c r="E212" s="18">
        <f t="shared" si="15"/>
        <v>3</v>
      </c>
      <c r="F212" s="23" t="str">
        <f>IF($A212="","",INDEX('Logic &amp; Lists'!$I$4:$I$20,$E212))</f>
        <v/>
      </c>
      <c r="G212" s="18" t="str">
        <f>IF($A212="","",INDEX('Logic &amp; Lists'!$J$4:$J$20,$E212))</f>
        <v/>
      </c>
      <c r="H212" s="6" t="str">
        <f t="shared" si="16"/>
        <v/>
      </c>
      <c r="I212" s="18" t="str">
        <f t="shared" ca="1" si="17"/>
        <v/>
      </c>
      <c r="J212" s="5" t="str">
        <f t="shared" si="18"/>
        <v/>
      </c>
      <c r="K212" s="25"/>
      <c r="L212" s="5" t="str">
        <f t="shared" si="19"/>
        <v/>
      </c>
      <c r="M212" s="7"/>
      <c r="N212" s="7"/>
      <c r="O212" s="7"/>
      <c r="P212" s="20" t="str">
        <f>IF($A212="","",INDEX(Project_Tracker!$I$2:$I$101,INT((ROW()-6)/17)+1))</f>
        <v/>
      </c>
      <c r="Q212" s="20" t="str">
        <f>IF($A212="","",INDEX(Project_Tracker!$K$2:$K$101,INT((ROW()-6)/17)+1))</f>
        <v/>
      </c>
    </row>
    <row r="213" spans="1:17" x14ac:dyDescent="0.2">
      <c r="A213" s="20" t="str">
        <f>IF(INDEX(Project_Tracker!$AL$2:$AL$101,INT((ROW()-6)/17)+1)="","",INDEX(Project_Tracker!$AL$2:$AL$101,INT((ROW()-6)/17)+1))</f>
        <v/>
      </c>
      <c r="B213" s="21" t="str">
        <f>IF($A213="","",INDEX(Project_Tracker!$AM$2:$AM$101,INT((ROW()-6)/17)+1))</f>
        <v/>
      </c>
      <c r="C213" s="20" t="str">
        <f>IF($A213="","",INDEX(Project_Tracker!$C$2:$C$101,INT((ROW()-6)/17)+1))</f>
        <v/>
      </c>
      <c r="D213" s="6" t="str">
        <f>IF($A213="","",INDEX(Project_Tracker!$T$2:$T$101,INT((ROW()-6)/17)+1))</f>
        <v/>
      </c>
      <c r="E213" s="18">
        <f t="shared" si="15"/>
        <v>4</v>
      </c>
      <c r="F213" s="23" t="str">
        <f>IF($A213="","",INDEX('Logic &amp; Lists'!$I$4:$I$20,$E213))</f>
        <v/>
      </c>
      <c r="G213" s="18" t="str">
        <f>IF($A213="","",INDEX('Logic &amp; Lists'!$J$4:$J$20,$E213))</f>
        <v/>
      </c>
      <c r="H213" s="6" t="str">
        <f t="shared" si="16"/>
        <v/>
      </c>
      <c r="I213" s="18" t="str">
        <f t="shared" ca="1" si="17"/>
        <v/>
      </c>
      <c r="J213" s="5" t="str">
        <f t="shared" si="18"/>
        <v/>
      </c>
      <c r="K213" s="25"/>
      <c r="L213" s="5" t="str">
        <f t="shared" si="19"/>
        <v/>
      </c>
      <c r="M213" s="7"/>
      <c r="N213" s="7"/>
      <c r="O213" s="7"/>
      <c r="P213" s="20" t="str">
        <f>IF($A213="","",INDEX(Project_Tracker!$I$2:$I$101,INT((ROW()-6)/17)+1))</f>
        <v/>
      </c>
      <c r="Q213" s="20" t="str">
        <f>IF($A213="","",INDEX(Project_Tracker!$K$2:$K$101,INT((ROW()-6)/17)+1))</f>
        <v/>
      </c>
    </row>
    <row r="214" spans="1:17" x14ac:dyDescent="0.2">
      <c r="A214" s="20" t="str">
        <f>IF(INDEX(Project_Tracker!$AL$2:$AL$101,INT((ROW()-6)/17)+1)="","",INDEX(Project_Tracker!$AL$2:$AL$101,INT((ROW()-6)/17)+1))</f>
        <v/>
      </c>
      <c r="B214" s="21" t="str">
        <f>IF($A214="","",INDEX(Project_Tracker!$AM$2:$AM$101,INT((ROW()-6)/17)+1))</f>
        <v/>
      </c>
      <c r="C214" s="20" t="str">
        <f>IF($A214="","",INDEX(Project_Tracker!$C$2:$C$101,INT((ROW()-6)/17)+1))</f>
        <v/>
      </c>
      <c r="D214" s="6" t="str">
        <f>IF($A214="","",INDEX(Project_Tracker!$T$2:$T$101,INT((ROW()-6)/17)+1))</f>
        <v/>
      </c>
      <c r="E214" s="18">
        <f t="shared" si="15"/>
        <v>5</v>
      </c>
      <c r="F214" s="23" t="str">
        <f>IF($A214="","",INDEX('Logic &amp; Lists'!$I$4:$I$20,$E214))</f>
        <v/>
      </c>
      <c r="G214" s="18" t="str">
        <f>IF($A214="","",INDEX('Logic &amp; Lists'!$J$4:$J$20,$E214))</f>
        <v/>
      </c>
      <c r="H214" s="6" t="str">
        <f t="shared" si="16"/>
        <v/>
      </c>
      <c r="I214" s="18" t="str">
        <f t="shared" ca="1" si="17"/>
        <v/>
      </c>
      <c r="J214" s="5" t="str">
        <f t="shared" si="18"/>
        <v/>
      </c>
      <c r="K214" s="25"/>
      <c r="L214" s="5" t="str">
        <f t="shared" si="19"/>
        <v/>
      </c>
      <c r="M214" s="7"/>
      <c r="N214" s="7"/>
      <c r="O214" s="7"/>
      <c r="P214" s="20" t="str">
        <f>IF($A214="","",INDEX(Project_Tracker!$I$2:$I$101,INT((ROW()-6)/17)+1))</f>
        <v/>
      </c>
      <c r="Q214" s="20" t="str">
        <f>IF($A214="","",INDEX(Project_Tracker!$K$2:$K$101,INT((ROW()-6)/17)+1))</f>
        <v/>
      </c>
    </row>
    <row r="215" spans="1:17" x14ac:dyDescent="0.2">
      <c r="A215" s="20" t="str">
        <f>IF(INDEX(Project_Tracker!$AL$2:$AL$101,INT((ROW()-6)/17)+1)="","",INDEX(Project_Tracker!$AL$2:$AL$101,INT((ROW()-6)/17)+1))</f>
        <v/>
      </c>
      <c r="B215" s="21" t="str">
        <f>IF($A215="","",INDEX(Project_Tracker!$AM$2:$AM$101,INT((ROW()-6)/17)+1))</f>
        <v/>
      </c>
      <c r="C215" s="20" t="str">
        <f>IF($A215="","",INDEX(Project_Tracker!$C$2:$C$101,INT((ROW()-6)/17)+1))</f>
        <v/>
      </c>
      <c r="D215" s="6" t="str">
        <f>IF($A215="","",INDEX(Project_Tracker!$T$2:$T$101,INT((ROW()-6)/17)+1))</f>
        <v/>
      </c>
      <c r="E215" s="18">
        <f t="shared" si="15"/>
        <v>6</v>
      </c>
      <c r="F215" s="23" t="str">
        <f>IF($A215="","",INDEX('Logic &amp; Lists'!$I$4:$I$20,$E215))</f>
        <v/>
      </c>
      <c r="G215" s="18" t="str">
        <f>IF($A215="","",INDEX('Logic &amp; Lists'!$J$4:$J$20,$E215))</f>
        <v/>
      </c>
      <c r="H215" s="6" t="str">
        <f t="shared" si="16"/>
        <v/>
      </c>
      <c r="I215" s="18" t="str">
        <f t="shared" ca="1" si="17"/>
        <v/>
      </c>
      <c r="J215" s="5" t="str">
        <f t="shared" si="18"/>
        <v/>
      </c>
      <c r="K215" s="25"/>
      <c r="L215" s="5" t="str">
        <f t="shared" si="19"/>
        <v/>
      </c>
      <c r="M215" s="7"/>
      <c r="N215" s="7"/>
      <c r="O215" s="7"/>
      <c r="P215" s="20" t="str">
        <f>IF($A215="","",INDEX(Project_Tracker!$I$2:$I$101,INT((ROW()-6)/17)+1))</f>
        <v/>
      </c>
      <c r="Q215" s="20" t="str">
        <f>IF($A215="","",INDEX(Project_Tracker!$K$2:$K$101,INT((ROW()-6)/17)+1))</f>
        <v/>
      </c>
    </row>
    <row r="216" spans="1:17" x14ac:dyDescent="0.2">
      <c r="A216" s="20" t="str">
        <f>IF(INDEX(Project_Tracker!$AL$2:$AL$101,INT((ROW()-6)/17)+1)="","",INDEX(Project_Tracker!$AL$2:$AL$101,INT((ROW()-6)/17)+1))</f>
        <v/>
      </c>
      <c r="B216" s="21" t="str">
        <f>IF($A216="","",INDEX(Project_Tracker!$AM$2:$AM$101,INT((ROW()-6)/17)+1))</f>
        <v/>
      </c>
      <c r="C216" s="20" t="str">
        <f>IF($A216="","",INDEX(Project_Tracker!$C$2:$C$101,INT((ROW()-6)/17)+1))</f>
        <v/>
      </c>
      <c r="D216" s="6" t="str">
        <f>IF($A216="","",INDEX(Project_Tracker!$T$2:$T$101,INT((ROW()-6)/17)+1))</f>
        <v/>
      </c>
      <c r="E216" s="18">
        <f t="shared" si="15"/>
        <v>7</v>
      </c>
      <c r="F216" s="23" t="str">
        <f>IF($A216="","",INDEX('Logic &amp; Lists'!$I$4:$I$20,$E216))</f>
        <v/>
      </c>
      <c r="G216" s="18" t="str">
        <f>IF($A216="","",INDEX('Logic &amp; Lists'!$J$4:$J$20,$E216))</f>
        <v/>
      </c>
      <c r="H216" s="6" t="str">
        <f t="shared" si="16"/>
        <v/>
      </c>
      <c r="I216" s="18" t="str">
        <f t="shared" ca="1" si="17"/>
        <v/>
      </c>
      <c r="J216" s="5" t="str">
        <f t="shared" si="18"/>
        <v/>
      </c>
      <c r="K216" s="25"/>
      <c r="L216" s="5" t="str">
        <f t="shared" si="19"/>
        <v/>
      </c>
      <c r="M216" s="7"/>
      <c r="N216" s="7"/>
      <c r="O216" s="7"/>
      <c r="P216" s="20" t="str">
        <f>IF($A216="","",INDEX(Project_Tracker!$I$2:$I$101,INT((ROW()-6)/17)+1))</f>
        <v/>
      </c>
      <c r="Q216" s="20" t="str">
        <f>IF($A216="","",INDEX(Project_Tracker!$K$2:$K$101,INT((ROW()-6)/17)+1))</f>
        <v/>
      </c>
    </row>
    <row r="217" spans="1:17" x14ac:dyDescent="0.2">
      <c r="A217" s="20" t="str">
        <f>IF(INDEX(Project_Tracker!$AL$2:$AL$101,INT((ROW()-6)/17)+1)="","",INDEX(Project_Tracker!$AL$2:$AL$101,INT((ROW()-6)/17)+1))</f>
        <v/>
      </c>
      <c r="B217" s="21" t="str">
        <f>IF($A217="","",INDEX(Project_Tracker!$AM$2:$AM$101,INT((ROW()-6)/17)+1))</f>
        <v/>
      </c>
      <c r="C217" s="20" t="str">
        <f>IF($A217="","",INDEX(Project_Tracker!$C$2:$C$101,INT((ROW()-6)/17)+1))</f>
        <v/>
      </c>
      <c r="D217" s="6" t="str">
        <f>IF($A217="","",INDEX(Project_Tracker!$T$2:$T$101,INT((ROW()-6)/17)+1))</f>
        <v/>
      </c>
      <c r="E217" s="18">
        <f t="shared" si="15"/>
        <v>8</v>
      </c>
      <c r="F217" s="23" t="str">
        <f>IF($A217="","",INDEX('Logic &amp; Lists'!$I$4:$I$20,$E217))</f>
        <v/>
      </c>
      <c r="G217" s="18" t="str">
        <f>IF($A217="","",INDEX('Logic &amp; Lists'!$J$4:$J$20,$E217))</f>
        <v/>
      </c>
      <c r="H217" s="6" t="str">
        <f t="shared" si="16"/>
        <v/>
      </c>
      <c r="I217" s="18" t="str">
        <f t="shared" ca="1" si="17"/>
        <v/>
      </c>
      <c r="J217" s="5" t="str">
        <f t="shared" si="18"/>
        <v/>
      </c>
      <c r="K217" s="25"/>
      <c r="L217" s="5" t="str">
        <f t="shared" si="19"/>
        <v/>
      </c>
      <c r="M217" s="7"/>
      <c r="N217" s="7"/>
      <c r="O217" s="7"/>
      <c r="P217" s="20" t="str">
        <f>IF($A217="","",INDEX(Project_Tracker!$I$2:$I$101,INT((ROW()-6)/17)+1))</f>
        <v/>
      </c>
      <c r="Q217" s="20" t="str">
        <f>IF($A217="","",INDEX(Project_Tracker!$K$2:$K$101,INT((ROW()-6)/17)+1))</f>
        <v/>
      </c>
    </row>
    <row r="218" spans="1:17" x14ac:dyDescent="0.2">
      <c r="A218" s="20" t="str">
        <f>IF(INDEX(Project_Tracker!$AL$2:$AL$101,INT((ROW()-6)/17)+1)="","",INDEX(Project_Tracker!$AL$2:$AL$101,INT((ROW()-6)/17)+1))</f>
        <v/>
      </c>
      <c r="B218" s="21" t="str">
        <f>IF($A218="","",INDEX(Project_Tracker!$AM$2:$AM$101,INT((ROW()-6)/17)+1))</f>
        <v/>
      </c>
      <c r="C218" s="20" t="str">
        <f>IF($A218="","",INDEX(Project_Tracker!$C$2:$C$101,INT((ROW()-6)/17)+1))</f>
        <v/>
      </c>
      <c r="D218" s="6" t="str">
        <f>IF($A218="","",INDEX(Project_Tracker!$T$2:$T$101,INT((ROW()-6)/17)+1))</f>
        <v/>
      </c>
      <c r="E218" s="18">
        <f t="shared" si="15"/>
        <v>9</v>
      </c>
      <c r="F218" s="23" t="str">
        <f>IF($A218="","",INDEX('Logic &amp; Lists'!$I$4:$I$20,$E218))</f>
        <v/>
      </c>
      <c r="G218" s="18" t="str">
        <f>IF($A218="","",INDEX('Logic &amp; Lists'!$J$4:$J$20,$E218))</f>
        <v/>
      </c>
      <c r="H218" s="6" t="str">
        <f t="shared" si="16"/>
        <v/>
      </c>
      <c r="I218" s="18" t="str">
        <f t="shared" ca="1" si="17"/>
        <v/>
      </c>
      <c r="J218" s="5" t="str">
        <f t="shared" si="18"/>
        <v/>
      </c>
      <c r="K218" s="25"/>
      <c r="L218" s="5" t="str">
        <f t="shared" si="19"/>
        <v/>
      </c>
      <c r="M218" s="7"/>
      <c r="N218" s="7"/>
      <c r="O218" s="7"/>
      <c r="P218" s="20" t="str">
        <f>IF($A218="","",INDEX(Project_Tracker!$I$2:$I$101,INT((ROW()-6)/17)+1))</f>
        <v/>
      </c>
      <c r="Q218" s="20" t="str">
        <f>IF($A218="","",INDEX(Project_Tracker!$K$2:$K$101,INT((ROW()-6)/17)+1))</f>
        <v/>
      </c>
    </row>
    <row r="219" spans="1:17" x14ac:dyDescent="0.2">
      <c r="A219" s="20" t="str">
        <f>IF(INDEX(Project_Tracker!$AL$2:$AL$101,INT((ROW()-6)/17)+1)="","",INDEX(Project_Tracker!$AL$2:$AL$101,INT((ROW()-6)/17)+1))</f>
        <v/>
      </c>
      <c r="B219" s="21" t="str">
        <f>IF($A219="","",INDEX(Project_Tracker!$AM$2:$AM$101,INT((ROW()-6)/17)+1))</f>
        <v/>
      </c>
      <c r="C219" s="20" t="str">
        <f>IF($A219="","",INDEX(Project_Tracker!$C$2:$C$101,INT((ROW()-6)/17)+1))</f>
        <v/>
      </c>
      <c r="D219" s="6" t="str">
        <f>IF($A219="","",INDEX(Project_Tracker!$T$2:$T$101,INT((ROW()-6)/17)+1))</f>
        <v/>
      </c>
      <c r="E219" s="18">
        <f t="shared" si="15"/>
        <v>10</v>
      </c>
      <c r="F219" s="23" t="str">
        <f>IF($A219="","",INDEX('Logic &amp; Lists'!$I$4:$I$20,$E219))</f>
        <v/>
      </c>
      <c r="G219" s="18" t="str">
        <f>IF($A219="","",INDEX('Logic &amp; Lists'!$J$4:$J$20,$E219))</f>
        <v/>
      </c>
      <c r="H219" s="6" t="str">
        <f t="shared" si="16"/>
        <v/>
      </c>
      <c r="I219" s="18" t="str">
        <f t="shared" ca="1" si="17"/>
        <v/>
      </c>
      <c r="J219" s="5" t="str">
        <f t="shared" si="18"/>
        <v/>
      </c>
      <c r="K219" s="25"/>
      <c r="L219" s="5" t="str">
        <f t="shared" si="19"/>
        <v/>
      </c>
      <c r="M219" s="7"/>
      <c r="N219" s="7"/>
      <c r="O219" s="7"/>
      <c r="P219" s="20" t="str">
        <f>IF($A219="","",INDEX(Project_Tracker!$I$2:$I$101,INT((ROW()-6)/17)+1))</f>
        <v/>
      </c>
      <c r="Q219" s="20" t="str">
        <f>IF($A219="","",INDEX(Project_Tracker!$K$2:$K$101,INT((ROW()-6)/17)+1))</f>
        <v/>
      </c>
    </row>
    <row r="220" spans="1:17" x14ac:dyDescent="0.2">
      <c r="A220" s="20" t="str">
        <f>IF(INDEX(Project_Tracker!$AL$2:$AL$101,INT((ROW()-6)/17)+1)="","",INDEX(Project_Tracker!$AL$2:$AL$101,INT((ROW()-6)/17)+1))</f>
        <v/>
      </c>
      <c r="B220" s="21" t="str">
        <f>IF($A220="","",INDEX(Project_Tracker!$AM$2:$AM$101,INT((ROW()-6)/17)+1))</f>
        <v/>
      </c>
      <c r="C220" s="20" t="str">
        <f>IF($A220="","",INDEX(Project_Tracker!$C$2:$C$101,INT((ROW()-6)/17)+1))</f>
        <v/>
      </c>
      <c r="D220" s="6" t="str">
        <f>IF($A220="","",INDEX(Project_Tracker!$T$2:$T$101,INT((ROW()-6)/17)+1))</f>
        <v/>
      </c>
      <c r="E220" s="18">
        <f t="shared" si="15"/>
        <v>11</v>
      </c>
      <c r="F220" s="23" t="str">
        <f>IF($A220="","",INDEX('Logic &amp; Lists'!$I$4:$I$20,$E220))</f>
        <v/>
      </c>
      <c r="G220" s="18" t="str">
        <f>IF($A220="","",INDEX('Logic &amp; Lists'!$J$4:$J$20,$E220))</f>
        <v/>
      </c>
      <c r="H220" s="6" t="str">
        <f t="shared" si="16"/>
        <v/>
      </c>
      <c r="I220" s="18" t="str">
        <f t="shared" ca="1" si="17"/>
        <v/>
      </c>
      <c r="J220" s="5" t="str">
        <f t="shared" si="18"/>
        <v/>
      </c>
      <c r="K220" s="25"/>
      <c r="L220" s="5" t="str">
        <f t="shared" si="19"/>
        <v/>
      </c>
      <c r="M220" s="7"/>
      <c r="N220" s="7"/>
      <c r="O220" s="7"/>
      <c r="P220" s="20" t="str">
        <f>IF($A220="","",INDEX(Project_Tracker!$I$2:$I$101,INT((ROW()-6)/17)+1))</f>
        <v/>
      </c>
      <c r="Q220" s="20" t="str">
        <f>IF($A220="","",INDEX(Project_Tracker!$K$2:$K$101,INT((ROW()-6)/17)+1))</f>
        <v/>
      </c>
    </row>
    <row r="221" spans="1:17" x14ac:dyDescent="0.2">
      <c r="A221" s="20" t="str">
        <f>IF(INDEX(Project_Tracker!$AL$2:$AL$101,INT((ROW()-6)/17)+1)="","",INDEX(Project_Tracker!$AL$2:$AL$101,INT((ROW()-6)/17)+1))</f>
        <v/>
      </c>
      <c r="B221" s="21" t="str">
        <f>IF($A221="","",INDEX(Project_Tracker!$AM$2:$AM$101,INT((ROW()-6)/17)+1))</f>
        <v/>
      </c>
      <c r="C221" s="20" t="str">
        <f>IF($A221="","",INDEX(Project_Tracker!$C$2:$C$101,INT((ROW()-6)/17)+1))</f>
        <v/>
      </c>
      <c r="D221" s="6" t="str">
        <f>IF($A221="","",INDEX(Project_Tracker!$T$2:$T$101,INT((ROW()-6)/17)+1))</f>
        <v/>
      </c>
      <c r="E221" s="18">
        <f t="shared" si="15"/>
        <v>12</v>
      </c>
      <c r="F221" s="23" t="str">
        <f>IF($A221="","",INDEX('Logic &amp; Lists'!$I$4:$I$20,$E221))</f>
        <v/>
      </c>
      <c r="G221" s="18" t="str">
        <f>IF($A221="","",INDEX('Logic &amp; Lists'!$J$4:$J$20,$E221))</f>
        <v/>
      </c>
      <c r="H221" s="6" t="str">
        <f t="shared" si="16"/>
        <v/>
      </c>
      <c r="I221" s="18" t="str">
        <f t="shared" ca="1" si="17"/>
        <v/>
      </c>
      <c r="J221" s="5" t="str">
        <f t="shared" si="18"/>
        <v/>
      </c>
      <c r="K221" s="25"/>
      <c r="L221" s="5" t="str">
        <f t="shared" si="19"/>
        <v/>
      </c>
      <c r="M221" s="7"/>
      <c r="N221" s="7"/>
      <c r="O221" s="7"/>
      <c r="P221" s="20" t="str">
        <f>IF($A221="","",INDEX(Project_Tracker!$I$2:$I$101,INT((ROW()-6)/17)+1))</f>
        <v/>
      </c>
      <c r="Q221" s="20" t="str">
        <f>IF($A221="","",INDEX(Project_Tracker!$K$2:$K$101,INT((ROW()-6)/17)+1))</f>
        <v/>
      </c>
    </row>
    <row r="222" spans="1:17" x14ac:dyDescent="0.2">
      <c r="A222" s="20" t="str">
        <f>IF(INDEX(Project_Tracker!$AL$2:$AL$101,INT((ROW()-6)/17)+1)="","",INDEX(Project_Tracker!$AL$2:$AL$101,INT((ROW()-6)/17)+1))</f>
        <v/>
      </c>
      <c r="B222" s="21" t="str">
        <f>IF($A222="","",INDEX(Project_Tracker!$AM$2:$AM$101,INT((ROW()-6)/17)+1))</f>
        <v/>
      </c>
      <c r="C222" s="20" t="str">
        <f>IF($A222="","",INDEX(Project_Tracker!$C$2:$C$101,INT((ROW()-6)/17)+1))</f>
        <v/>
      </c>
      <c r="D222" s="6" t="str">
        <f>IF($A222="","",INDEX(Project_Tracker!$T$2:$T$101,INT((ROW()-6)/17)+1))</f>
        <v/>
      </c>
      <c r="E222" s="18">
        <f t="shared" si="15"/>
        <v>13</v>
      </c>
      <c r="F222" s="23" t="str">
        <f>IF($A222="","",INDEX('Logic &amp; Lists'!$I$4:$I$20,$E222))</f>
        <v/>
      </c>
      <c r="G222" s="18" t="str">
        <f>IF($A222="","",INDEX('Logic &amp; Lists'!$J$4:$J$20,$E222))</f>
        <v/>
      </c>
      <c r="H222" s="6" t="str">
        <f t="shared" si="16"/>
        <v/>
      </c>
      <c r="I222" s="18" t="str">
        <f t="shared" ca="1" si="17"/>
        <v/>
      </c>
      <c r="J222" s="5" t="str">
        <f t="shared" si="18"/>
        <v/>
      </c>
      <c r="K222" s="25"/>
      <c r="L222" s="5" t="str">
        <f t="shared" si="19"/>
        <v/>
      </c>
      <c r="M222" s="7"/>
      <c r="N222" s="7"/>
      <c r="O222" s="7"/>
      <c r="P222" s="20" t="str">
        <f>IF($A222="","",INDEX(Project_Tracker!$I$2:$I$101,INT((ROW()-6)/17)+1))</f>
        <v/>
      </c>
      <c r="Q222" s="20" t="str">
        <f>IF($A222="","",INDEX(Project_Tracker!$K$2:$K$101,INT((ROW()-6)/17)+1))</f>
        <v/>
      </c>
    </row>
    <row r="223" spans="1:17" x14ac:dyDescent="0.2">
      <c r="A223" s="20" t="str">
        <f>IF(INDEX(Project_Tracker!$AL$2:$AL$101,INT((ROW()-6)/17)+1)="","",INDEX(Project_Tracker!$AL$2:$AL$101,INT((ROW()-6)/17)+1))</f>
        <v/>
      </c>
      <c r="B223" s="21" t="str">
        <f>IF($A223="","",INDEX(Project_Tracker!$AM$2:$AM$101,INT((ROW()-6)/17)+1))</f>
        <v/>
      </c>
      <c r="C223" s="20" t="str">
        <f>IF($A223="","",INDEX(Project_Tracker!$C$2:$C$101,INT((ROW()-6)/17)+1))</f>
        <v/>
      </c>
      <c r="D223" s="6" t="str">
        <f>IF($A223="","",INDEX(Project_Tracker!$T$2:$T$101,INT((ROW()-6)/17)+1))</f>
        <v/>
      </c>
      <c r="E223" s="18">
        <f t="shared" si="15"/>
        <v>14</v>
      </c>
      <c r="F223" s="23" t="str">
        <f>IF($A223="","",INDEX('Logic &amp; Lists'!$I$4:$I$20,$E223))</f>
        <v/>
      </c>
      <c r="G223" s="18" t="str">
        <f>IF($A223="","",INDEX('Logic &amp; Lists'!$J$4:$J$20,$E223))</f>
        <v/>
      </c>
      <c r="H223" s="6" t="str">
        <f t="shared" si="16"/>
        <v/>
      </c>
      <c r="I223" s="18" t="str">
        <f t="shared" ca="1" si="17"/>
        <v/>
      </c>
      <c r="J223" s="5" t="str">
        <f t="shared" si="18"/>
        <v/>
      </c>
      <c r="K223" s="25"/>
      <c r="L223" s="5" t="str">
        <f t="shared" si="19"/>
        <v/>
      </c>
      <c r="M223" s="7"/>
      <c r="N223" s="7"/>
      <c r="O223" s="7"/>
      <c r="P223" s="20" t="str">
        <f>IF($A223="","",INDEX(Project_Tracker!$I$2:$I$101,INT((ROW()-6)/17)+1))</f>
        <v/>
      </c>
      <c r="Q223" s="20" t="str">
        <f>IF($A223="","",INDEX(Project_Tracker!$K$2:$K$101,INT((ROW()-6)/17)+1))</f>
        <v/>
      </c>
    </row>
    <row r="224" spans="1:17" x14ac:dyDescent="0.2">
      <c r="A224" s="20" t="str">
        <f>IF(INDEX(Project_Tracker!$AL$2:$AL$101,INT((ROW()-6)/17)+1)="","",INDEX(Project_Tracker!$AL$2:$AL$101,INT((ROW()-6)/17)+1))</f>
        <v/>
      </c>
      <c r="B224" s="21" t="str">
        <f>IF($A224="","",INDEX(Project_Tracker!$AM$2:$AM$101,INT((ROW()-6)/17)+1))</f>
        <v/>
      </c>
      <c r="C224" s="20" t="str">
        <f>IF($A224="","",INDEX(Project_Tracker!$C$2:$C$101,INT((ROW()-6)/17)+1))</f>
        <v/>
      </c>
      <c r="D224" s="6" t="str">
        <f>IF($A224="","",INDEX(Project_Tracker!$T$2:$T$101,INT((ROW()-6)/17)+1))</f>
        <v/>
      </c>
      <c r="E224" s="18">
        <f t="shared" si="15"/>
        <v>15</v>
      </c>
      <c r="F224" s="23" t="str">
        <f>IF($A224="","",INDEX('Logic &amp; Lists'!$I$4:$I$20,$E224))</f>
        <v/>
      </c>
      <c r="G224" s="18" t="str">
        <f>IF($A224="","",INDEX('Logic &amp; Lists'!$J$4:$J$20,$E224))</f>
        <v/>
      </c>
      <c r="H224" s="6" t="str">
        <f t="shared" si="16"/>
        <v/>
      </c>
      <c r="I224" s="18" t="str">
        <f t="shared" ca="1" si="17"/>
        <v/>
      </c>
      <c r="J224" s="5" t="str">
        <f t="shared" si="18"/>
        <v/>
      </c>
      <c r="K224" s="25"/>
      <c r="L224" s="5" t="str">
        <f t="shared" si="19"/>
        <v/>
      </c>
      <c r="M224" s="7"/>
      <c r="N224" s="7"/>
      <c r="O224" s="7"/>
      <c r="P224" s="20" t="str">
        <f>IF($A224="","",INDEX(Project_Tracker!$I$2:$I$101,INT((ROW()-6)/17)+1))</f>
        <v/>
      </c>
      <c r="Q224" s="20" t="str">
        <f>IF($A224="","",INDEX(Project_Tracker!$K$2:$K$101,INT((ROW()-6)/17)+1))</f>
        <v/>
      </c>
    </row>
    <row r="225" spans="1:17" x14ac:dyDescent="0.2">
      <c r="A225" s="20" t="str">
        <f>IF(INDEX(Project_Tracker!$AL$2:$AL$101,INT((ROW()-6)/17)+1)="","",INDEX(Project_Tracker!$AL$2:$AL$101,INT((ROW()-6)/17)+1))</f>
        <v/>
      </c>
      <c r="B225" s="21" t="str">
        <f>IF($A225="","",INDEX(Project_Tracker!$AM$2:$AM$101,INT((ROW()-6)/17)+1))</f>
        <v/>
      </c>
      <c r="C225" s="20" t="str">
        <f>IF($A225="","",INDEX(Project_Tracker!$C$2:$C$101,INT((ROW()-6)/17)+1))</f>
        <v/>
      </c>
      <c r="D225" s="6" t="str">
        <f>IF($A225="","",INDEX(Project_Tracker!$T$2:$T$101,INT((ROW()-6)/17)+1))</f>
        <v/>
      </c>
      <c r="E225" s="18">
        <f t="shared" si="15"/>
        <v>16</v>
      </c>
      <c r="F225" s="23" t="str">
        <f>IF($A225="","",INDEX('Logic &amp; Lists'!$I$4:$I$20,$E225))</f>
        <v/>
      </c>
      <c r="G225" s="18" t="str">
        <f>IF($A225="","",INDEX('Logic &amp; Lists'!$J$4:$J$20,$E225))</f>
        <v/>
      </c>
      <c r="H225" s="6" t="str">
        <f t="shared" si="16"/>
        <v/>
      </c>
      <c r="I225" s="18" t="str">
        <f t="shared" ca="1" si="17"/>
        <v/>
      </c>
      <c r="J225" s="5" t="str">
        <f t="shared" si="18"/>
        <v/>
      </c>
      <c r="K225" s="25"/>
      <c r="L225" s="5" t="str">
        <f t="shared" si="19"/>
        <v/>
      </c>
      <c r="M225" s="7"/>
      <c r="N225" s="7"/>
      <c r="O225" s="7"/>
      <c r="P225" s="20" t="str">
        <f>IF($A225="","",INDEX(Project_Tracker!$I$2:$I$101,INT((ROW()-6)/17)+1))</f>
        <v/>
      </c>
      <c r="Q225" s="20" t="str">
        <f>IF($A225="","",INDEX(Project_Tracker!$K$2:$K$101,INT((ROW()-6)/17)+1))</f>
        <v/>
      </c>
    </row>
    <row r="226" spans="1:17" x14ac:dyDescent="0.2">
      <c r="A226" s="20" t="str">
        <f>IF(INDEX(Project_Tracker!$AL$2:$AL$101,INT((ROW()-6)/17)+1)="","",INDEX(Project_Tracker!$AL$2:$AL$101,INT((ROW()-6)/17)+1))</f>
        <v/>
      </c>
      <c r="B226" s="21" t="str">
        <f>IF($A226="","",INDEX(Project_Tracker!$AM$2:$AM$101,INT((ROW()-6)/17)+1))</f>
        <v/>
      </c>
      <c r="C226" s="20" t="str">
        <f>IF($A226="","",INDEX(Project_Tracker!$C$2:$C$101,INT((ROW()-6)/17)+1))</f>
        <v/>
      </c>
      <c r="D226" s="6" t="str">
        <f>IF($A226="","",INDEX(Project_Tracker!$T$2:$T$101,INT((ROW()-6)/17)+1))</f>
        <v/>
      </c>
      <c r="E226" s="18">
        <f t="shared" si="15"/>
        <v>17</v>
      </c>
      <c r="F226" s="23" t="str">
        <f>IF($A226="","",INDEX('Logic &amp; Lists'!$I$4:$I$20,$E226))</f>
        <v/>
      </c>
      <c r="G226" s="18" t="str">
        <f>IF($A226="","",INDEX('Logic &amp; Lists'!$J$4:$J$20,$E226))</f>
        <v/>
      </c>
      <c r="H226" s="6" t="str">
        <f t="shared" si="16"/>
        <v/>
      </c>
      <c r="I226" s="18" t="str">
        <f t="shared" ca="1" si="17"/>
        <v/>
      </c>
      <c r="J226" s="5" t="str">
        <f t="shared" si="18"/>
        <v/>
      </c>
      <c r="K226" s="25"/>
      <c r="L226" s="5" t="str">
        <f t="shared" si="19"/>
        <v/>
      </c>
      <c r="M226" s="7"/>
      <c r="N226" s="7"/>
      <c r="O226" s="7"/>
      <c r="P226" s="20" t="str">
        <f>IF($A226="","",INDEX(Project_Tracker!$I$2:$I$101,INT((ROW()-6)/17)+1))</f>
        <v/>
      </c>
      <c r="Q226" s="20" t="str">
        <f>IF($A226="","",INDEX(Project_Tracker!$K$2:$K$101,INT((ROW()-6)/17)+1))</f>
        <v/>
      </c>
    </row>
    <row r="227" spans="1:17" x14ac:dyDescent="0.2">
      <c r="A227" s="20" t="str">
        <f>IF(INDEX(Project_Tracker!$AL$2:$AL$101,INT((ROW()-6)/17)+1)="","",INDEX(Project_Tracker!$AL$2:$AL$101,INT((ROW()-6)/17)+1))</f>
        <v/>
      </c>
      <c r="B227" s="21" t="str">
        <f>IF($A227="","",INDEX(Project_Tracker!$AM$2:$AM$101,INT((ROW()-6)/17)+1))</f>
        <v/>
      </c>
      <c r="C227" s="20" t="str">
        <f>IF($A227="","",INDEX(Project_Tracker!$C$2:$C$101,INT((ROW()-6)/17)+1))</f>
        <v/>
      </c>
      <c r="D227" s="6" t="str">
        <f>IF($A227="","",INDEX(Project_Tracker!$T$2:$T$101,INT((ROW()-6)/17)+1))</f>
        <v/>
      </c>
      <c r="E227" s="18">
        <f t="shared" si="15"/>
        <v>1</v>
      </c>
      <c r="F227" s="23" t="str">
        <f>IF($A227="","",INDEX('Logic &amp; Lists'!$I$4:$I$20,$E227))</f>
        <v/>
      </c>
      <c r="G227" s="18" t="str">
        <f>IF($A227="","",INDEX('Logic &amp; Lists'!$J$4:$J$20,$E227))</f>
        <v/>
      </c>
      <c r="H227" s="6" t="str">
        <f t="shared" si="16"/>
        <v/>
      </c>
      <c r="I227" s="18" t="str">
        <f t="shared" ca="1" si="17"/>
        <v/>
      </c>
      <c r="J227" s="5" t="str">
        <f t="shared" si="18"/>
        <v/>
      </c>
      <c r="K227" s="25"/>
      <c r="L227" s="5" t="str">
        <f t="shared" si="19"/>
        <v/>
      </c>
      <c r="M227" s="7"/>
      <c r="N227" s="7"/>
      <c r="O227" s="7"/>
      <c r="P227" s="20" t="str">
        <f>IF($A227="","",INDEX(Project_Tracker!$I$2:$I$101,INT((ROW()-6)/17)+1))</f>
        <v/>
      </c>
      <c r="Q227" s="20" t="str">
        <f>IF($A227="","",INDEX(Project_Tracker!$K$2:$K$101,INT((ROW()-6)/17)+1))</f>
        <v/>
      </c>
    </row>
    <row r="228" spans="1:17" x14ac:dyDescent="0.2">
      <c r="A228" s="20" t="str">
        <f>IF(INDEX(Project_Tracker!$AL$2:$AL$101,INT((ROW()-6)/17)+1)="","",INDEX(Project_Tracker!$AL$2:$AL$101,INT((ROW()-6)/17)+1))</f>
        <v/>
      </c>
      <c r="B228" s="21" t="str">
        <f>IF($A228="","",INDEX(Project_Tracker!$AM$2:$AM$101,INT((ROW()-6)/17)+1))</f>
        <v/>
      </c>
      <c r="C228" s="20" t="str">
        <f>IF($A228="","",INDEX(Project_Tracker!$C$2:$C$101,INT((ROW()-6)/17)+1))</f>
        <v/>
      </c>
      <c r="D228" s="6" t="str">
        <f>IF($A228="","",INDEX(Project_Tracker!$T$2:$T$101,INT((ROW()-6)/17)+1))</f>
        <v/>
      </c>
      <c r="E228" s="18">
        <f t="shared" si="15"/>
        <v>2</v>
      </c>
      <c r="F228" s="23" t="str">
        <f>IF($A228="","",INDEX('Logic &amp; Lists'!$I$4:$I$20,$E228))</f>
        <v/>
      </c>
      <c r="G228" s="18" t="str">
        <f>IF($A228="","",INDEX('Logic &amp; Lists'!$J$4:$J$20,$E228))</f>
        <v/>
      </c>
      <c r="H228" s="6" t="str">
        <f t="shared" si="16"/>
        <v/>
      </c>
      <c r="I228" s="18" t="str">
        <f t="shared" ca="1" si="17"/>
        <v/>
      </c>
      <c r="J228" s="5" t="str">
        <f t="shared" si="18"/>
        <v/>
      </c>
      <c r="K228" s="25"/>
      <c r="L228" s="5" t="str">
        <f t="shared" si="19"/>
        <v/>
      </c>
      <c r="M228" s="7"/>
      <c r="N228" s="7"/>
      <c r="O228" s="7"/>
      <c r="P228" s="20" t="str">
        <f>IF($A228="","",INDEX(Project_Tracker!$I$2:$I$101,INT((ROW()-6)/17)+1))</f>
        <v/>
      </c>
      <c r="Q228" s="20" t="str">
        <f>IF($A228="","",INDEX(Project_Tracker!$K$2:$K$101,INT((ROW()-6)/17)+1))</f>
        <v/>
      </c>
    </row>
    <row r="229" spans="1:17" x14ac:dyDescent="0.2">
      <c r="A229" s="20" t="str">
        <f>IF(INDEX(Project_Tracker!$AL$2:$AL$101,INT((ROW()-6)/17)+1)="","",INDEX(Project_Tracker!$AL$2:$AL$101,INT((ROW()-6)/17)+1))</f>
        <v/>
      </c>
      <c r="B229" s="21" t="str">
        <f>IF($A229="","",INDEX(Project_Tracker!$AM$2:$AM$101,INT((ROW()-6)/17)+1))</f>
        <v/>
      </c>
      <c r="C229" s="20" t="str">
        <f>IF($A229="","",INDEX(Project_Tracker!$C$2:$C$101,INT((ROW()-6)/17)+1))</f>
        <v/>
      </c>
      <c r="D229" s="6" t="str">
        <f>IF($A229="","",INDEX(Project_Tracker!$T$2:$T$101,INT((ROW()-6)/17)+1))</f>
        <v/>
      </c>
      <c r="E229" s="18">
        <f t="shared" si="15"/>
        <v>3</v>
      </c>
      <c r="F229" s="23" t="str">
        <f>IF($A229="","",INDEX('Logic &amp; Lists'!$I$4:$I$20,$E229))</f>
        <v/>
      </c>
      <c r="G229" s="18" t="str">
        <f>IF($A229="","",INDEX('Logic &amp; Lists'!$J$4:$J$20,$E229))</f>
        <v/>
      </c>
      <c r="H229" s="6" t="str">
        <f t="shared" si="16"/>
        <v/>
      </c>
      <c r="I229" s="18" t="str">
        <f t="shared" ca="1" si="17"/>
        <v/>
      </c>
      <c r="J229" s="5" t="str">
        <f t="shared" si="18"/>
        <v/>
      </c>
      <c r="K229" s="25"/>
      <c r="L229" s="5" t="str">
        <f t="shared" si="19"/>
        <v/>
      </c>
      <c r="M229" s="7"/>
      <c r="N229" s="7"/>
      <c r="O229" s="7"/>
      <c r="P229" s="20" t="str">
        <f>IF($A229="","",INDEX(Project_Tracker!$I$2:$I$101,INT((ROW()-6)/17)+1))</f>
        <v/>
      </c>
      <c r="Q229" s="20" t="str">
        <f>IF($A229="","",INDEX(Project_Tracker!$K$2:$K$101,INT((ROW()-6)/17)+1))</f>
        <v/>
      </c>
    </row>
    <row r="230" spans="1:17" x14ac:dyDescent="0.2">
      <c r="A230" s="20" t="str">
        <f>IF(INDEX(Project_Tracker!$AL$2:$AL$101,INT((ROW()-6)/17)+1)="","",INDEX(Project_Tracker!$AL$2:$AL$101,INT((ROW()-6)/17)+1))</f>
        <v/>
      </c>
      <c r="B230" s="21" t="str">
        <f>IF($A230="","",INDEX(Project_Tracker!$AM$2:$AM$101,INT((ROW()-6)/17)+1))</f>
        <v/>
      </c>
      <c r="C230" s="20" t="str">
        <f>IF($A230="","",INDEX(Project_Tracker!$C$2:$C$101,INT((ROW()-6)/17)+1))</f>
        <v/>
      </c>
      <c r="D230" s="6" t="str">
        <f>IF($A230="","",INDEX(Project_Tracker!$T$2:$T$101,INT((ROW()-6)/17)+1))</f>
        <v/>
      </c>
      <c r="E230" s="18">
        <f t="shared" si="15"/>
        <v>4</v>
      </c>
      <c r="F230" s="23" t="str">
        <f>IF($A230="","",INDEX('Logic &amp; Lists'!$I$4:$I$20,$E230))</f>
        <v/>
      </c>
      <c r="G230" s="18" t="str">
        <f>IF($A230="","",INDEX('Logic &amp; Lists'!$J$4:$J$20,$E230))</f>
        <v/>
      </c>
      <c r="H230" s="6" t="str">
        <f t="shared" si="16"/>
        <v/>
      </c>
      <c r="I230" s="18" t="str">
        <f t="shared" ca="1" si="17"/>
        <v/>
      </c>
      <c r="J230" s="5" t="str">
        <f t="shared" si="18"/>
        <v/>
      </c>
      <c r="K230" s="25"/>
      <c r="L230" s="5" t="str">
        <f t="shared" si="19"/>
        <v/>
      </c>
      <c r="M230" s="7"/>
      <c r="N230" s="7"/>
      <c r="O230" s="7"/>
      <c r="P230" s="20" t="str">
        <f>IF($A230="","",INDEX(Project_Tracker!$I$2:$I$101,INT((ROW()-6)/17)+1))</f>
        <v/>
      </c>
      <c r="Q230" s="20" t="str">
        <f>IF($A230="","",INDEX(Project_Tracker!$K$2:$K$101,INT((ROW()-6)/17)+1))</f>
        <v/>
      </c>
    </row>
    <row r="231" spans="1:17" x14ac:dyDescent="0.2">
      <c r="A231" s="20" t="str">
        <f>IF(INDEX(Project_Tracker!$AL$2:$AL$101,INT((ROW()-6)/17)+1)="","",INDEX(Project_Tracker!$AL$2:$AL$101,INT((ROW()-6)/17)+1))</f>
        <v/>
      </c>
      <c r="B231" s="21" t="str">
        <f>IF($A231="","",INDEX(Project_Tracker!$AM$2:$AM$101,INT((ROW()-6)/17)+1))</f>
        <v/>
      </c>
      <c r="C231" s="20" t="str">
        <f>IF($A231="","",INDEX(Project_Tracker!$C$2:$C$101,INT((ROW()-6)/17)+1))</f>
        <v/>
      </c>
      <c r="D231" s="6" t="str">
        <f>IF($A231="","",INDEX(Project_Tracker!$T$2:$T$101,INT((ROW()-6)/17)+1))</f>
        <v/>
      </c>
      <c r="E231" s="18">
        <f t="shared" si="15"/>
        <v>5</v>
      </c>
      <c r="F231" s="23" t="str">
        <f>IF($A231="","",INDEX('Logic &amp; Lists'!$I$4:$I$20,$E231))</f>
        <v/>
      </c>
      <c r="G231" s="18" t="str">
        <f>IF($A231="","",INDEX('Logic &amp; Lists'!$J$4:$J$20,$E231))</f>
        <v/>
      </c>
      <c r="H231" s="6" t="str">
        <f t="shared" si="16"/>
        <v/>
      </c>
      <c r="I231" s="18" t="str">
        <f t="shared" ca="1" si="17"/>
        <v/>
      </c>
      <c r="J231" s="5" t="str">
        <f t="shared" si="18"/>
        <v/>
      </c>
      <c r="K231" s="25"/>
      <c r="L231" s="5" t="str">
        <f t="shared" si="19"/>
        <v/>
      </c>
      <c r="M231" s="7"/>
      <c r="N231" s="7"/>
      <c r="O231" s="7"/>
      <c r="P231" s="20" t="str">
        <f>IF($A231="","",INDEX(Project_Tracker!$I$2:$I$101,INT((ROW()-6)/17)+1))</f>
        <v/>
      </c>
      <c r="Q231" s="20" t="str">
        <f>IF($A231="","",INDEX(Project_Tracker!$K$2:$K$101,INT((ROW()-6)/17)+1))</f>
        <v/>
      </c>
    </row>
    <row r="232" spans="1:17" x14ac:dyDescent="0.2">
      <c r="A232" s="20" t="str">
        <f>IF(INDEX(Project_Tracker!$AL$2:$AL$101,INT((ROW()-6)/17)+1)="","",INDEX(Project_Tracker!$AL$2:$AL$101,INT((ROW()-6)/17)+1))</f>
        <v/>
      </c>
      <c r="B232" s="21" t="str">
        <f>IF($A232="","",INDEX(Project_Tracker!$AM$2:$AM$101,INT((ROW()-6)/17)+1))</f>
        <v/>
      </c>
      <c r="C232" s="20" t="str">
        <f>IF($A232="","",INDEX(Project_Tracker!$C$2:$C$101,INT((ROW()-6)/17)+1))</f>
        <v/>
      </c>
      <c r="D232" s="6" t="str">
        <f>IF($A232="","",INDEX(Project_Tracker!$T$2:$T$101,INT((ROW()-6)/17)+1))</f>
        <v/>
      </c>
      <c r="E232" s="18">
        <f t="shared" si="15"/>
        <v>6</v>
      </c>
      <c r="F232" s="23" t="str">
        <f>IF($A232="","",INDEX('Logic &amp; Lists'!$I$4:$I$20,$E232))</f>
        <v/>
      </c>
      <c r="G232" s="18" t="str">
        <f>IF($A232="","",INDEX('Logic &amp; Lists'!$J$4:$J$20,$E232))</f>
        <v/>
      </c>
      <c r="H232" s="6" t="str">
        <f t="shared" si="16"/>
        <v/>
      </c>
      <c r="I232" s="18" t="str">
        <f t="shared" ca="1" si="17"/>
        <v/>
      </c>
      <c r="J232" s="5" t="str">
        <f t="shared" si="18"/>
        <v/>
      </c>
      <c r="K232" s="25"/>
      <c r="L232" s="5" t="str">
        <f t="shared" si="19"/>
        <v/>
      </c>
      <c r="M232" s="7"/>
      <c r="N232" s="7"/>
      <c r="O232" s="7"/>
      <c r="P232" s="20" t="str">
        <f>IF($A232="","",INDEX(Project_Tracker!$I$2:$I$101,INT((ROW()-6)/17)+1))</f>
        <v/>
      </c>
      <c r="Q232" s="20" t="str">
        <f>IF($A232="","",INDEX(Project_Tracker!$K$2:$K$101,INT((ROW()-6)/17)+1))</f>
        <v/>
      </c>
    </row>
    <row r="233" spans="1:17" x14ac:dyDescent="0.2">
      <c r="A233" s="20" t="str">
        <f>IF(INDEX(Project_Tracker!$AL$2:$AL$101,INT((ROW()-6)/17)+1)="","",INDEX(Project_Tracker!$AL$2:$AL$101,INT((ROW()-6)/17)+1))</f>
        <v/>
      </c>
      <c r="B233" s="21" t="str">
        <f>IF($A233="","",INDEX(Project_Tracker!$AM$2:$AM$101,INT((ROW()-6)/17)+1))</f>
        <v/>
      </c>
      <c r="C233" s="20" t="str">
        <f>IF($A233="","",INDEX(Project_Tracker!$C$2:$C$101,INT((ROW()-6)/17)+1))</f>
        <v/>
      </c>
      <c r="D233" s="6" t="str">
        <f>IF($A233="","",INDEX(Project_Tracker!$T$2:$T$101,INT((ROW()-6)/17)+1))</f>
        <v/>
      </c>
      <c r="E233" s="18">
        <f t="shared" si="15"/>
        <v>7</v>
      </c>
      <c r="F233" s="23" t="str">
        <f>IF($A233="","",INDEX('Logic &amp; Lists'!$I$4:$I$20,$E233))</f>
        <v/>
      </c>
      <c r="G233" s="18" t="str">
        <f>IF($A233="","",INDEX('Logic &amp; Lists'!$J$4:$J$20,$E233))</f>
        <v/>
      </c>
      <c r="H233" s="6" t="str">
        <f t="shared" si="16"/>
        <v/>
      </c>
      <c r="I233" s="18" t="str">
        <f t="shared" ca="1" si="17"/>
        <v/>
      </c>
      <c r="J233" s="5" t="str">
        <f t="shared" si="18"/>
        <v/>
      </c>
      <c r="K233" s="25"/>
      <c r="L233" s="5" t="str">
        <f t="shared" si="19"/>
        <v/>
      </c>
      <c r="M233" s="7"/>
      <c r="N233" s="7"/>
      <c r="O233" s="7"/>
      <c r="P233" s="20" t="str">
        <f>IF($A233="","",INDEX(Project_Tracker!$I$2:$I$101,INT((ROW()-6)/17)+1))</f>
        <v/>
      </c>
      <c r="Q233" s="20" t="str">
        <f>IF($A233="","",INDEX(Project_Tracker!$K$2:$K$101,INT((ROW()-6)/17)+1))</f>
        <v/>
      </c>
    </row>
    <row r="234" spans="1:17" x14ac:dyDescent="0.2">
      <c r="A234" s="20" t="str">
        <f>IF(INDEX(Project_Tracker!$AL$2:$AL$101,INT((ROW()-6)/17)+1)="","",INDEX(Project_Tracker!$AL$2:$AL$101,INT((ROW()-6)/17)+1))</f>
        <v/>
      </c>
      <c r="B234" s="21" t="str">
        <f>IF($A234="","",INDEX(Project_Tracker!$AM$2:$AM$101,INT((ROW()-6)/17)+1))</f>
        <v/>
      </c>
      <c r="C234" s="20" t="str">
        <f>IF($A234="","",INDEX(Project_Tracker!$C$2:$C$101,INT((ROW()-6)/17)+1))</f>
        <v/>
      </c>
      <c r="D234" s="6" t="str">
        <f>IF($A234="","",INDEX(Project_Tracker!$T$2:$T$101,INT((ROW()-6)/17)+1))</f>
        <v/>
      </c>
      <c r="E234" s="18">
        <f t="shared" si="15"/>
        <v>8</v>
      </c>
      <c r="F234" s="23" t="str">
        <f>IF($A234="","",INDEX('Logic &amp; Lists'!$I$4:$I$20,$E234))</f>
        <v/>
      </c>
      <c r="G234" s="18" t="str">
        <f>IF($A234="","",INDEX('Logic &amp; Lists'!$J$4:$J$20,$E234))</f>
        <v/>
      </c>
      <c r="H234" s="6" t="str">
        <f t="shared" si="16"/>
        <v/>
      </c>
      <c r="I234" s="18" t="str">
        <f t="shared" ca="1" si="17"/>
        <v/>
      </c>
      <c r="J234" s="5" t="str">
        <f t="shared" si="18"/>
        <v/>
      </c>
      <c r="K234" s="25"/>
      <c r="L234" s="5" t="str">
        <f t="shared" si="19"/>
        <v/>
      </c>
      <c r="M234" s="7"/>
      <c r="N234" s="7"/>
      <c r="O234" s="7"/>
      <c r="P234" s="20" t="str">
        <f>IF($A234="","",INDEX(Project_Tracker!$I$2:$I$101,INT((ROW()-6)/17)+1))</f>
        <v/>
      </c>
      <c r="Q234" s="20" t="str">
        <f>IF($A234="","",INDEX(Project_Tracker!$K$2:$K$101,INT((ROW()-6)/17)+1))</f>
        <v/>
      </c>
    </row>
    <row r="235" spans="1:17" x14ac:dyDescent="0.2">
      <c r="A235" s="20" t="str">
        <f>IF(INDEX(Project_Tracker!$AL$2:$AL$101,INT((ROW()-6)/17)+1)="","",INDEX(Project_Tracker!$AL$2:$AL$101,INT((ROW()-6)/17)+1))</f>
        <v/>
      </c>
      <c r="B235" s="21" t="str">
        <f>IF($A235="","",INDEX(Project_Tracker!$AM$2:$AM$101,INT((ROW()-6)/17)+1))</f>
        <v/>
      </c>
      <c r="C235" s="20" t="str">
        <f>IF($A235="","",INDEX(Project_Tracker!$C$2:$C$101,INT((ROW()-6)/17)+1))</f>
        <v/>
      </c>
      <c r="D235" s="6" t="str">
        <f>IF($A235="","",INDEX(Project_Tracker!$T$2:$T$101,INT((ROW()-6)/17)+1))</f>
        <v/>
      </c>
      <c r="E235" s="18">
        <f t="shared" si="15"/>
        <v>9</v>
      </c>
      <c r="F235" s="23" t="str">
        <f>IF($A235="","",INDEX('Logic &amp; Lists'!$I$4:$I$20,$E235))</f>
        <v/>
      </c>
      <c r="G235" s="18" t="str">
        <f>IF($A235="","",INDEX('Logic &amp; Lists'!$J$4:$J$20,$E235))</f>
        <v/>
      </c>
      <c r="H235" s="6" t="str">
        <f t="shared" si="16"/>
        <v/>
      </c>
      <c r="I235" s="18" t="str">
        <f t="shared" ca="1" si="17"/>
        <v/>
      </c>
      <c r="J235" s="5" t="str">
        <f t="shared" si="18"/>
        <v/>
      </c>
      <c r="K235" s="25"/>
      <c r="L235" s="5" t="str">
        <f t="shared" si="19"/>
        <v/>
      </c>
      <c r="M235" s="7"/>
      <c r="N235" s="7"/>
      <c r="O235" s="7"/>
      <c r="P235" s="20" t="str">
        <f>IF($A235="","",INDEX(Project_Tracker!$I$2:$I$101,INT((ROW()-6)/17)+1))</f>
        <v/>
      </c>
      <c r="Q235" s="20" t="str">
        <f>IF($A235="","",INDEX(Project_Tracker!$K$2:$K$101,INT((ROW()-6)/17)+1))</f>
        <v/>
      </c>
    </row>
    <row r="236" spans="1:17" x14ac:dyDescent="0.2">
      <c r="A236" s="20" t="str">
        <f>IF(INDEX(Project_Tracker!$AL$2:$AL$101,INT((ROW()-6)/17)+1)="","",INDEX(Project_Tracker!$AL$2:$AL$101,INT((ROW()-6)/17)+1))</f>
        <v/>
      </c>
      <c r="B236" s="21" t="str">
        <f>IF($A236="","",INDEX(Project_Tracker!$AM$2:$AM$101,INT((ROW()-6)/17)+1))</f>
        <v/>
      </c>
      <c r="C236" s="20" t="str">
        <f>IF($A236="","",INDEX(Project_Tracker!$C$2:$C$101,INT((ROW()-6)/17)+1))</f>
        <v/>
      </c>
      <c r="D236" s="6" t="str">
        <f>IF($A236="","",INDEX(Project_Tracker!$T$2:$T$101,INT((ROW()-6)/17)+1))</f>
        <v/>
      </c>
      <c r="E236" s="18">
        <f t="shared" si="15"/>
        <v>10</v>
      </c>
      <c r="F236" s="23" t="str">
        <f>IF($A236="","",INDEX('Logic &amp; Lists'!$I$4:$I$20,$E236))</f>
        <v/>
      </c>
      <c r="G236" s="18" t="str">
        <f>IF($A236="","",INDEX('Logic &amp; Lists'!$J$4:$J$20,$E236))</f>
        <v/>
      </c>
      <c r="H236" s="6" t="str">
        <f t="shared" si="16"/>
        <v/>
      </c>
      <c r="I236" s="18" t="str">
        <f t="shared" ca="1" si="17"/>
        <v/>
      </c>
      <c r="J236" s="5" t="str">
        <f t="shared" si="18"/>
        <v/>
      </c>
      <c r="K236" s="25"/>
      <c r="L236" s="5" t="str">
        <f t="shared" si="19"/>
        <v/>
      </c>
      <c r="M236" s="7"/>
      <c r="N236" s="7"/>
      <c r="O236" s="7"/>
      <c r="P236" s="20" t="str">
        <f>IF($A236="","",INDEX(Project_Tracker!$I$2:$I$101,INT((ROW()-6)/17)+1))</f>
        <v/>
      </c>
      <c r="Q236" s="20" t="str">
        <f>IF($A236="","",INDEX(Project_Tracker!$K$2:$K$101,INT((ROW()-6)/17)+1))</f>
        <v/>
      </c>
    </row>
    <row r="237" spans="1:17" x14ac:dyDescent="0.2">
      <c r="A237" s="20" t="str">
        <f>IF(INDEX(Project_Tracker!$AL$2:$AL$101,INT((ROW()-6)/17)+1)="","",INDEX(Project_Tracker!$AL$2:$AL$101,INT((ROW()-6)/17)+1))</f>
        <v/>
      </c>
      <c r="B237" s="21" t="str">
        <f>IF($A237="","",INDEX(Project_Tracker!$AM$2:$AM$101,INT((ROW()-6)/17)+1))</f>
        <v/>
      </c>
      <c r="C237" s="20" t="str">
        <f>IF($A237="","",INDEX(Project_Tracker!$C$2:$C$101,INT((ROW()-6)/17)+1))</f>
        <v/>
      </c>
      <c r="D237" s="6" t="str">
        <f>IF($A237="","",INDEX(Project_Tracker!$T$2:$T$101,INT((ROW()-6)/17)+1))</f>
        <v/>
      </c>
      <c r="E237" s="18">
        <f t="shared" si="15"/>
        <v>11</v>
      </c>
      <c r="F237" s="23" t="str">
        <f>IF($A237="","",INDEX('Logic &amp; Lists'!$I$4:$I$20,$E237))</f>
        <v/>
      </c>
      <c r="G237" s="18" t="str">
        <f>IF($A237="","",INDEX('Logic &amp; Lists'!$J$4:$J$20,$E237))</f>
        <v/>
      </c>
      <c r="H237" s="6" t="str">
        <f t="shared" si="16"/>
        <v/>
      </c>
      <c r="I237" s="18" t="str">
        <f t="shared" ca="1" si="17"/>
        <v/>
      </c>
      <c r="J237" s="5" t="str">
        <f t="shared" si="18"/>
        <v/>
      </c>
      <c r="K237" s="25"/>
      <c r="L237" s="5" t="str">
        <f t="shared" si="19"/>
        <v/>
      </c>
      <c r="M237" s="7"/>
      <c r="N237" s="7"/>
      <c r="O237" s="7"/>
      <c r="P237" s="20" t="str">
        <f>IF($A237="","",INDEX(Project_Tracker!$I$2:$I$101,INT((ROW()-6)/17)+1))</f>
        <v/>
      </c>
      <c r="Q237" s="20" t="str">
        <f>IF($A237="","",INDEX(Project_Tracker!$K$2:$K$101,INT((ROW()-6)/17)+1))</f>
        <v/>
      </c>
    </row>
    <row r="238" spans="1:17" x14ac:dyDescent="0.2">
      <c r="A238" s="20" t="str">
        <f>IF(INDEX(Project_Tracker!$AL$2:$AL$101,INT((ROW()-6)/17)+1)="","",INDEX(Project_Tracker!$AL$2:$AL$101,INT((ROW()-6)/17)+1))</f>
        <v/>
      </c>
      <c r="B238" s="21" t="str">
        <f>IF($A238="","",INDEX(Project_Tracker!$AM$2:$AM$101,INT((ROW()-6)/17)+1))</f>
        <v/>
      </c>
      <c r="C238" s="20" t="str">
        <f>IF($A238="","",INDEX(Project_Tracker!$C$2:$C$101,INT((ROW()-6)/17)+1))</f>
        <v/>
      </c>
      <c r="D238" s="6" t="str">
        <f>IF($A238="","",INDEX(Project_Tracker!$T$2:$T$101,INT((ROW()-6)/17)+1))</f>
        <v/>
      </c>
      <c r="E238" s="18">
        <f t="shared" si="15"/>
        <v>12</v>
      </c>
      <c r="F238" s="23" t="str">
        <f>IF($A238="","",INDEX('Logic &amp; Lists'!$I$4:$I$20,$E238))</f>
        <v/>
      </c>
      <c r="G238" s="18" t="str">
        <f>IF($A238="","",INDEX('Logic &amp; Lists'!$J$4:$J$20,$E238))</f>
        <v/>
      </c>
      <c r="H238" s="6" t="str">
        <f t="shared" si="16"/>
        <v/>
      </c>
      <c r="I238" s="18" t="str">
        <f t="shared" ca="1" si="17"/>
        <v/>
      </c>
      <c r="J238" s="5" t="str">
        <f t="shared" si="18"/>
        <v/>
      </c>
      <c r="K238" s="25"/>
      <c r="L238" s="5" t="str">
        <f t="shared" si="19"/>
        <v/>
      </c>
      <c r="M238" s="7"/>
      <c r="N238" s="7"/>
      <c r="O238" s="7"/>
      <c r="P238" s="20" t="str">
        <f>IF($A238="","",INDEX(Project_Tracker!$I$2:$I$101,INT((ROW()-6)/17)+1))</f>
        <v/>
      </c>
      <c r="Q238" s="20" t="str">
        <f>IF($A238="","",INDEX(Project_Tracker!$K$2:$K$101,INT((ROW()-6)/17)+1))</f>
        <v/>
      </c>
    </row>
    <row r="239" spans="1:17" x14ac:dyDescent="0.2">
      <c r="A239" s="20" t="str">
        <f>IF(INDEX(Project_Tracker!$AL$2:$AL$101,INT((ROW()-6)/17)+1)="","",INDEX(Project_Tracker!$AL$2:$AL$101,INT((ROW()-6)/17)+1))</f>
        <v/>
      </c>
      <c r="B239" s="21" t="str">
        <f>IF($A239="","",INDEX(Project_Tracker!$AM$2:$AM$101,INT((ROW()-6)/17)+1))</f>
        <v/>
      </c>
      <c r="C239" s="20" t="str">
        <f>IF($A239="","",INDEX(Project_Tracker!$C$2:$C$101,INT((ROW()-6)/17)+1))</f>
        <v/>
      </c>
      <c r="D239" s="6" t="str">
        <f>IF($A239="","",INDEX(Project_Tracker!$T$2:$T$101,INT((ROW()-6)/17)+1))</f>
        <v/>
      </c>
      <c r="E239" s="18">
        <f t="shared" si="15"/>
        <v>13</v>
      </c>
      <c r="F239" s="23" t="str">
        <f>IF($A239="","",INDEX('Logic &amp; Lists'!$I$4:$I$20,$E239))</f>
        <v/>
      </c>
      <c r="G239" s="18" t="str">
        <f>IF($A239="","",INDEX('Logic &amp; Lists'!$J$4:$J$20,$E239))</f>
        <v/>
      </c>
      <c r="H239" s="6" t="str">
        <f t="shared" si="16"/>
        <v/>
      </c>
      <c r="I239" s="18" t="str">
        <f t="shared" ca="1" si="17"/>
        <v/>
      </c>
      <c r="J239" s="5" t="str">
        <f t="shared" si="18"/>
        <v/>
      </c>
      <c r="K239" s="25"/>
      <c r="L239" s="5" t="str">
        <f t="shared" si="19"/>
        <v/>
      </c>
      <c r="M239" s="7"/>
      <c r="N239" s="7"/>
      <c r="O239" s="7"/>
      <c r="P239" s="20" t="str">
        <f>IF($A239="","",INDEX(Project_Tracker!$I$2:$I$101,INT((ROW()-6)/17)+1))</f>
        <v/>
      </c>
      <c r="Q239" s="20" t="str">
        <f>IF($A239="","",INDEX(Project_Tracker!$K$2:$K$101,INT((ROW()-6)/17)+1))</f>
        <v/>
      </c>
    </row>
    <row r="240" spans="1:17" x14ac:dyDescent="0.2">
      <c r="A240" s="20" t="str">
        <f>IF(INDEX(Project_Tracker!$AL$2:$AL$101,INT((ROW()-6)/17)+1)="","",INDEX(Project_Tracker!$AL$2:$AL$101,INT((ROW()-6)/17)+1))</f>
        <v/>
      </c>
      <c r="B240" s="21" t="str">
        <f>IF($A240="","",INDEX(Project_Tracker!$AM$2:$AM$101,INT((ROW()-6)/17)+1))</f>
        <v/>
      </c>
      <c r="C240" s="20" t="str">
        <f>IF($A240="","",INDEX(Project_Tracker!$C$2:$C$101,INT((ROW()-6)/17)+1))</f>
        <v/>
      </c>
      <c r="D240" s="6" t="str">
        <f>IF($A240="","",INDEX(Project_Tracker!$T$2:$T$101,INT((ROW()-6)/17)+1))</f>
        <v/>
      </c>
      <c r="E240" s="18">
        <f t="shared" si="15"/>
        <v>14</v>
      </c>
      <c r="F240" s="23" t="str">
        <f>IF($A240="","",INDEX('Logic &amp; Lists'!$I$4:$I$20,$E240))</f>
        <v/>
      </c>
      <c r="G240" s="18" t="str">
        <f>IF($A240="","",INDEX('Logic &amp; Lists'!$J$4:$J$20,$E240))</f>
        <v/>
      </c>
      <c r="H240" s="6" t="str">
        <f t="shared" si="16"/>
        <v/>
      </c>
      <c r="I240" s="18" t="str">
        <f t="shared" ca="1" si="17"/>
        <v/>
      </c>
      <c r="J240" s="5" t="str">
        <f t="shared" si="18"/>
        <v/>
      </c>
      <c r="K240" s="25"/>
      <c r="L240" s="5" t="str">
        <f t="shared" si="19"/>
        <v/>
      </c>
      <c r="M240" s="7"/>
      <c r="N240" s="7"/>
      <c r="O240" s="7"/>
      <c r="P240" s="20" t="str">
        <f>IF($A240="","",INDEX(Project_Tracker!$I$2:$I$101,INT((ROW()-6)/17)+1))</f>
        <v/>
      </c>
      <c r="Q240" s="20" t="str">
        <f>IF($A240="","",INDEX(Project_Tracker!$K$2:$K$101,INT((ROW()-6)/17)+1))</f>
        <v/>
      </c>
    </row>
    <row r="241" spans="1:17" x14ac:dyDescent="0.2">
      <c r="A241" s="20" t="str">
        <f>IF(INDEX(Project_Tracker!$AL$2:$AL$101,INT((ROW()-6)/17)+1)="","",INDEX(Project_Tracker!$AL$2:$AL$101,INT((ROW()-6)/17)+1))</f>
        <v/>
      </c>
      <c r="B241" s="21" t="str">
        <f>IF($A241="","",INDEX(Project_Tracker!$AM$2:$AM$101,INT((ROW()-6)/17)+1))</f>
        <v/>
      </c>
      <c r="C241" s="20" t="str">
        <f>IF($A241="","",INDEX(Project_Tracker!$C$2:$C$101,INT((ROW()-6)/17)+1))</f>
        <v/>
      </c>
      <c r="D241" s="6" t="str">
        <f>IF($A241="","",INDEX(Project_Tracker!$T$2:$T$101,INT((ROW()-6)/17)+1))</f>
        <v/>
      </c>
      <c r="E241" s="18">
        <f t="shared" si="15"/>
        <v>15</v>
      </c>
      <c r="F241" s="23" t="str">
        <f>IF($A241="","",INDEX('Logic &amp; Lists'!$I$4:$I$20,$E241))</f>
        <v/>
      </c>
      <c r="G241" s="18" t="str">
        <f>IF($A241="","",INDEX('Logic &amp; Lists'!$J$4:$J$20,$E241))</f>
        <v/>
      </c>
      <c r="H241" s="6" t="str">
        <f t="shared" si="16"/>
        <v/>
      </c>
      <c r="I241" s="18" t="str">
        <f t="shared" ca="1" si="17"/>
        <v/>
      </c>
      <c r="J241" s="5" t="str">
        <f t="shared" si="18"/>
        <v/>
      </c>
      <c r="K241" s="25"/>
      <c r="L241" s="5" t="str">
        <f t="shared" si="19"/>
        <v/>
      </c>
      <c r="M241" s="7"/>
      <c r="N241" s="7"/>
      <c r="O241" s="7"/>
      <c r="P241" s="20" t="str">
        <f>IF($A241="","",INDEX(Project_Tracker!$I$2:$I$101,INT((ROW()-6)/17)+1))</f>
        <v/>
      </c>
      <c r="Q241" s="20" t="str">
        <f>IF($A241="","",INDEX(Project_Tracker!$K$2:$K$101,INT((ROW()-6)/17)+1))</f>
        <v/>
      </c>
    </row>
    <row r="242" spans="1:17" x14ac:dyDescent="0.2">
      <c r="A242" s="20" t="str">
        <f>IF(INDEX(Project_Tracker!$AL$2:$AL$101,INT((ROW()-6)/17)+1)="","",INDEX(Project_Tracker!$AL$2:$AL$101,INT((ROW()-6)/17)+1))</f>
        <v/>
      </c>
      <c r="B242" s="21" t="str">
        <f>IF($A242="","",INDEX(Project_Tracker!$AM$2:$AM$101,INT((ROW()-6)/17)+1))</f>
        <v/>
      </c>
      <c r="C242" s="20" t="str">
        <f>IF($A242="","",INDEX(Project_Tracker!$C$2:$C$101,INT((ROW()-6)/17)+1))</f>
        <v/>
      </c>
      <c r="D242" s="6" t="str">
        <f>IF($A242="","",INDEX(Project_Tracker!$T$2:$T$101,INT((ROW()-6)/17)+1))</f>
        <v/>
      </c>
      <c r="E242" s="18">
        <f t="shared" si="15"/>
        <v>16</v>
      </c>
      <c r="F242" s="23" t="str">
        <f>IF($A242="","",INDEX('Logic &amp; Lists'!$I$4:$I$20,$E242))</f>
        <v/>
      </c>
      <c r="G242" s="18" t="str">
        <f>IF($A242="","",INDEX('Logic &amp; Lists'!$J$4:$J$20,$E242))</f>
        <v/>
      </c>
      <c r="H242" s="6" t="str">
        <f t="shared" si="16"/>
        <v/>
      </c>
      <c r="I242" s="18" t="str">
        <f t="shared" ca="1" si="17"/>
        <v/>
      </c>
      <c r="J242" s="5" t="str">
        <f t="shared" si="18"/>
        <v/>
      </c>
      <c r="K242" s="25"/>
      <c r="L242" s="5" t="str">
        <f t="shared" si="19"/>
        <v/>
      </c>
      <c r="M242" s="7"/>
      <c r="N242" s="7"/>
      <c r="O242" s="7"/>
      <c r="P242" s="20" t="str">
        <f>IF($A242="","",INDEX(Project_Tracker!$I$2:$I$101,INT((ROW()-6)/17)+1))</f>
        <v/>
      </c>
      <c r="Q242" s="20" t="str">
        <f>IF($A242="","",INDEX(Project_Tracker!$K$2:$K$101,INT((ROW()-6)/17)+1))</f>
        <v/>
      </c>
    </row>
    <row r="243" spans="1:17" x14ac:dyDescent="0.2">
      <c r="A243" s="20" t="str">
        <f>IF(INDEX(Project_Tracker!$AL$2:$AL$101,INT((ROW()-6)/17)+1)="","",INDEX(Project_Tracker!$AL$2:$AL$101,INT((ROW()-6)/17)+1))</f>
        <v/>
      </c>
      <c r="B243" s="21" t="str">
        <f>IF($A243="","",INDEX(Project_Tracker!$AM$2:$AM$101,INT((ROW()-6)/17)+1))</f>
        <v/>
      </c>
      <c r="C243" s="20" t="str">
        <f>IF($A243="","",INDEX(Project_Tracker!$C$2:$C$101,INT((ROW()-6)/17)+1))</f>
        <v/>
      </c>
      <c r="D243" s="6" t="str">
        <f>IF($A243="","",INDEX(Project_Tracker!$T$2:$T$101,INT((ROW()-6)/17)+1))</f>
        <v/>
      </c>
      <c r="E243" s="18">
        <f t="shared" si="15"/>
        <v>17</v>
      </c>
      <c r="F243" s="23" t="str">
        <f>IF($A243="","",INDEX('Logic &amp; Lists'!$I$4:$I$20,$E243))</f>
        <v/>
      </c>
      <c r="G243" s="18" t="str">
        <f>IF($A243="","",INDEX('Logic &amp; Lists'!$J$4:$J$20,$E243))</f>
        <v/>
      </c>
      <c r="H243" s="6" t="str">
        <f t="shared" si="16"/>
        <v/>
      </c>
      <c r="I243" s="18" t="str">
        <f t="shared" ca="1" si="17"/>
        <v/>
      </c>
      <c r="J243" s="5" t="str">
        <f t="shared" si="18"/>
        <v/>
      </c>
      <c r="K243" s="25"/>
      <c r="L243" s="5" t="str">
        <f t="shared" si="19"/>
        <v/>
      </c>
      <c r="M243" s="7"/>
      <c r="N243" s="7"/>
      <c r="O243" s="7"/>
      <c r="P243" s="20" t="str">
        <f>IF($A243="","",INDEX(Project_Tracker!$I$2:$I$101,INT((ROW()-6)/17)+1))</f>
        <v/>
      </c>
      <c r="Q243" s="20" t="str">
        <f>IF($A243="","",INDEX(Project_Tracker!$K$2:$K$101,INT((ROW()-6)/17)+1))</f>
        <v/>
      </c>
    </row>
    <row r="244" spans="1:17" x14ac:dyDescent="0.2">
      <c r="A244" s="20" t="str">
        <f>IF(INDEX(Project_Tracker!$AL$2:$AL$101,INT((ROW()-6)/17)+1)="","",INDEX(Project_Tracker!$AL$2:$AL$101,INT((ROW()-6)/17)+1))</f>
        <v/>
      </c>
      <c r="B244" s="21" t="str">
        <f>IF($A244="","",INDEX(Project_Tracker!$AM$2:$AM$101,INT((ROW()-6)/17)+1))</f>
        <v/>
      </c>
      <c r="C244" s="20" t="str">
        <f>IF($A244="","",INDEX(Project_Tracker!$C$2:$C$101,INT((ROW()-6)/17)+1))</f>
        <v/>
      </c>
      <c r="D244" s="6" t="str">
        <f>IF($A244="","",INDEX(Project_Tracker!$T$2:$T$101,INT((ROW()-6)/17)+1))</f>
        <v/>
      </c>
      <c r="E244" s="18">
        <f t="shared" si="15"/>
        <v>1</v>
      </c>
      <c r="F244" s="23" t="str">
        <f>IF($A244="","",INDEX('Logic &amp; Lists'!$I$4:$I$20,$E244))</f>
        <v/>
      </c>
      <c r="G244" s="18" t="str">
        <f>IF($A244="","",INDEX('Logic &amp; Lists'!$J$4:$J$20,$E244))</f>
        <v/>
      </c>
      <c r="H244" s="6" t="str">
        <f t="shared" si="16"/>
        <v/>
      </c>
      <c r="I244" s="18" t="str">
        <f t="shared" ca="1" si="17"/>
        <v/>
      </c>
      <c r="J244" s="5" t="str">
        <f t="shared" si="18"/>
        <v/>
      </c>
      <c r="K244" s="25"/>
      <c r="L244" s="5" t="str">
        <f t="shared" si="19"/>
        <v/>
      </c>
      <c r="M244" s="7"/>
      <c r="N244" s="7"/>
      <c r="O244" s="7"/>
      <c r="P244" s="20" t="str">
        <f>IF($A244="","",INDEX(Project_Tracker!$I$2:$I$101,INT((ROW()-6)/17)+1))</f>
        <v/>
      </c>
      <c r="Q244" s="20" t="str">
        <f>IF($A244="","",INDEX(Project_Tracker!$K$2:$K$101,INT((ROW()-6)/17)+1))</f>
        <v/>
      </c>
    </row>
    <row r="245" spans="1:17" x14ac:dyDescent="0.2">
      <c r="A245" s="20" t="str">
        <f>IF(INDEX(Project_Tracker!$AL$2:$AL$101,INT((ROW()-6)/17)+1)="","",INDEX(Project_Tracker!$AL$2:$AL$101,INT((ROW()-6)/17)+1))</f>
        <v/>
      </c>
      <c r="B245" s="21" t="str">
        <f>IF($A245="","",INDEX(Project_Tracker!$AM$2:$AM$101,INT((ROW()-6)/17)+1))</f>
        <v/>
      </c>
      <c r="C245" s="20" t="str">
        <f>IF($A245="","",INDEX(Project_Tracker!$C$2:$C$101,INT((ROW()-6)/17)+1))</f>
        <v/>
      </c>
      <c r="D245" s="6" t="str">
        <f>IF($A245="","",INDEX(Project_Tracker!$T$2:$T$101,INT((ROW()-6)/17)+1))</f>
        <v/>
      </c>
      <c r="E245" s="18">
        <f t="shared" si="15"/>
        <v>2</v>
      </c>
      <c r="F245" s="23" t="str">
        <f>IF($A245="","",INDEX('Logic &amp; Lists'!$I$4:$I$20,$E245))</f>
        <v/>
      </c>
      <c r="G245" s="18" t="str">
        <f>IF($A245="","",INDEX('Logic &amp; Lists'!$J$4:$J$20,$E245))</f>
        <v/>
      </c>
      <c r="H245" s="6" t="str">
        <f t="shared" si="16"/>
        <v/>
      </c>
      <c r="I245" s="18" t="str">
        <f t="shared" ca="1" si="17"/>
        <v/>
      </c>
      <c r="J245" s="5" t="str">
        <f t="shared" si="18"/>
        <v/>
      </c>
      <c r="K245" s="25"/>
      <c r="L245" s="5" t="str">
        <f t="shared" si="19"/>
        <v/>
      </c>
      <c r="M245" s="7"/>
      <c r="N245" s="7"/>
      <c r="O245" s="7"/>
      <c r="P245" s="20" t="str">
        <f>IF($A245="","",INDEX(Project_Tracker!$I$2:$I$101,INT((ROW()-6)/17)+1))</f>
        <v/>
      </c>
      <c r="Q245" s="20" t="str">
        <f>IF($A245="","",INDEX(Project_Tracker!$K$2:$K$101,INT((ROW()-6)/17)+1))</f>
        <v/>
      </c>
    </row>
    <row r="246" spans="1:17" x14ac:dyDescent="0.2">
      <c r="A246" s="20" t="str">
        <f>IF(INDEX(Project_Tracker!$AL$2:$AL$101,INT((ROW()-6)/17)+1)="","",INDEX(Project_Tracker!$AL$2:$AL$101,INT((ROW()-6)/17)+1))</f>
        <v/>
      </c>
      <c r="B246" s="21" t="str">
        <f>IF($A246="","",INDEX(Project_Tracker!$AM$2:$AM$101,INT((ROW()-6)/17)+1))</f>
        <v/>
      </c>
      <c r="C246" s="20" t="str">
        <f>IF($A246="","",INDEX(Project_Tracker!$C$2:$C$101,INT((ROW()-6)/17)+1))</f>
        <v/>
      </c>
      <c r="D246" s="6" t="str">
        <f>IF($A246="","",INDEX(Project_Tracker!$T$2:$T$101,INT((ROW()-6)/17)+1))</f>
        <v/>
      </c>
      <c r="E246" s="18">
        <f t="shared" si="15"/>
        <v>3</v>
      </c>
      <c r="F246" s="23" t="str">
        <f>IF($A246="","",INDEX('Logic &amp; Lists'!$I$4:$I$20,$E246))</f>
        <v/>
      </c>
      <c r="G246" s="18" t="str">
        <f>IF($A246="","",INDEX('Logic &amp; Lists'!$J$4:$J$20,$E246))</f>
        <v/>
      </c>
      <c r="H246" s="6" t="str">
        <f t="shared" si="16"/>
        <v/>
      </c>
      <c r="I246" s="18" t="str">
        <f t="shared" ca="1" si="17"/>
        <v/>
      </c>
      <c r="J246" s="5" t="str">
        <f t="shared" si="18"/>
        <v/>
      </c>
      <c r="K246" s="25"/>
      <c r="L246" s="5" t="str">
        <f t="shared" si="19"/>
        <v/>
      </c>
      <c r="M246" s="7"/>
      <c r="N246" s="7"/>
      <c r="O246" s="7"/>
      <c r="P246" s="20" t="str">
        <f>IF($A246="","",INDEX(Project_Tracker!$I$2:$I$101,INT((ROW()-6)/17)+1))</f>
        <v/>
      </c>
      <c r="Q246" s="20" t="str">
        <f>IF($A246="","",INDEX(Project_Tracker!$K$2:$K$101,INT((ROW()-6)/17)+1))</f>
        <v/>
      </c>
    </row>
    <row r="247" spans="1:17" x14ac:dyDescent="0.2">
      <c r="A247" s="20" t="str">
        <f>IF(INDEX(Project_Tracker!$AL$2:$AL$101,INT((ROW()-6)/17)+1)="","",INDEX(Project_Tracker!$AL$2:$AL$101,INT((ROW()-6)/17)+1))</f>
        <v/>
      </c>
      <c r="B247" s="21" t="str">
        <f>IF($A247="","",INDEX(Project_Tracker!$AM$2:$AM$101,INT((ROW()-6)/17)+1))</f>
        <v/>
      </c>
      <c r="C247" s="20" t="str">
        <f>IF($A247="","",INDEX(Project_Tracker!$C$2:$C$101,INT((ROW()-6)/17)+1))</f>
        <v/>
      </c>
      <c r="D247" s="6" t="str">
        <f>IF($A247="","",INDEX(Project_Tracker!$T$2:$T$101,INT((ROW()-6)/17)+1))</f>
        <v/>
      </c>
      <c r="E247" s="18">
        <f t="shared" si="15"/>
        <v>4</v>
      </c>
      <c r="F247" s="23" t="str">
        <f>IF($A247="","",INDEX('Logic &amp; Lists'!$I$4:$I$20,$E247))</f>
        <v/>
      </c>
      <c r="G247" s="18" t="str">
        <f>IF($A247="","",INDEX('Logic &amp; Lists'!$J$4:$J$20,$E247))</f>
        <v/>
      </c>
      <c r="H247" s="6" t="str">
        <f t="shared" si="16"/>
        <v/>
      </c>
      <c r="I247" s="18" t="str">
        <f t="shared" ca="1" si="17"/>
        <v/>
      </c>
      <c r="J247" s="5" t="str">
        <f t="shared" si="18"/>
        <v/>
      </c>
      <c r="K247" s="25"/>
      <c r="L247" s="5" t="str">
        <f t="shared" si="19"/>
        <v/>
      </c>
      <c r="M247" s="7"/>
      <c r="N247" s="7"/>
      <c r="O247" s="7"/>
      <c r="P247" s="20" t="str">
        <f>IF($A247="","",INDEX(Project_Tracker!$I$2:$I$101,INT((ROW()-6)/17)+1))</f>
        <v/>
      </c>
      <c r="Q247" s="20" t="str">
        <f>IF($A247="","",INDEX(Project_Tracker!$K$2:$K$101,INT((ROW()-6)/17)+1))</f>
        <v/>
      </c>
    </row>
    <row r="248" spans="1:17" x14ac:dyDescent="0.2">
      <c r="A248" s="20" t="str">
        <f>IF(INDEX(Project_Tracker!$AL$2:$AL$101,INT((ROW()-6)/17)+1)="","",INDEX(Project_Tracker!$AL$2:$AL$101,INT((ROW()-6)/17)+1))</f>
        <v/>
      </c>
      <c r="B248" s="21" t="str">
        <f>IF($A248="","",INDEX(Project_Tracker!$AM$2:$AM$101,INT((ROW()-6)/17)+1))</f>
        <v/>
      </c>
      <c r="C248" s="20" t="str">
        <f>IF($A248="","",INDEX(Project_Tracker!$C$2:$C$101,INT((ROW()-6)/17)+1))</f>
        <v/>
      </c>
      <c r="D248" s="6" t="str">
        <f>IF($A248="","",INDEX(Project_Tracker!$T$2:$T$101,INT((ROW()-6)/17)+1))</f>
        <v/>
      </c>
      <c r="E248" s="18">
        <f t="shared" si="15"/>
        <v>5</v>
      </c>
      <c r="F248" s="23" t="str">
        <f>IF($A248="","",INDEX('Logic &amp; Lists'!$I$4:$I$20,$E248))</f>
        <v/>
      </c>
      <c r="G248" s="18" t="str">
        <f>IF($A248="","",INDEX('Logic &amp; Lists'!$J$4:$J$20,$E248))</f>
        <v/>
      </c>
      <c r="H248" s="6" t="str">
        <f t="shared" si="16"/>
        <v/>
      </c>
      <c r="I248" s="18" t="str">
        <f t="shared" ca="1" si="17"/>
        <v/>
      </c>
      <c r="J248" s="5" t="str">
        <f t="shared" si="18"/>
        <v/>
      </c>
      <c r="K248" s="25"/>
      <c r="L248" s="5" t="str">
        <f t="shared" si="19"/>
        <v/>
      </c>
      <c r="M248" s="7"/>
      <c r="N248" s="7"/>
      <c r="O248" s="7"/>
      <c r="P248" s="20" t="str">
        <f>IF($A248="","",INDEX(Project_Tracker!$I$2:$I$101,INT((ROW()-6)/17)+1))</f>
        <v/>
      </c>
      <c r="Q248" s="20" t="str">
        <f>IF($A248="","",INDEX(Project_Tracker!$K$2:$K$101,INT((ROW()-6)/17)+1))</f>
        <v/>
      </c>
    </row>
    <row r="249" spans="1:17" x14ac:dyDescent="0.2">
      <c r="A249" s="20" t="str">
        <f>IF(INDEX(Project_Tracker!$AL$2:$AL$101,INT((ROW()-6)/17)+1)="","",INDEX(Project_Tracker!$AL$2:$AL$101,INT((ROW()-6)/17)+1))</f>
        <v/>
      </c>
      <c r="B249" s="21" t="str">
        <f>IF($A249="","",INDEX(Project_Tracker!$AM$2:$AM$101,INT((ROW()-6)/17)+1))</f>
        <v/>
      </c>
      <c r="C249" s="20" t="str">
        <f>IF($A249="","",INDEX(Project_Tracker!$C$2:$C$101,INT((ROW()-6)/17)+1))</f>
        <v/>
      </c>
      <c r="D249" s="6" t="str">
        <f>IF($A249="","",INDEX(Project_Tracker!$T$2:$T$101,INT((ROW()-6)/17)+1))</f>
        <v/>
      </c>
      <c r="E249" s="18">
        <f t="shared" si="15"/>
        <v>6</v>
      </c>
      <c r="F249" s="23" t="str">
        <f>IF($A249="","",INDEX('Logic &amp; Lists'!$I$4:$I$20,$E249))</f>
        <v/>
      </c>
      <c r="G249" s="18" t="str">
        <f>IF($A249="","",INDEX('Logic &amp; Lists'!$J$4:$J$20,$E249))</f>
        <v/>
      </c>
      <c r="H249" s="6" t="str">
        <f t="shared" si="16"/>
        <v/>
      </c>
      <c r="I249" s="18" t="str">
        <f t="shared" ca="1" si="17"/>
        <v/>
      </c>
      <c r="J249" s="5" t="str">
        <f t="shared" si="18"/>
        <v/>
      </c>
      <c r="K249" s="25"/>
      <c r="L249" s="5" t="str">
        <f t="shared" si="19"/>
        <v/>
      </c>
      <c r="M249" s="7"/>
      <c r="N249" s="7"/>
      <c r="O249" s="7"/>
      <c r="P249" s="20" t="str">
        <f>IF($A249="","",INDEX(Project_Tracker!$I$2:$I$101,INT((ROW()-6)/17)+1))</f>
        <v/>
      </c>
      <c r="Q249" s="20" t="str">
        <f>IF($A249="","",INDEX(Project_Tracker!$K$2:$K$101,INT((ROW()-6)/17)+1))</f>
        <v/>
      </c>
    </row>
    <row r="250" spans="1:17" x14ac:dyDescent="0.2">
      <c r="A250" s="20" t="str">
        <f>IF(INDEX(Project_Tracker!$AL$2:$AL$101,INT((ROW()-6)/17)+1)="","",INDEX(Project_Tracker!$AL$2:$AL$101,INT((ROW()-6)/17)+1))</f>
        <v/>
      </c>
      <c r="B250" s="21" t="str">
        <f>IF($A250="","",INDEX(Project_Tracker!$AM$2:$AM$101,INT((ROW()-6)/17)+1))</f>
        <v/>
      </c>
      <c r="C250" s="20" t="str">
        <f>IF($A250="","",INDEX(Project_Tracker!$C$2:$C$101,INT((ROW()-6)/17)+1))</f>
        <v/>
      </c>
      <c r="D250" s="6" t="str">
        <f>IF($A250="","",INDEX(Project_Tracker!$T$2:$T$101,INT((ROW()-6)/17)+1))</f>
        <v/>
      </c>
      <c r="E250" s="18">
        <f t="shared" si="15"/>
        <v>7</v>
      </c>
      <c r="F250" s="23" t="str">
        <f>IF($A250="","",INDEX('Logic &amp; Lists'!$I$4:$I$20,$E250))</f>
        <v/>
      </c>
      <c r="G250" s="18" t="str">
        <f>IF($A250="","",INDEX('Logic &amp; Lists'!$J$4:$J$20,$E250))</f>
        <v/>
      </c>
      <c r="H250" s="6" t="str">
        <f t="shared" si="16"/>
        <v/>
      </c>
      <c r="I250" s="18" t="str">
        <f t="shared" ca="1" si="17"/>
        <v/>
      </c>
      <c r="J250" s="5" t="str">
        <f t="shared" si="18"/>
        <v/>
      </c>
      <c r="K250" s="25"/>
      <c r="L250" s="5" t="str">
        <f t="shared" si="19"/>
        <v/>
      </c>
      <c r="M250" s="7"/>
      <c r="N250" s="7"/>
      <c r="O250" s="7"/>
      <c r="P250" s="20" t="str">
        <f>IF($A250="","",INDEX(Project_Tracker!$I$2:$I$101,INT((ROW()-6)/17)+1))</f>
        <v/>
      </c>
      <c r="Q250" s="20" t="str">
        <f>IF($A250="","",INDEX(Project_Tracker!$K$2:$K$101,INT((ROW()-6)/17)+1))</f>
        <v/>
      </c>
    </row>
    <row r="251" spans="1:17" x14ac:dyDescent="0.2">
      <c r="A251" s="20" t="str">
        <f>IF(INDEX(Project_Tracker!$AL$2:$AL$101,INT((ROW()-6)/17)+1)="","",INDEX(Project_Tracker!$AL$2:$AL$101,INT((ROW()-6)/17)+1))</f>
        <v/>
      </c>
      <c r="B251" s="21" t="str">
        <f>IF($A251="","",INDEX(Project_Tracker!$AM$2:$AM$101,INT((ROW()-6)/17)+1))</f>
        <v/>
      </c>
      <c r="C251" s="20" t="str">
        <f>IF($A251="","",INDEX(Project_Tracker!$C$2:$C$101,INT((ROW()-6)/17)+1))</f>
        <v/>
      </c>
      <c r="D251" s="6" t="str">
        <f>IF($A251="","",INDEX(Project_Tracker!$T$2:$T$101,INT((ROW()-6)/17)+1))</f>
        <v/>
      </c>
      <c r="E251" s="18">
        <f t="shared" si="15"/>
        <v>8</v>
      </c>
      <c r="F251" s="23" t="str">
        <f>IF($A251="","",INDEX('Logic &amp; Lists'!$I$4:$I$20,$E251))</f>
        <v/>
      </c>
      <c r="G251" s="18" t="str">
        <f>IF($A251="","",INDEX('Logic &amp; Lists'!$J$4:$J$20,$E251))</f>
        <v/>
      </c>
      <c r="H251" s="6" t="str">
        <f t="shared" si="16"/>
        <v/>
      </c>
      <c r="I251" s="18" t="str">
        <f t="shared" ca="1" si="17"/>
        <v/>
      </c>
      <c r="J251" s="5" t="str">
        <f t="shared" si="18"/>
        <v/>
      </c>
      <c r="K251" s="25"/>
      <c r="L251" s="5" t="str">
        <f t="shared" si="19"/>
        <v/>
      </c>
      <c r="M251" s="7"/>
      <c r="N251" s="7"/>
      <c r="O251" s="7"/>
      <c r="P251" s="20" t="str">
        <f>IF($A251="","",INDEX(Project_Tracker!$I$2:$I$101,INT((ROW()-6)/17)+1))</f>
        <v/>
      </c>
      <c r="Q251" s="20" t="str">
        <f>IF($A251="","",INDEX(Project_Tracker!$K$2:$K$101,INT((ROW()-6)/17)+1))</f>
        <v/>
      </c>
    </row>
    <row r="252" spans="1:17" x14ac:dyDescent="0.2">
      <c r="A252" s="20" t="str">
        <f>IF(INDEX(Project_Tracker!$AL$2:$AL$101,INT((ROW()-6)/17)+1)="","",INDEX(Project_Tracker!$AL$2:$AL$101,INT((ROW()-6)/17)+1))</f>
        <v/>
      </c>
      <c r="B252" s="21" t="str">
        <f>IF($A252="","",INDEX(Project_Tracker!$AM$2:$AM$101,INT((ROW()-6)/17)+1))</f>
        <v/>
      </c>
      <c r="C252" s="20" t="str">
        <f>IF($A252="","",INDEX(Project_Tracker!$C$2:$C$101,INT((ROW()-6)/17)+1))</f>
        <v/>
      </c>
      <c r="D252" s="6" t="str">
        <f>IF($A252="","",INDEX(Project_Tracker!$T$2:$T$101,INT((ROW()-6)/17)+1))</f>
        <v/>
      </c>
      <c r="E252" s="18">
        <f t="shared" si="15"/>
        <v>9</v>
      </c>
      <c r="F252" s="23" t="str">
        <f>IF($A252="","",INDEX('Logic &amp; Lists'!$I$4:$I$20,$E252))</f>
        <v/>
      </c>
      <c r="G252" s="18" t="str">
        <f>IF($A252="","",INDEX('Logic &amp; Lists'!$J$4:$J$20,$E252))</f>
        <v/>
      </c>
      <c r="H252" s="6" t="str">
        <f t="shared" si="16"/>
        <v/>
      </c>
      <c r="I252" s="18" t="str">
        <f t="shared" ca="1" si="17"/>
        <v/>
      </c>
      <c r="J252" s="5" t="str">
        <f t="shared" si="18"/>
        <v/>
      </c>
      <c r="K252" s="25"/>
      <c r="L252" s="5" t="str">
        <f t="shared" si="19"/>
        <v/>
      </c>
      <c r="M252" s="7"/>
      <c r="N252" s="7"/>
      <c r="O252" s="7"/>
      <c r="P252" s="20" t="str">
        <f>IF($A252="","",INDEX(Project_Tracker!$I$2:$I$101,INT((ROW()-6)/17)+1))</f>
        <v/>
      </c>
      <c r="Q252" s="20" t="str">
        <f>IF($A252="","",INDEX(Project_Tracker!$K$2:$K$101,INT((ROW()-6)/17)+1))</f>
        <v/>
      </c>
    </row>
    <row r="253" spans="1:17" x14ac:dyDescent="0.2">
      <c r="A253" s="20" t="str">
        <f>IF(INDEX(Project_Tracker!$AL$2:$AL$101,INT((ROW()-6)/17)+1)="","",INDEX(Project_Tracker!$AL$2:$AL$101,INT((ROW()-6)/17)+1))</f>
        <v/>
      </c>
      <c r="B253" s="21" t="str">
        <f>IF($A253="","",INDEX(Project_Tracker!$AM$2:$AM$101,INT((ROW()-6)/17)+1))</f>
        <v/>
      </c>
      <c r="C253" s="20" t="str">
        <f>IF($A253="","",INDEX(Project_Tracker!$C$2:$C$101,INT((ROW()-6)/17)+1))</f>
        <v/>
      </c>
      <c r="D253" s="6" t="str">
        <f>IF($A253="","",INDEX(Project_Tracker!$T$2:$T$101,INT((ROW()-6)/17)+1))</f>
        <v/>
      </c>
      <c r="E253" s="18">
        <f t="shared" si="15"/>
        <v>10</v>
      </c>
      <c r="F253" s="23" t="str">
        <f>IF($A253="","",INDEX('Logic &amp; Lists'!$I$4:$I$20,$E253))</f>
        <v/>
      </c>
      <c r="G253" s="18" t="str">
        <f>IF($A253="","",INDEX('Logic &amp; Lists'!$J$4:$J$20,$E253))</f>
        <v/>
      </c>
      <c r="H253" s="6" t="str">
        <f t="shared" si="16"/>
        <v/>
      </c>
      <c r="I253" s="18" t="str">
        <f t="shared" ca="1" si="17"/>
        <v/>
      </c>
      <c r="J253" s="5" t="str">
        <f t="shared" si="18"/>
        <v/>
      </c>
      <c r="K253" s="25"/>
      <c r="L253" s="5" t="str">
        <f t="shared" si="19"/>
        <v/>
      </c>
      <c r="M253" s="7"/>
      <c r="N253" s="7"/>
      <c r="O253" s="7"/>
      <c r="P253" s="20" t="str">
        <f>IF($A253="","",INDEX(Project_Tracker!$I$2:$I$101,INT((ROW()-6)/17)+1))</f>
        <v/>
      </c>
      <c r="Q253" s="20" t="str">
        <f>IF($A253="","",INDEX(Project_Tracker!$K$2:$K$101,INT((ROW()-6)/17)+1))</f>
        <v/>
      </c>
    </row>
    <row r="254" spans="1:17" x14ac:dyDescent="0.2">
      <c r="A254" s="20" t="str">
        <f>IF(INDEX(Project_Tracker!$AL$2:$AL$101,INT((ROW()-6)/17)+1)="","",INDEX(Project_Tracker!$AL$2:$AL$101,INT((ROW()-6)/17)+1))</f>
        <v/>
      </c>
      <c r="B254" s="21" t="str">
        <f>IF($A254="","",INDEX(Project_Tracker!$AM$2:$AM$101,INT((ROW()-6)/17)+1))</f>
        <v/>
      </c>
      <c r="C254" s="20" t="str">
        <f>IF($A254="","",INDEX(Project_Tracker!$C$2:$C$101,INT((ROW()-6)/17)+1))</f>
        <v/>
      </c>
      <c r="D254" s="6" t="str">
        <f>IF($A254="","",INDEX(Project_Tracker!$T$2:$T$101,INT((ROW()-6)/17)+1))</f>
        <v/>
      </c>
      <c r="E254" s="18">
        <f t="shared" si="15"/>
        <v>11</v>
      </c>
      <c r="F254" s="23" t="str">
        <f>IF($A254="","",INDEX('Logic &amp; Lists'!$I$4:$I$20,$E254))</f>
        <v/>
      </c>
      <c r="G254" s="18" t="str">
        <f>IF($A254="","",INDEX('Logic &amp; Lists'!$J$4:$J$20,$E254))</f>
        <v/>
      </c>
      <c r="H254" s="6" t="str">
        <f t="shared" si="16"/>
        <v/>
      </c>
      <c r="I254" s="18" t="str">
        <f t="shared" ca="1" si="17"/>
        <v/>
      </c>
      <c r="J254" s="5" t="str">
        <f t="shared" si="18"/>
        <v/>
      </c>
      <c r="K254" s="25"/>
      <c r="L254" s="5" t="str">
        <f t="shared" si="19"/>
        <v/>
      </c>
      <c r="M254" s="7"/>
      <c r="N254" s="7"/>
      <c r="O254" s="7"/>
      <c r="P254" s="20" t="str">
        <f>IF($A254="","",INDEX(Project_Tracker!$I$2:$I$101,INT((ROW()-6)/17)+1))</f>
        <v/>
      </c>
      <c r="Q254" s="20" t="str">
        <f>IF($A254="","",INDEX(Project_Tracker!$K$2:$K$101,INT((ROW()-6)/17)+1))</f>
        <v/>
      </c>
    </row>
    <row r="255" spans="1:17" x14ac:dyDescent="0.2">
      <c r="A255" s="20" t="str">
        <f>IF(INDEX(Project_Tracker!$AL$2:$AL$101,INT((ROW()-6)/17)+1)="","",INDEX(Project_Tracker!$AL$2:$AL$101,INT((ROW()-6)/17)+1))</f>
        <v/>
      </c>
      <c r="B255" s="21" t="str">
        <f>IF($A255="","",INDEX(Project_Tracker!$AM$2:$AM$101,INT((ROW()-6)/17)+1))</f>
        <v/>
      </c>
      <c r="C255" s="20" t="str">
        <f>IF($A255="","",INDEX(Project_Tracker!$C$2:$C$101,INT((ROW()-6)/17)+1))</f>
        <v/>
      </c>
      <c r="D255" s="6" t="str">
        <f>IF($A255="","",INDEX(Project_Tracker!$T$2:$T$101,INT((ROW()-6)/17)+1))</f>
        <v/>
      </c>
      <c r="E255" s="18">
        <f t="shared" si="15"/>
        <v>12</v>
      </c>
      <c r="F255" s="23" t="str">
        <f>IF($A255="","",INDEX('Logic &amp; Lists'!$I$4:$I$20,$E255))</f>
        <v/>
      </c>
      <c r="G255" s="18" t="str">
        <f>IF($A255="","",INDEX('Logic &amp; Lists'!$J$4:$J$20,$E255))</f>
        <v/>
      </c>
      <c r="H255" s="6" t="str">
        <f t="shared" si="16"/>
        <v/>
      </c>
      <c r="I255" s="18" t="str">
        <f t="shared" ca="1" si="17"/>
        <v/>
      </c>
      <c r="J255" s="5" t="str">
        <f t="shared" si="18"/>
        <v/>
      </c>
      <c r="K255" s="25"/>
      <c r="L255" s="5" t="str">
        <f t="shared" si="19"/>
        <v/>
      </c>
      <c r="M255" s="7"/>
      <c r="N255" s="7"/>
      <c r="O255" s="7"/>
      <c r="P255" s="20" t="str">
        <f>IF($A255="","",INDEX(Project_Tracker!$I$2:$I$101,INT((ROW()-6)/17)+1))</f>
        <v/>
      </c>
      <c r="Q255" s="20" t="str">
        <f>IF($A255="","",INDEX(Project_Tracker!$K$2:$K$101,INT((ROW()-6)/17)+1))</f>
        <v/>
      </c>
    </row>
    <row r="256" spans="1:17" x14ac:dyDescent="0.2">
      <c r="A256" s="20" t="str">
        <f>IF(INDEX(Project_Tracker!$AL$2:$AL$101,INT((ROW()-6)/17)+1)="","",INDEX(Project_Tracker!$AL$2:$AL$101,INT((ROW()-6)/17)+1))</f>
        <v/>
      </c>
      <c r="B256" s="21" t="str">
        <f>IF($A256="","",INDEX(Project_Tracker!$AM$2:$AM$101,INT((ROW()-6)/17)+1))</f>
        <v/>
      </c>
      <c r="C256" s="20" t="str">
        <f>IF($A256="","",INDEX(Project_Tracker!$C$2:$C$101,INT((ROW()-6)/17)+1))</f>
        <v/>
      </c>
      <c r="D256" s="6" t="str">
        <f>IF($A256="","",INDEX(Project_Tracker!$T$2:$T$101,INT((ROW()-6)/17)+1))</f>
        <v/>
      </c>
      <c r="E256" s="18">
        <f t="shared" si="15"/>
        <v>13</v>
      </c>
      <c r="F256" s="23" t="str">
        <f>IF($A256="","",INDEX('Logic &amp; Lists'!$I$4:$I$20,$E256))</f>
        <v/>
      </c>
      <c r="G256" s="18" t="str">
        <f>IF($A256="","",INDEX('Logic &amp; Lists'!$J$4:$J$20,$E256))</f>
        <v/>
      </c>
      <c r="H256" s="6" t="str">
        <f t="shared" si="16"/>
        <v/>
      </c>
      <c r="I256" s="18" t="str">
        <f t="shared" ca="1" si="17"/>
        <v/>
      </c>
      <c r="J256" s="5" t="str">
        <f t="shared" si="18"/>
        <v/>
      </c>
      <c r="K256" s="25"/>
      <c r="L256" s="5" t="str">
        <f t="shared" si="19"/>
        <v/>
      </c>
      <c r="M256" s="7"/>
      <c r="N256" s="7"/>
      <c r="O256" s="7"/>
      <c r="P256" s="20" t="str">
        <f>IF($A256="","",INDEX(Project_Tracker!$I$2:$I$101,INT((ROW()-6)/17)+1))</f>
        <v/>
      </c>
      <c r="Q256" s="20" t="str">
        <f>IF($A256="","",INDEX(Project_Tracker!$K$2:$K$101,INT((ROW()-6)/17)+1))</f>
        <v/>
      </c>
    </row>
    <row r="257" spans="1:17" x14ac:dyDescent="0.2">
      <c r="A257" s="20" t="str">
        <f>IF(INDEX(Project_Tracker!$AL$2:$AL$101,INT((ROW()-6)/17)+1)="","",INDEX(Project_Tracker!$AL$2:$AL$101,INT((ROW()-6)/17)+1))</f>
        <v/>
      </c>
      <c r="B257" s="21" t="str">
        <f>IF($A257="","",INDEX(Project_Tracker!$AM$2:$AM$101,INT((ROW()-6)/17)+1))</f>
        <v/>
      </c>
      <c r="C257" s="20" t="str">
        <f>IF($A257="","",INDEX(Project_Tracker!$C$2:$C$101,INT((ROW()-6)/17)+1))</f>
        <v/>
      </c>
      <c r="D257" s="6" t="str">
        <f>IF($A257="","",INDEX(Project_Tracker!$T$2:$T$101,INT((ROW()-6)/17)+1))</f>
        <v/>
      </c>
      <c r="E257" s="18">
        <f t="shared" si="15"/>
        <v>14</v>
      </c>
      <c r="F257" s="23" t="str">
        <f>IF($A257="","",INDEX('Logic &amp; Lists'!$I$4:$I$20,$E257))</f>
        <v/>
      </c>
      <c r="G257" s="18" t="str">
        <f>IF($A257="","",INDEX('Logic &amp; Lists'!$J$4:$J$20,$E257))</f>
        <v/>
      </c>
      <c r="H257" s="6" t="str">
        <f t="shared" si="16"/>
        <v/>
      </c>
      <c r="I257" s="18" t="str">
        <f t="shared" ca="1" si="17"/>
        <v/>
      </c>
      <c r="J257" s="5" t="str">
        <f t="shared" si="18"/>
        <v/>
      </c>
      <c r="K257" s="25"/>
      <c r="L257" s="5" t="str">
        <f t="shared" si="19"/>
        <v/>
      </c>
      <c r="M257" s="7"/>
      <c r="N257" s="7"/>
      <c r="O257" s="7"/>
      <c r="P257" s="20" t="str">
        <f>IF($A257="","",INDEX(Project_Tracker!$I$2:$I$101,INT((ROW()-6)/17)+1))</f>
        <v/>
      </c>
      <c r="Q257" s="20" t="str">
        <f>IF($A257="","",INDEX(Project_Tracker!$K$2:$K$101,INT((ROW()-6)/17)+1))</f>
        <v/>
      </c>
    </row>
    <row r="258" spans="1:17" x14ac:dyDescent="0.2">
      <c r="A258" s="20" t="str">
        <f>IF(INDEX(Project_Tracker!$AL$2:$AL$101,INT((ROW()-6)/17)+1)="","",INDEX(Project_Tracker!$AL$2:$AL$101,INT((ROW()-6)/17)+1))</f>
        <v/>
      </c>
      <c r="B258" s="21" t="str">
        <f>IF($A258="","",INDEX(Project_Tracker!$AM$2:$AM$101,INT((ROW()-6)/17)+1))</f>
        <v/>
      </c>
      <c r="C258" s="20" t="str">
        <f>IF($A258="","",INDEX(Project_Tracker!$C$2:$C$101,INT((ROW()-6)/17)+1))</f>
        <v/>
      </c>
      <c r="D258" s="6" t="str">
        <f>IF($A258="","",INDEX(Project_Tracker!$T$2:$T$101,INT((ROW()-6)/17)+1))</f>
        <v/>
      </c>
      <c r="E258" s="18">
        <f t="shared" si="15"/>
        <v>15</v>
      </c>
      <c r="F258" s="23" t="str">
        <f>IF($A258="","",INDEX('Logic &amp; Lists'!$I$4:$I$20,$E258))</f>
        <v/>
      </c>
      <c r="G258" s="18" t="str">
        <f>IF($A258="","",INDEX('Logic &amp; Lists'!$J$4:$J$20,$E258))</f>
        <v/>
      </c>
      <c r="H258" s="6" t="str">
        <f t="shared" si="16"/>
        <v/>
      </c>
      <c r="I258" s="18" t="str">
        <f t="shared" ca="1" si="17"/>
        <v/>
      </c>
      <c r="J258" s="5" t="str">
        <f t="shared" si="18"/>
        <v/>
      </c>
      <c r="K258" s="25"/>
      <c r="L258" s="5" t="str">
        <f t="shared" si="19"/>
        <v/>
      </c>
      <c r="M258" s="7"/>
      <c r="N258" s="7"/>
      <c r="O258" s="7"/>
      <c r="P258" s="20" t="str">
        <f>IF($A258="","",INDEX(Project_Tracker!$I$2:$I$101,INT((ROW()-6)/17)+1))</f>
        <v/>
      </c>
      <c r="Q258" s="20" t="str">
        <f>IF($A258="","",INDEX(Project_Tracker!$K$2:$K$101,INT((ROW()-6)/17)+1))</f>
        <v/>
      </c>
    </row>
    <row r="259" spans="1:17" x14ac:dyDescent="0.2">
      <c r="A259" s="20" t="str">
        <f>IF(INDEX(Project_Tracker!$AL$2:$AL$101,INT((ROW()-6)/17)+1)="","",INDEX(Project_Tracker!$AL$2:$AL$101,INT((ROW()-6)/17)+1))</f>
        <v/>
      </c>
      <c r="B259" s="21" t="str">
        <f>IF($A259="","",INDEX(Project_Tracker!$AM$2:$AM$101,INT((ROW()-6)/17)+1))</f>
        <v/>
      </c>
      <c r="C259" s="20" t="str">
        <f>IF($A259="","",INDEX(Project_Tracker!$C$2:$C$101,INT((ROW()-6)/17)+1))</f>
        <v/>
      </c>
      <c r="D259" s="6" t="str">
        <f>IF($A259="","",INDEX(Project_Tracker!$T$2:$T$101,INT((ROW()-6)/17)+1))</f>
        <v/>
      </c>
      <c r="E259" s="18">
        <f t="shared" si="15"/>
        <v>16</v>
      </c>
      <c r="F259" s="23" t="str">
        <f>IF($A259="","",INDEX('Logic &amp; Lists'!$I$4:$I$20,$E259))</f>
        <v/>
      </c>
      <c r="G259" s="18" t="str">
        <f>IF($A259="","",INDEX('Logic &amp; Lists'!$J$4:$J$20,$E259))</f>
        <v/>
      </c>
      <c r="H259" s="6" t="str">
        <f t="shared" si="16"/>
        <v/>
      </c>
      <c r="I259" s="18" t="str">
        <f t="shared" ca="1" si="17"/>
        <v/>
      </c>
      <c r="J259" s="5" t="str">
        <f t="shared" si="18"/>
        <v/>
      </c>
      <c r="K259" s="25"/>
      <c r="L259" s="5" t="str">
        <f t="shared" si="19"/>
        <v/>
      </c>
      <c r="M259" s="7"/>
      <c r="N259" s="7"/>
      <c r="O259" s="7"/>
      <c r="P259" s="20" t="str">
        <f>IF($A259="","",INDEX(Project_Tracker!$I$2:$I$101,INT((ROW()-6)/17)+1))</f>
        <v/>
      </c>
      <c r="Q259" s="20" t="str">
        <f>IF($A259="","",INDEX(Project_Tracker!$K$2:$K$101,INT((ROW()-6)/17)+1))</f>
        <v/>
      </c>
    </row>
    <row r="260" spans="1:17" x14ac:dyDescent="0.2">
      <c r="A260" s="20" t="str">
        <f>IF(INDEX(Project_Tracker!$AL$2:$AL$101,INT((ROW()-6)/17)+1)="","",INDEX(Project_Tracker!$AL$2:$AL$101,INT((ROW()-6)/17)+1))</f>
        <v/>
      </c>
      <c r="B260" s="21" t="str">
        <f>IF($A260="","",INDEX(Project_Tracker!$AM$2:$AM$101,INT((ROW()-6)/17)+1))</f>
        <v/>
      </c>
      <c r="C260" s="20" t="str">
        <f>IF($A260="","",INDEX(Project_Tracker!$C$2:$C$101,INT((ROW()-6)/17)+1))</f>
        <v/>
      </c>
      <c r="D260" s="6" t="str">
        <f>IF($A260="","",INDEX(Project_Tracker!$T$2:$T$101,INT((ROW()-6)/17)+1))</f>
        <v/>
      </c>
      <c r="E260" s="18">
        <f t="shared" si="15"/>
        <v>17</v>
      </c>
      <c r="F260" s="23" t="str">
        <f>IF($A260="","",INDEX('Logic &amp; Lists'!$I$4:$I$20,$E260))</f>
        <v/>
      </c>
      <c r="G260" s="18" t="str">
        <f>IF($A260="","",INDEX('Logic &amp; Lists'!$J$4:$J$20,$E260))</f>
        <v/>
      </c>
      <c r="H260" s="6" t="str">
        <f t="shared" si="16"/>
        <v/>
      </c>
      <c r="I260" s="18" t="str">
        <f t="shared" ca="1" si="17"/>
        <v/>
      </c>
      <c r="J260" s="5" t="str">
        <f t="shared" si="18"/>
        <v/>
      </c>
      <c r="K260" s="25"/>
      <c r="L260" s="5" t="str">
        <f t="shared" si="19"/>
        <v/>
      </c>
      <c r="M260" s="7"/>
      <c r="N260" s="7"/>
      <c r="O260" s="7"/>
      <c r="P260" s="20" t="str">
        <f>IF($A260="","",INDEX(Project_Tracker!$I$2:$I$101,INT((ROW()-6)/17)+1))</f>
        <v/>
      </c>
      <c r="Q260" s="20" t="str">
        <f>IF($A260="","",INDEX(Project_Tracker!$K$2:$K$101,INT((ROW()-6)/17)+1))</f>
        <v/>
      </c>
    </row>
    <row r="261" spans="1:17" x14ac:dyDescent="0.2">
      <c r="A261" s="20" t="str">
        <f>IF(INDEX(Project_Tracker!$AL$2:$AL$101,INT((ROW()-6)/17)+1)="","",INDEX(Project_Tracker!$AL$2:$AL$101,INT((ROW()-6)/17)+1))</f>
        <v/>
      </c>
      <c r="B261" s="21" t="str">
        <f>IF($A261="","",INDEX(Project_Tracker!$AM$2:$AM$101,INT((ROW()-6)/17)+1))</f>
        <v/>
      </c>
      <c r="C261" s="20" t="str">
        <f>IF($A261="","",INDEX(Project_Tracker!$C$2:$C$101,INT((ROW()-6)/17)+1))</f>
        <v/>
      </c>
      <c r="D261" s="6" t="str">
        <f>IF($A261="","",INDEX(Project_Tracker!$T$2:$T$101,INT((ROW()-6)/17)+1))</f>
        <v/>
      </c>
      <c r="E261" s="18">
        <f t="shared" si="15"/>
        <v>1</v>
      </c>
      <c r="F261" s="23" t="str">
        <f>IF($A261="","",INDEX('Logic &amp; Lists'!$I$4:$I$20,$E261))</f>
        <v/>
      </c>
      <c r="G261" s="18" t="str">
        <f>IF($A261="","",INDEX('Logic &amp; Lists'!$J$4:$J$20,$E261))</f>
        <v/>
      </c>
      <c r="H261" s="6" t="str">
        <f t="shared" si="16"/>
        <v/>
      </c>
      <c r="I261" s="18" t="str">
        <f t="shared" ca="1" si="17"/>
        <v/>
      </c>
      <c r="J261" s="5" t="str">
        <f t="shared" si="18"/>
        <v/>
      </c>
      <c r="K261" s="25"/>
      <c r="L261" s="5" t="str">
        <f t="shared" si="19"/>
        <v/>
      </c>
      <c r="M261" s="7"/>
      <c r="N261" s="7"/>
      <c r="O261" s="7"/>
      <c r="P261" s="20" t="str">
        <f>IF($A261="","",INDEX(Project_Tracker!$I$2:$I$101,INT((ROW()-6)/17)+1))</f>
        <v/>
      </c>
      <c r="Q261" s="20" t="str">
        <f>IF($A261="","",INDEX(Project_Tracker!$K$2:$K$101,INT((ROW()-6)/17)+1))</f>
        <v/>
      </c>
    </row>
    <row r="262" spans="1:17" x14ac:dyDescent="0.2">
      <c r="A262" s="20" t="str">
        <f>IF(INDEX(Project_Tracker!$AL$2:$AL$101,INT((ROW()-6)/17)+1)="","",INDEX(Project_Tracker!$AL$2:$AL$101,INT((ROW()-6)/17)+1))</f>
        <v/>
      </c>
      <c r="B262" s="21" t="str">
        <f>IF($A262="","",INDEX(Project_Tracker!$AM$2:$AM$101,INT((ROW()-6)/17)+1))</f>
        <v/>
      </c>
      <c r="C262" s="20" t="str">
        <f>IF($A262="","",INDEX(Project_Tracker!$C$2:$C$101,INT((ROW()-6)/17)+1))</f>
        <v/>
      </c>
      <c r="D262" s="6" t="str">
        <f>IF($A262="","",INDEX(Project_Tracker!$T$2:$T$101,INT((ROW()-6)/17)+1))</f>
        <v/>
      </c>
      <c r="E262" s="18">
        <f t="shared" ref="E262:E325" si="20">MOD(ROW()-6,17)+1</f>
        <v>2</v>
      </c>
      <c r="F262" s="23" t="str">
        <f>IF($A262="","",INDEX('Logic &amp; Lists'!$I$4:$I$20,$E262))</f>
        <v/>
      </c>
      <c r="G262" s="18" t="str">
        <f>IF($A262="","",INDEX('Logic &amp; Lists'!$J$4:$J$20,$E262))</f>
        <v/>
      </c>
      <c r="H262" s="6" t="str">
        <f t="shared" ref="H262:H325" si="21">IF($D262="","",$D262-$G262)</f>
        <v/>
      </c>
      <c r="I262" s="18" t="str">
        <f t="shared" ref="I262:I325" ca="1" si="22">IF($H262="","",$H262-TODAY())</f>
        <v/>
      </c>
      <c r="J262" s="5" t="str">
        <f t="shared" ref="J262:J325" si="23">IF($A262="","",IF($K262&lt;&gt;"","ORDERED",IF($I262&lt;0,"OVERDUE",IF($I262&lt;=7,"URGENT",IF($I262&lt;=14,"PREPARE","OK")))))</f>
        <v/>
      </c>
      <c r="K262" s="25"/>
      <c r="L262" s="5" t="str">
        <f t="shared" ref="L262:L325" si="24">IF($A262="","",IF($K262="",$J262,IF($K262&lt;=$H262,"Ordered On Time","Ordered Late")))</f>
        <v/>
      </c>
      <c r="M262" s="7"/>
      <c r="N262" s="7"/>
      <c r="O262" s="7"/>
      <c r="P262" s="20" t="str">
        <f>IF($A262="","",INDEX(Project_Tracker!$I$2:$I$101,INT((ROW()-6)/17)+1))</f>
        <v/>
      </c>
      <c r="Q262" s="20" t="str">
        <f>IF($A262="","",INDEX(Project_Tracker!$K$2:$K$101,INT((ROW()-6)/17)+1))</f>
        <v/>
      </c>
    </row>
    <row r="263" spans="1:17" x14ac:dyDescent="0.2">
      <c r="A263" s="20" t="str">
        <f>IF(INDEX(Project_Tracker!$AL$2:$AL$101,INT((ROW()-6)/17)+1)="","",INDEX(Project_Tracker!$AL$2:$AL$101,INT((ROW()-6)/17)+1))</f>
        <v/>
      </c>
      <c r="B263" s="21" t="str">
        <f>IF($A263="","",INDEX(Project_Tracker!$AM$2:$AM$101,INT((ROW()-6)/17)+1))</f>
        <v/>
      </c>
      <c r="C263" s="20" t="str">
        <f>IF($A263="","",INDEX(Project_Tracker!$C$2:$C$101,INT((ROW()-6)/17)+1))</f>
        <v/>
      </c>
      <c r="D263" s="6" t="str">
        <f>IF($A263="","",INDEX(Project_Tracker!$T$2:$T$101,INT((ROW()-6)/17)+1))</f>
        <v/>
      </c>
      <c r="E263" s="18">
        <f t="shared" si="20"/>
        <v>3</v>
      </c>
      <c r="F263" s="23" t="str">
        <f>IF($A263="","",INDEX('Logic &amp; Lists'!$I$4:$I$20,$E263))</f>
        <v/>
      </c>
      <c r="G263" s="18" t="str">
        <f>IF($A263="","",INDEX('Logic &amp; Lists'!$J$4:$J$20,$E263))</f>
        <v/>
      </c>
      <c r="H263" s="6" t="str">
        <f t="shared" si="21"/>
        <v/>
      </c>
      <c r="I263" s="18" t="str">
        <f t="shared" ca="1" si="22"/>
        <v/>
      </c>
      <c r="J263" s="5" t="str">
        <f t="shared" si="23"/>
        <v/>
      </c>
      <c r="K263" s="25"/>
      <c r="L263" s="5" t="str">
        <f t="shared" si="24"/>
        <v/>
      </c>
      <c r="M263" s="7"/>
      <c r="N263" s="7"/>
      <c r="O263" s="7"/>
      <c r="P263" s="20" t="str">
        <f>IF($A263="","",INDEX(Project_Tracker!$I$2:$I$101,INT((ROW()-6)/17)+1))</f>
        <v/>
      </c>
      <c r="Q263" s="20" t="str">
        <f>IF($A263="","",INDEX(Project_Tracker!$K$2:$K$101,INT((ROW()-6)/17)+1))</f>
        <v/>
      </c>
    </row>
    <row r="264" spans="1:17" x14ac:dyDescent="0.2">
      <c r="A264" s="20" t="str">
        <f>IF(INDEX(Project_Tracker!$AL$2:$AL$101,INT((ROW()-6)/17)+1)="","",INDEX(Project_Tracker!$AL$2:$AL$101,INT((ROW()-6)/17)+1))</f>
        <v/>
      </c>
      <c r="B264" s="21" t="str">
        <f>IF($A264="","",INDEX(Project_Tracker!$AM$2:$AM$101,INT((ROW()-6)/17)+1))</f>
        <v/>
      </c>
      <c r="C264" s="20" t="str">
        <f>IF($A264="","",INDEX(Project_Tracker!$C$2:$C$101,INT((ROW()-6)/17)+1))</f>
        <v/>
      </c>
      <c r="D264" s="6" t="str">
        <f>IF($A264="","",INDEX(Project_Tracker!$T$2:$T$101,INT((ROW()-6)/17)+1))</f>
        <v/>
      </c>
      <c r="E264" s="18">
        <f t="shared" si="20"/>
        <v>4</v>
      </c>
      <c r="F264" s="23" t="str">
        <f>IF($A264="","",INDEX('Logic &amp; Lists'!$I$4:$I$20,$E264))</f>
        <v/>
      </c>
      <c r="G264" s="18" t="str">
        <f>IF($A264="","",INDEX('Logic &amp; Lists'!$J$4:$J$20,$E264))</f>
        <v/>
      </c>
      <c r="H264" s="6" t="str">
        <f t="shared" si="21"/>
        <v/>
      </c>
      <c r="I264" s="18" t="str">
        <f t="shared" ca="1" si="22"/>
        <v/>
      </c>
      <c r="J264" s="5" t="str">
        <f t="shared" si="23"/>
        <v/>
      </c>
      <c r="K264" s="25"/>
      <c r="L264" s="5" t="str">
        <f t="shared" si="24"/>
        <v/>
      </c>
      <c r="M264" s="7"/>
      <c r="N264" s="7"/>
      <c r="O264" s="7"/>
      <c r="P264" s="20" t="str">
        <f>IF($A264="","",INDEX(Project_Tracker!$I$2:$I$101,INT((ROW()-6)/17)+1))</f>
        <v/>
      </c>
      <c r="Q264" s="20" t="str">
        <f>IF($A264="","",INDEX(Project_Tracker!$K$2:$K$101,INT((ROW()-6)/17)+1))</f>
        <v/>
      </c>
    </row>
    <row r="265" spans="1:17" x14ac:dyDescent="0.2">
      <c r="A265" s="20" t="str">
        <f>IF(INDEX(Project_Tracker!$AL$2:$AL$101,INT((ROW()-6)/17)+1)="","",INDEX(Project_Tracker!$AL$2:$AL$101,INT((ROW()-6)/17)+1))</f>
        <v/>
      </c>
      <c r="B265" s="21" t="str">
        <f>IF($A265="","",INDEX(Project_Tracker!$AM$2:$AM$101,INT((ROW()-6)/17)+1))</f>
        <v/>
      </c>
      <c r="C265" s="20" t="str">
        <f>IF($A265="","",INDEX(Project_Tracker!$C$2:$C$101,INT((ROW()-6)/17)+1))</f>
        <v/>
      </c>
      <c r="D265" s="6" t="str">
        <f>IF($A265="","",INDEX(Project_Tracker!$T$2:$T$101,INT((ROW()-6)/17)+1))</f>
        <v/>
      </c>
      <c r="E265" s="18">
        <f t="shared" si="20"/>
        <v>5</v>
      </c>
      <c r="F265" s="23" t="str">
        <f>IF($A265="","",INDEX('Logic &amp; Lists'!$I$4:$I$20,$E265))</f>
        <v/>
      </c>
      <c r="G265" s="18" t="str">
        <f>IF($A265="","",INDEX('Logic &amp; Lists'!$J$4:$J$20,$E265))</f>
        <v/>
      </c>
      <c r="H265" s="6" t="str">
        <f t="shared" si="21"/>
        <v/>
      </c>
      <c r="I265" s="18" t="str">
        <f t="shared" ca="1" si="22"/>
        <v/>
      </c>
      <c r="J265" s="5" t="str">
        <f t="shared" si="23"/>
        <v/>
      </c>
      <c r="K265" s="25"/>
      <c r="L265" s="5" t="str">
        <f t="shared" si="24"/>
        <v/>
      </c>
      <c r="M265" s="7"/>
      <c r="N265" s="7"/>
      <c r="O265" s="7"/>
      <c r="P265" s="20" t="str">
        <f>IF($A265="","",INDEX(Project_Tracker!$I$2:$I$101,INT((ROW()-6)/17)+1))</f>
        <v/>
      </c>
      <c r="Q265" s="20" t="str">
        <f>IF($A265="","",INDEX(Project_Tracker!$K$2:$K$101,INT((ROW()-6)/17)+1))</f>
        <v/>
      </c>
    </row>
    <row r="266" spans="1:17" x14ac:dyDescent="0.2">
      <c r="A266" s="20" t="str">
        <f>IF(INDEX(Project_Tracker!$AL$2:$AL$101,INT((ROW()-6)/17)+1)="","",INDEX(Project_Tracker!$AL$2:$AL$101,INT((ROW()-6)/17)+1))</f>
        <v/>
      </c>
      <c r="B266" s="21" t="str">
        <f>IF($A266="","",INDEX(Project_Tracker!$AM$2:$AM$101,INT((ROW()-6)/17)+1))</f>
        <v/>
      </c>
      <c r="C266" s="20" t="str">
        <f>IF($A266="","",INDEX(Project_Tracker!$C$2:$C$101,INT((ROW()-6)/17)+1))</f>
        <v/>
      </c>
      <c r="D266" s="6" t="str">
        <f>IF($A266="","",INDEX(Project_Tracker!$T$2:$T$101,INT((ROW()-6)/17)+1))</f>
        <v/>
      </c>
      <c r="E266" s="18">
        <f t="shared" si="20"/>
        <v>6</v>
      </c>
      <c r="F266" s="23" t="str">
        <f>IF($A266="","",INDEX('Logic &amp; Lists'!$I$4:$I$20,$E266))</f>
        <v/>
      </c>
      <c r="G266" s="18" t="str">
        <f>IF($A266="","",INDEX('Logic &amp; Lists'!$J$4:$J$20,$E266))</f>
        <v/>
      </c>
      <c r="H266" s="6" t="str">
        <f t="shared" si="21"/>
        <v/>
      </c>
      <c r="I266" s="18" t="str">
        <f t="shared" ca="1" si="22"/>
        <v/>
      </c>
      <c r="J266" s="5" t="str">
        <f t="shared" si="23"/>
        <v/>
      </c>
      <c r="K266" s="25"/>
      <c r="L266" s="5" t="str">
        <f t="shared" si="24"/>
        <v/>
      </c>
      <c r="M266" s="7"/>
      <c r="N266" s="7"/>
      <c r="O266" s="7"/>
      <c r="P266" s="20" t="str">
        <f>IF($A266="","",INDEX(Project_Tracker!$I$2:$I$101,INT((ROW()-6)/17)+1))</f>
        <v/>
      </c>
      <c r="Q266" s="20" t="str">
        <f>IF($A266="","",INDEX(Project_Tracker!$K$2:$K$101,INT((ROW()-6)/17)+1))</f>
        <v/>
      </c>
    </row>
    <row r="267" spans="1:17" x14ac:dyDescent="0.2">
      <c r="A267" s="20" t="str">
        <f>IF(INDEX(Project_Tracker!$AL$2:$AL$101,INT((ROW()-6)/17)+1)="","",INDEX(Project_Tracker!$AL$2:$AL$101,INT((ROW()-6)/17)+1))</f>
        <v/>
      </c>
      <c r="B267" s="21" t="str">
        <f>IF($A267="","",INDEX(Project_Tracker!$AM$2:$AM$101,INT((ROW()-6)/17)+1))</f>
        <v/>
      </c>
      <c r="C267" s="20" t="str">
        <f>IF($A267="","",INDEX(Project_Tracker!$C$2:$C$101,INT((ROW()-6)/17)+1))</f>
        <v/>
      </c>
      <c r="D267" s="6" t="str">
        <f>IF($A267="","",INDEX(Project_Tracker!$T$2:$T$101,INT((ROW()-6)/17)+1))</f>
        <v/>
      </c>
      <c r="E267" s="18">
        <f t="shared" si="20"/>
        <v>7</v>
      </c>
      <c r="F267" s="23" t="str">
        <f>IF($A267="","",INDEX('Logic &amp; Lists'!$I$4:$I$20,$E267))</f>
        <v/>
      </c>
      <c r="G267" s="18" t="str">
        <f>IF($A267="","",INDEX('Logic &amp; Lists'!$J$4:$J$20,$E267))</f>
        <v/>
      </c>
      <c r="H267" s="6" t="str">
        <f t="shared" si="21"/>
        <v/>
      </c>
      <c r="I267" s="18" t="str">
        <f t="shared" ca="1" si="22"/>
        <v/>
      </c>
      <c r="J267" s="5" t="str">
        <f t="shared" si="23"/>
        <v/>
      </c>
      <c r="K267" s="25"/>
      <c r="L267" s="5" t="str">
        <f t="shared" si="24"/>
        <v/>
      </c>
      <c r="M267" s="7"/>
      <c r="N267" s="7"/>
      <c r="O267" s="7"/>
      <c r="P267" s="20" t="str">
        <f>IF($A267="","",INDEX(Project_Tracker!$I$2:$I$101,INT((ROW()-6)/17)+1))</f>
        <v/>
      </c>
      <c r="Q267" s="20" t="str">
        <f>IF($A267="","",INDEX(Project_Tracker!$K$2:$K$101,INT((ROW()-6)/17)+1))</f>
        <v/>
      </c>
    </row>
    <row r="268" spans="1:17" x14ac:dyDescent="0.2">
      <c r="A268" s="20" t="str">
        <f>IF(INDEX(Project_Tracker!$AL$2:$AL$101,INT((ROW()-6)/17)+1)="","",INDEX(Project_Tracker!$AL$2:$AL$101,INT((ROW()-6)/17)+1))</f>
        <v/>
      </c>
      <c r="B268" s="21" t="str">
        <f>IF($A268="","",INDEX(Project_Tracker!$AM$2:$AM$101,INT((ROW()-6)/17)+1))</f>
        <v/>
      </c>
      <c r="C268" s="20" t="str">
        <f>IF($A268="","",INDEX(Project_Tracker!$C$2:$C$101,INT((ROW()-6)/17)+1))</f>
        <v/>
      </c>
      <c r="D268" s="6" t="str">
        <f>IF($A268="","",INDEX(Project_Tracker!$T$2:$T$101,INT((ROW()-6)/17)+1))</f>
        <v/>
      </c>
      <c r="E268" s="18">
        <f t="shared" si="20"/>
        <v>8</v>
      </c>
      <c r="F268" s="23" t="str">
        <f>IF($A268="","",INDEX('Logic &amp; Lists'!$I$4:$I$20,$E268))</f>
        <v/>
      </c>
      <c r="G268" s="18" t="str">
        <f>IF($A268="","",INDEX('Logic &amp; Lists'!$J$4:$J$20,$E268))</f>
        <v/>
      </c>
      <c r="H268" s="6" t="str">
        <f t="shared" si="21"/>
        <v/>
      </c>
      <c r="I268" s="18" t="str">
        <f t="shared" ca="1" si="22"/>
        <v/>
      </c>
      <c r="J268" s="5" t="str">
        <f t="shared" si="23"/>
        <v/>
      </c>
      <c r="K268" s="25"/>
      <c r="L268" s="5" t="str">
        <f t="shared" si="24"/>
        <v/>
      </c>
      <c r="M268" s="7"/>
      <c r="N268" s="7"/>
      <c r="O268" s="7"/>
      <c r="P268" s="20" t="str">
        <f>IF($A268="","",INDEX(Project_Tracker!$I$2:$I$101,INT((ROW()-6)/17)+1))</f>
        <v/>
      </c>
      <c r="Q268" s="20" t="str">
        <f>IF($A268="","",INDEX(Project_Tracker!$K$2:$K$101,INT((ROW()-6)/17)+1))</f>
        <v/>
      </c>
    </row>
    <row r="269" spans="1:17" x14ac:dyDescent="0.2">
      <c r="A269" s="20" t="str">
        <f>IF(INDEX(Project_Tracker!$AL$2:$AL$101,INT((ROW()-6)/17)+1)="","",INDEX(Project_Tracker!$AL$2:$AL$101,INT((ROW()-6)/17)+1))</f>
        <v/>
      </c>
      <c r="B269" s="21" t="str">
        <f>IF($A269="","",INDEX(Project_Tracker!$AM$2:$AM$101,INT((ROW()-6)/17)+1))</f>
        <v/>
      </c>
      <c r="C269" s="20" t="str">
        <f>IF($A269="","",INDEX(Project_Tracker!$C$2:$C$101,INT((ROW()-6)/17)+1))</f>
        <v/>
      </c>
      <c r="D269" s="6" t="str">
        <f>IF($A269="","",INDEX(Project_Tracker!$T$2:$T$101,INT((ROW()-6)/17)+1))</f>
        <v/>
      </c>
      <c r="E269" s="18">
        <f t="shared" si="20"/>
        <v>9</v>
      </c>
      <c r="F269" s="23" t="str">
        <f>IF($A269="","",INDEX('Logic &amp; Lists'!$I$4:$I$20,$E269))</f>
        <v/>
      </c>
      <c r="G269" s="18" t="str">
        <f>IF($A269="","",INDEX('Logic &amp; Lists'!$J$4:$J$20,$E269))</f>
        <v/>
      </c>
      <c r="H269" s="6" t="str">
        <f t="shared" si="21"/>
        <v/>
      </c>
      <c r="I269" s="18" t="str">
        <f t="shared" ca="1" si="22"/>
        <v/>
      </c>
      <c r="J269" s="5" t="str">
        <f t="shared" si="23"/>
        <v/>
      </c>
      <c r="K269" s="25"/>
      <c r="L269" s="5" t="str">
        <f t="shared" si="24"/>
        <v/>
      </c>
      <c r="M269" s="7"/>
      <c r="N269" s="7"/>
      <c r="O269" s="7"/>
      <c r="P269" s="20" t="str">
        <f>IF($A269="","",INDEX(Project_Tracker!$I$2:$I$101,INT((ROW()-6)/17)+1))</f>
        <v/>
      </c>
      <c r="Q269" s="20" t="str">
        <f>IF($A269="","",INDEX(Project_Tracker!$K$2:$K$101,INT((ROW()-6)/17)+1))</f>
        <v/>
      </c>
    </row>
    <row r="270" spans="1:17" x14ac:dyDescent="0.2">
      <c r="A270" s="20" t="str">
        <f>IF(INDEX(Project_Tracker!$AL$2:$AL$101,INT((ROW()-6)/17)+1)="","",INDEX(Project_Tracker!$AL$2:$AL$101,INT((ROW()-6)/17)+1))</f>
        <v/>
      </c>
      <c r="B270" s="21" t="str">
        <f>IF($A270="","",INDEX(Project_Tracker!$AM$2:$AM$101,INT((ROW()-6)/17)+1))</f>
        <v/>
      </c>
      <c r="C270" s="20" t="str">
        <f>IF($A270="","",INDEX(Project_Tracker!$C$2:$C$101,INT((ROW()-6)/17)+1))</f>
        <v/>
      </c>
      <c r="D270" s="6" t="str">
        <f>IF($A270="","",INDEX(Project_Tracker!$T$2:$T$101,INT((ROW()-6)/17)+1))</f>
        <v/>
      </c>
      <c r="E270" s="18">
        <f t="shared" si="20"/>
        <v>10</v>
      </c>
      <c r="F270" s="23" t="str">
        <f>IF($A270="","",INDEX('Logic &amp; Lists'!$I$4:$I$20,$E270))</f>
        <v/>
      </c>
      <c r="G270" s="18" t="str">
        <f>IF($A270="","",INDEX('Logic &amp; Lists'!$J$4:$J$20,$E270))</f>
        <v/>
      </c>
      <c r="H270" s="6" t="str">
        <f t="shared" si="21"/>
        <v/>
      </c>
      <c r="I270" s="18" t="str">
        <f t="shared" ca="1" si="22"/>
        <v/>
      </c>
      <c r="J270" s="5" t="str">
        <f t="shared" si="23"/>
        <v/>
      </c>
      <c r="K270" s="25"/>
      <c r="L270" s="5" t="str">
        <f t="shared" si="24"/>
        <v/>
      </c>
      <c r="M270" s="7"/>
      <c r="N270" s="7"/>
      <c r="O270" s="7"/>
      <c r="P270" s="20" t="str">
        <f>IF($A270="","",INDEX(Project_Tracker!$I$2:$I$101,INT((ROW()-6)/17)+1))</f>
        <v/>
      </c>
      <c r="Q270" s="20" t="str">
        <f>IF($A270="","",INDEX(Project_Tracker!$K$2:$K$101,INT((ROW()-6)/17)+1))</f>
        <v/>
      </c>
    </row>
    <row r="271" spans="1:17" x14ac:dyDescent="0.2">
      <c r="A271" s="20" t="str">
        <f>IF(INDEX(Project_Tracker!$AL$2:$AL$101,INT((ROW()-6)/17)+1)="","",INDEX(Project_Tracker!$AL$2:$AL$101,INT((ROW()-6)/17)+1))</f>
        <v/>
      </c>
      <c r="B271" s="21" t="str">
        <f>IF($A271="","",INDEX(Project_Tracker!$AM$2:$AM$101,INT((ROW()-6)/17)+1))</f>
        <v/>
      </c>
      <c r="C271" s="20" t="str">
        <f>IF($A271="","",INDEX(Project_Tracker!$C$2:$C$101,INT((ROW()-6)/17)+1))</f>
        <v/>
      </c>
      <c r="D271" s="6" t="str">
        <f>IF($A271="","",INDEX(Project_Tracker!$T$2:$T$101,INT((ROW()-6)/17)+1))</f>
        <v/>
      </c>
      <c r="E271" s="18">
        <f t="shared" si="20"/>
        <v>11</v>
      </c>
      <c r="F271" s="23" t="str">
        <f>IF($A271="","",INDEX('Logic &amp; Lists'!$I$4:$I$20,$E271))</f>
        <v/>
      </c>
      <c r="G271" s="18" t="str">
        <f>IF($A271="","",INDEX('Logic &amp; Lists'!$J$4:$J$20,$E271))</f>
        <v/>
      </c>
      <c r="H271" s="6" t="str">
        <f t="shared" si="21"/>
        <v/>
      </c>
      <c r="I271" s="18" t="str">
        <f t="shared" ca="1" si="22"/>
        <v/>
      </c>
      <c r="J271" s="5" t="str">
        <f t="shared" si="23"/>
        <v/>
      </c>
      <c r="K271" s="25"/>
      <c r="L271" s="5" t="str">
        <f t="shared" si="24"/>
        <v/>
      </c>
      <c r="M271" s="7"/>
      <c r="N271" s="7"/>
      <c r="O271" s="7"/>
      <c r="P271" s="20" t="str">
        <f>IF($A271="","",INDEX(Project_Tracker!$I$2:$I$101,INT((ROW()-6)/17)+1))</f>
        <v/>
      </c>
      <c r="Q271" s="20" t="str">
        <f>IF($A271="","",INDEX(Project_Tracker!$K$2:$K$101,INT((ROW()-6)/17)+1))</f>
        <v/>
      </c>
    </row>
    <row r="272" spans="1:17" x14ac:dyDescent="0.2">
      <c r="A272" s="20" t="str">
        <f>IF(INDEX(Project_Tracker!$AL$2:$AL$101,INT((ROW()-6)/17)+1)="","",INDEX(Project_Tracker!$AL$2:$AL$101,INT((ROW()-6)/17)+1))</f>
        <v/>
      </c>
      <c r="B272" s="21" t="str">
        <f>IF($A272="","",INDEX(Project_Tracker!$AM$2:$AM$101,INT((ROW()-6)/17)+1))</f>
        <v/>
      </c>
      <c r="C272" s="20" t="str">
        <f>IF($A272="","",INDEX(Project_Tracker!$C$2:$C$101,INT((ROW()-6)/17)+1))</f>
        <v/>
      </c>
      <c r="D272" s="6" t="str">
        <f>IF($A272="","",INDEX(Project_Tracker!$T$2:$T$101,INT((ROW()-6)/17)+1))</f>
        <v/>
      </c>
      <c r="E272" s="18">
        <f t="shared" si="20"/>
        <v>12</v>
      </c>
      <c r="F272" s="23" t="str">
        <f>IF($A272="","",INDEX('Logic &amp; Lists'!$I$4:$I$20,$E272))</f>
        <v/>
      </c>
      <c r="G272" s="18" t="str">
        <f>IF($A272="","",INDEX('Logic &amp; Lists'!$J$4:$J$20,$E272))</f>
        <v/>
      </c>
      <c r="H272" s="6" t="str">
        <f t="shared" si="21"/>
        <v/>
      </c>
      <c r="I272" s="18" t="str">
        <f t="shared" ca="1" si="22"/>
        <v/>
      </c>
      <c r="J272" s="5" t="str">
        <f t="shared" si="23"/>
        <v/>
      </c>
      <c r="K272" s="25"/>
      <c r="L272" s="5" t="str">
        <f t="shared" si="24"/>
        <v/>
      </c>
      <c r="M272" s="7"/>
      <c r="N272" s="7"/>
      <c r="O272" s="7"/>
      <c r="P272" s="20" t="str">
        <f>IF($A272="","",INDEX(Project_Tracker!$I$2:$I$101,INT((ROW()-6)/17)+1))</f>
        <v/>
      </c>
      <c r="Q272" s="20" t="str">
        <f>IF($A272="","",INDEX(Project_Tracker!$K$2:$K$101,INT((ROW()-6)/17)+1))</f>
        <v/>
      </c>
    </row>
    <row r="273" spans="1:17" x14ac:dyDescent="0.2">
      <c r="A273" s="20" t="str">
        <f>IF(INDEX(Project_Tracker!$AL$2:$AL$101,INT((ROW()-6)/17)+1)="","",INDEX(Project_Tracker!$AL$2:$AL$101,INT((ROW()-6)/17)+1))</f>
        <v/>
      </c>
      <c r="B273" s="21" t="str">
        <f>IF($A273="","",INDEX(Project_Tracker!$AM$2:$AM$101,INT((ROW()-6)/17)+1))</f>
        <v/>
      </c>
      <c r="C273" s="20" t="str">
        <f>IF($A273="","",INDEX(Project_Tracker!$C$2:$C$101,INT((ROW()-6)/17)+1))</f>
        <v/>
      </c>
      <c r="D273" s="6" t="str">
        <f>IF($A273="","",INDEX(Project_Tracker!$T$2:$T$101,INT((ROW()-6)/17)+1))</f>
        <v/>
      </c>
      <c r="E273" s="18">
        <f t="shared" si="20"/>
        <v>13</v>
      </c>
      <c r="F273" s="23" t="str">
        <f>IF($A273="","",INDEX('Logic &amp; Lists'!$I$4:$I$20,$E273))</f>
        <v/>
      </c>
      <c r="G273" s="18" t="str">
        <f>IF($A273="","",INDEX('Logic &amp; Lists'!$J$4:$J$20,$E273))</f>
        <v/>
      </c>
      <c r="H273" s="6" t="str">
        <f t="shared" si="21"/>
        <v/>
      </c>
      <c r="I273" s="18" t="str">
        <f t="shared" ca="1" si="22"/>
        <v/>
      </c>
      <c r="J273" s="5" t="str">
        <f t="shared" si="23"/>
        <v/>
      </c>
      <c r="K273" s="25"/>
      <c r="L273" s="5" t="str">
        <f t="shared" si="24"/>
        <v/>
      </c>
      <c r="M273" s="7"/>
      <c r="N273" s="7"/>
      <c r="O273" s="7"/>
      <c r="P273" s="20" t="str">
        <f>IF($A273="","",INDEX(Project_Tracker!$I$2:$I$101,INT((ROW()-6)/17)+1))</f>
        <v/>
      </c>
      <c r="Q273" s="20" t="str">
        <f>IF($A273="","",INDEX(Project_Tracker!$K$2:$K$101,INT((ROW()-6)/17)+1))</f>
        <v/>
      </c>
    </row>
    <row r="274" spans="1:17" x14ac:dyDescent="0.2">
      <c r="A274" s="20" t="str">
        <f>IF(INDEX(Project_Tracker!$AL$2:$AL$101,INT((ROW()-6)/17)+1)="","",INDEX(Project_Tracker!$AL$2:$AL$101,INT((ROW()-6)/17)+1))</f>
        <v/>
      </c>
      <c r="B274" s="21" t="str">
        <f>IF($A274="","",INDEX(Project_Tracker!$AM$2:$AM$101,INT((ROW()-6)/17)+1))</f>
        <v/>
      </c>
      <c r="C274" s="20" t="str">
        <f>IF($A274="","",INDEX(Project_Tracker!$C$2:$C$101,INT((ROW()-6)/17)+1))</f>
        <v/>
      </c>
      <c r="D274" s="6" t="str">
        <f>IF($A274="","",INDEX(Project_Tracker!$T$2:$T$101,INT((ROW()-6)/17)+1))</f>
        <v/>
      </c>
      <c r="E274" s="18">
        <f t="shared" si="20"/>
        <v>14</v>
      </c>
      <c r="F274" s="23" t="str">
        <f>IF($A274="","",INDEX('Logic &amp; Lists'!$I$4:$I$20,$E274))</f>
        <v/>
      </c>
      <c r="G274" s="18" t="str">
        <f>IF($A274="","",INDEX('Logic &amp; Lists'!$J$4:$J$20,$E274))</f>
        <v/>
      </c>
      <c r="H274" s="6" t="str">
        <f t="shared" si="21"/>
        <v/>
      </c>
      <c r="I274" s="18" t="str">
        <f t="shared" ca="1" si="22"/>
        <v/>
      </c>
      <c r="J274" s="5" t="str">
        <f t="shared" si="23"/>
        <v/>
      </c>
      <c r="K274" s="25"/>
      <c r="L274" s="5" t="str">
        <f t="shared" si="24"/>
        <v/>
      </c>
      <c r="M274" s="7"/>
      <c r="N274" s="7"/>
      <c r="O274" s="7"/>
      <c r="P274" s="20" t="str">
        <f>IF($A274="","",INDEX(Project_Tracker!$I$2:$I$101,INT((ROW()-6)/17)+1))</f>
        <v/>
      </c>
      <c r="Q274" s="20" t="str">
        <f>IF($A274="","",INDEX(Project_Tracker!$K$2:$K$101,INT((ROW()-6)/17)+1))</f>
        <v/>
      </c>
    </row>
    <row r="275" spans="1:17" x14ac:dyDescent="0.2">
      <c r="A275" s="20" t="str">
        <f>IF(INDEX(Project_Tracker!$AL$2:$AL$101,INT((ROW()-6)/17)+1)="","",INDEX(Project_Tracker!$AL$2:$AL$101,INT((ROW()-6)/17)+1))</f>
        <v/>
      </c>
      <c r="B275" s="21" t="str">
        <f>IF($A275="","",INDEX(Project_Tracker!$AM$2:$AM$101,INT((ROW()-6)/17)+1))</f>
        <v/>
      </c>
      <c r="C275" s="20" t="str">
        <f>IF($A275="","",INDEX(Project_Tracker!$C$2:$C$101,INT((ROW()-6)/17)+1))</f>
        <v/>
      </c>
      <c r="D275" s="6" t="str">
        <f>IF($A275="","",INDEX(Project_Tracker!$T$2:$T$101,INT((ROW()-6)/17)+1))</f>
        <v/>
      </c>
      <c r="E275" s="18">
        <f t="shared" si="20"/>
        <v>15</v>
      </c>
      <c r="F275" s="23" t="str">
        <f>IF($A275="","",INDEX('Logic &amp; Lists'!$I$4:$I$20,$E275))</f>
        <v/>
      </c>
      <c r="G275" s="18" t="str">
        <f>IF($A275="","",INDEX('Logic &amp; Lists'!$J$4:$J$20,$E275))</f>
        <v/>
      </c>
      <c r="H275" s="6" t="str">
        <f t="shared" si="21"/>
        <v/>
      </c>
      <c r="I275" s="18" t="str">
        <f t="shared" ca="1" si="22"/>
        <v/>
      </c>
      <c r="J275" s="5" t="str">
        <f t="shared" si="23"/>
        <v/>
      </c>
      <c r="K275" s="25"/>
      <c r="L275" s="5" t="str">
        <f t="shared" si="24"/>
        <v/>
      </c>
      <c r="M275" s="7"/>
      <c r="N275" s="7"/>
      <c r="O275" s="7"/>
      <c r="P275" s="20" t="str">
        <f>IF($A275="","",INDEX(Project_Tracker!$I$2:$I$101,INT((ROW()-6)/17)+1))</f>
        <v/>
      </c>
      <c r="Q275" s="20" t="str">
        <f>IF($A275="","",INDEX(Project_Tracker!$K$2:$K$101,INT((ROW()-6)/17)+1))</f>
        <v/>
      </c>
    </row>
    <row r="276" spans="1:17" x14ac:dyDescent="0.2">
      <c r="A276" s="20" t="str">
        <f>IF(INDEX(Project_Tracker!$AL$2:$AL$101,INT((ROW()-6)/17)+1)="","",INDEX(Project_Tracker!$AL$2:$AL$101,INT((ROW()-6)/17)+1))</f>
        <v/>
      </c>
      <c r="B276" s="21" t="str">
        <f>IF($A276="","",INDEX(Project_Tracker!$AM$2:$AM$101,INT((ROW()-6)/17)+1))</f>
        <v/>
      </c>
      <c r="C276" s="20" t="str">
        <f>IF($A276="","",INDEX(Project_Tracker!$C$2:$C$101,INT((ROW()-6)/17)+1))</f>
        <v/>
      </c>
      <c r="D276" s="6" t="str">
        <f>IF($A276="","",INDEX(Project_Tracker!$T$2:$T$101,INT((ROW()-6)/17)+1))</f>
        <v/>
      </c>
      <c r="E276" s="18">
        <f t="shared" si="20"/>
        <v>16</v>
      </c>
      <c r="F276" s="23" t="str">
        <f>IF($A276="","",INDEX('Logic &amp; Lists'!$I$4:$I$20,$E276))</f>
        <v/>
      </c>
      <c r="G276" s="18" t="str">
        <f>IF($A276="","",INDEX('Logic &amp; Lists'!$J$4:$J$20,$E276))</f>
        <v/>
      </c>
      <c r="H276" s="6" t="str">
        <f t="shared" si="21"/>
        <v/>
      </c>
      <c r="I276" s="18" t="str">
        <f t="shared" ca="1" si="22"/>
        <v/>
      </c>
      <c r="J276" s="5" t="str">
        <f t="shared" si="23"/>
        <v/>
      </c>
      <c r="K276" s="25"/>
      <c r="L276" s="5" t="str">
        <f t="shared" si="24"/>
        <v/>
      </c>
      <c r="M276" s="7"/>
      <c r="N276" s="7"/>
      <c r="O276" s="7"/>
      <c r="P276" s="20" t="str">
        <f>IF($A276="","",INDEX(Project_Tracker!$I$2:$I$101,INT((ROW()-6)/17)+1))</f>
        <v/>
      </c>
      <c r="Q276" s="20" t="str">
        <f>IF($A276="","",INDEX(Project_Tracker!$K$2:$K$101,INT((ROW()-6)/17)+1))</f>
        <v/>
      </c>
    </row>
    <row r="277" spans="1:17" x14ac:dyDescent="0.2">
      <c r="A277" s="20" t="str">
        <f>IF(INDEX(Project_Tracker!$AL$2:$AL$101,INT((ROW()-6)/17)+1)="","",INDEX(Project_Tracker!$AL$2:$AL$101,INT((ROW()-6)/17)+1))</f>
        <v/>
      </c>
      <c r="B277" s="21" t="str">
        <f>IF($A277="","",INDEX(Project_Tracker!$AM$2:$AM$101,INT((ROW()-6)/17)+1))</f>
        <v/>
      </c>
      <c r="C277" s="20" t="str">
        <f>IF($A277="","",INDEX(Project_Tracker!$C$2:$C$101,INT((ROW()-6)/17)+1))</f>
        <v/>
      </c>
      <c r="D277" s="6" t="str">
        <f>IF($A277="","",INDEX(Project_Tracker!$T$2:$T$101,INT((ROW()-6)/17)+1))</f>
        <v/>
      </c>
      <c r="E277" s="18">
        <f t="shared" si="20"/>
        <v>17</v>
      </c>
      <c r="F277" s="23" t="str">
        <f>IF($A277="","",INDEX('Logic &amp; Lists'!$I$4:$I$20,$E277))</f>
        <v/>
      </c>
      <c r="G277" s="18" t="str">
        <f>IF($A277="","",INDEX('Logic &amp; Lists'!$J$4:$J$20,$E277))</f>
        <v/>
      </c>
      <c r="H277" s="6" t="str">
        <f t="shared" si="21"/>
        <v/>
      </c>
      <c r="I277" s="18" t="str">
        <f t="shared" ca="1" si="22"/>
        <v/>
      </c>
      <c r="J277" s="5" t="str">
        <f t="shared" si="23"/>
        <v/>
      </c>
      <c r="K277" s="25"/>
      <c r="L277" s="5" t="str">
        <f t="shared" si="24"/>
        <v/>
      </c>
      <c r="M277" s="7"/>
      <c r="N277" s="7"/>
      <c r="O277" s="7"/>
      <c r="P277" s="20" t="str">
        <f>IF($A277="","",INDEX(Project_Tracker!$I$2:$I$101,INT((ROW()-6)/17)+1))</f>
        <v/>
      </c>
      <c r="Q277" s="20" t="str">
        <f>IF($A277="","",INDEX(Project_Tracker!$K$2:$K$101,INT((ROW()-6)/17)+1))</f>
        <v/>
      </c>
    </row>
    <row r="278" spans="1:17" x14ac:dyDescent="0.2">
      <c r="A278" s="20" t="str">
        <f>IF(INDEX(Project_Tracker!$AL$2:$AL$101,INT((ROW()-6)/17)+1)="","",INDEX(Project_Tracker!$AL$2:$AL$101,INT((ROW()-6)/17)+1))</f>
        <v/>
      </c>
      <c r="B278" s="21" t="str">
        <f>IF($A278="","",INDEX(Project_Tracker!$AM$2:$AM$101,INT((ROW()-6)/17)+1))</f>
        <v/>
      </c>
      <c r="C278" s="20" t="str">
        <f>IF($A278="","",INDEX(Project_Tracker!$C$2:$C$101,INT((ROW()-6)/17)+1))</f>
        <v/>
      </c>
      <c r="D278" s="6" t="str">
        <f>IF($A278="","",INDEX(Project_Tracker!$T$2:$T$101,INT((ROW()-6)/17)+1))</f>
        <v/>
      </c>
      <c r="E278" s="18">
        <f t="shared" si="20"/>
        <v>1</v>
      </c>
      <c r="F278" s="23" t="str">
        <f>IF($A278="","",INDEX('Logic &amp; Lists'!$I$4:$I$20,$E278))</f>
        <v/>
      </c>
      <c r="G278" s="18" t="str">
        <f>IF($A278="","",INDEX('Logic &amp; Lists'!$J$4:$J$20,$E278))</f>
        <v/>
      </c>
      <c r="H278" s="6" t="str">
        <f t="shared" si="21"/>
        <v/>
      </c>
      <c r="I278" s="18" t="str">
        <f t="shared" ca="1" si="22"/>
        <v/>
      </c>
      <c r="J278" s="5" t="str">
        <f t="shared" si="23"/>
        <v/>
      </c>
      <c r="K278" s="25"/>
      <c r="L278" s="5" t="str">
        <f t="shared" si="24"/>
        <v/>
      </c>
      <c r="M278" s="7"/>
      <c r="N278" s="7"/>
      <c r="O278" s="7"/>
      <c r="P278" s="20" t="str">
        <f>IF($A278="","",INDEX(Project_Tracker!$I$2:$I$101,INT((ROW()-6)/17)+1))</f>
        <v/>
      </c>
      <c r="Q278" s="20" t="str">
        <f>IF($A278="","",INDEX(Project_Tracker!$K$2:$K$101,INT((ROW()-6)/17)+1))</f>
        <v/>
      </c>
    </row>
    <row r="279" spans="1:17" x14ac:dyDescent="0.2">
      <c r="A279" s="20" t="str">
        <f>IF(INDEX(Project_Tracker!$AL$2:$AL$101,INT((ROW()-6)/17)+1)="","",INDEX(Project_Tracker!$AL$2:$AL$101,INT((ROW()-6)/17)+1))</f>
        <v/>
      </c>
      <c r="B279" s="21" t="str">
        <f>IF($A279="","",INDEX(Project_Tracker!$AM$2:$AM$101,INT((ROW()-6)/17)+1))</f>
        <v/>
      </c>
      <c r="C279" s="20" t="str">
        <f>IF($A279="","",INDEX(Project_Tracker!$C$2:$C$101,INT((ROW()-6)/17)+1))</f>
        <v/>
      </c>
      <c r="D279" s="6" t="str">
        <f>IF($A279="","",INDEX(Project_Tracker!$T$2:$T$101,INT((ROW()-6)/17)+1))</f>
        <v/>
      </c>
      <c r="E279" s="18">
        <f t="shared" si="20"/>
        <v>2</v>
      </c>
      <c r="F279" s="23" t="str">
        <f>IF($A279="","",INDEX('Logic &amp; Lists'!$I$4:$I$20,$E279))</f>
        <v/>
      </c>
      <c r="G279" s="18" t="str">
        <f>IF($A279="","",INDEX('Logic &amp; Lists'!$J$4:$J$20,$E279))</f>
        <v/>
      </c>
      <c r="H279" s="6" t="str">
        <f t="shared" si="21"/>
        <v/>
      </c>
      <c r="I279" s="18" t="str">
        <f t="shared" ca="1" si="22"/>
        <v/>
      </c>
      <c r="J279" s="5" t="str">
        <f t="shared" si="23"/>
        <v/>
      </c>
      <c r="K279" s="25"/>
      <c r="L279" s="5" t="str">
        <f t="shared" si="24"/>
        <v/>
      </c>
      <c r="M279" s="7"/>
      <c r="N279" s="7"/>
      <c r="O279" s="7"/>
      <c r="P279" s="20" t="str">
        <f>IF($A279="","",INDEX(Project_Tracker!$I$2:$I$101,INT((ROW()-6)/17)+1))</f>
        <v/>
      </c>
      <c r="Q279" s="20" t="str">
        <f>IF($A279="","",INDEX(Project_Tracker!$K$2:$K$101,INT((ROW()-6)/17)+1))</f>
        <v/>
      </c>
    </row>
    <row r="280" spans="1:17" x14ac:dyDescent="0.2">
      <c r="A280" s="20" t="str">
        <f>IF(INDEX(Project_Tracker!$AL$2:$AL$101,INT((ROW()-6)/17)+1)="","",INDEX(Project_Tracker!$AL$2:$AL$101,INT((ROW()-6)/17)+1))</f>
        <v/>
      </c>
      <c r="B280" s="21" t="str">
        <f>IF($A280="","",INDEX(Project_Tracker!$AM$2:$AM$101,INT((ROW()-6)/17)+1))</f>
        <v/>
      </c>
      <c r="C280" s="20" t="str">
        <f>IF($A280="","",INDEX(Project_Tracker!$C$2:$C$101,INT((ROW()-6)/17)+1))</f>
        <v/>
      </c>
      <c r="D280" s="6" t="str">
        <f>IF($A280="","",INDEX(Project_Tracker!$T$2:$T$101,INT((ROW()-6)/17)+1))</f>
        <v/>
      </c>
      <c r="E280" s="18">
        <f t="shared" si="20"/>
        <v>3</v>
      </c>
      <c r="F280" s="23" t="str">
        <f>IF($A280="","",INDEX('Logic &amp; Lists'!$I$4:$I$20,$E280))</f>
        <v/>
      </c>
      <c r="G280" s="18" t="str">
        <f>IF($A280="","",INDEX('Logic &amp; Lists'!$J$4:$J$20,$E280))</f>
        <v/>
      </c>
      <c r="H280" s="6" t="str">
        <f t="shared" si="21"/>
        <v/>
      </c>
      <c r="I280" s="18" t="str">
        <f t="shared" ca="1" si="22"/>
        <v/>
      </c>
      <c r="J280" s="5" t="str">
        <f t="shared" si="23"/>
        <v/>
      </c>
      <c r="K280" s="25"/>
      <c r="L280" s="5" t="str">
        <f t="shared" si="24"/>
        <v/>
      </c>
      <c r="M280" s="7"/>
      <c r="N280" s="7"/>
      <c r="O280" s="7"/>
      <c r="P280" s="20" t="str">
        <f>IF($A280="","",INDEX(Project_Tracker!$I$2:$I$101,INT((ROW()-6)/17)+1))</f>
        <v/>
      </c>
      <c r="Q280" s="20" t="str">
        <f>IF($A280="","",INDEX(Project_Tracker!$K$2:$K$101,INT((ROW()-6)/17)+1))</f>
        <v/>
      </c>
    </row>
    <row r="281" spans="1:17" x14ac:dyDescent="0.2">
      <c r="A281" s="20" t="str">
        <f>IF(INDEX(Project_Tracker!$AL$2:$AL$101,INT((ROW()-6)/17)+1)="","",INDEX(Project_Tracker!$AL$2:$AL$101,INT((ROW()-6)/17)+1))</f>
        <v/>
      </c>
      <c r="B281" s="21" t="str">
        <f>IF($A281="","",INDEX(Project_Tracker!$AM$2:$AM$101,INT((ROW()-6)/17)+1))</f>
        <v/>
      </c>
      <c r="C281" s="20" t="str">
        <f>IF($A281="","",INDEX(Project_Tracker!$C$2:$C$101,INT((ROW()-6)/17)+1))</f>
        <v/>
      </c>
      <c r="D281" s="6" t="str">
        <f>IF($A281="","",INDEX(Project_Tracker!$T$2:$T$101,INT((ROW()-6)/17)+1))</f>
        <v/>
      </c>
      <c r="E281" s="18">
        <f t="shared" si="20"/>
        <v>4</v>
      </c>
      <c r="F281" s="23" t="str">
        <f>IF($A281="","",INDEX('Logic &amp; Lists'!$I$4:$I$20,$E281))</f>
        <v/>
      </c>
      <c r="G281" s="18" t="str">
        <f>IF($A281="","",INDEX('Logic &amp; Lists'!$J$4:$J$20,$E281))</f>
        <v/>
      </c>
      <c r="H281" s="6" t="str">
        <f t="shared" si="21"/>
        <v/>
      </c>
      <c r="I281" s="18" t="str">
        <f t="shared" ca="1" si="22"/>
        <v/>
      </c>
      <c r="J281" s="5" t="str">
        <f t="shared" si="23"/>
        <v/>
      </c>
      <c r="K281" s="25"/>
      <c r="L281" s="5" t="str">
        <f t="shared" si="24"/>
        <v/>
      </c>
      <c r="M281" s="7"/>
      <c r="N281" s="7"/>
      <c r="O281" s="7"/>
      <c r="P281" s="20" t="str">
        <f>IF($A281="","",INDEX(Project_Tracker!$I$2:$I$101,INT((ROW()-6)/17)+1))</f>
        <v/>
      </c>
      <c r="Q281" s="20" t="str">
        <f>IF($A281="","",INDEX(Project_Tracker!$K$2:$K$101,INT((ROW()-6)/17)+1))</f>
        <v/>
      </c>
    </row>
    <row r="282" spans="1:17" x14ac:dyDescent="0.2">
      <c r="A282" s="20" t="str">
        <f>IF(INDEX(Project_Tracker!$AL$2:$AL$101,INT((ROW()-6)/17)+1)="","",INDEX(Project_Tracker!$AL$2:$AL$101,INT((ROW()-6)/17)+1))</f>
        <v/>
      </c>
      <c r="B282" s="21" t="str">
        <f>IF($A282="","",INDEX(Project_Tracker!$AM$2:$AM$101,INT((ROW()-6)/17)+1))</f>
        <v/>
      </c>
      <c r="C282" s="20" t="str">
        <f>IF($A282="","",INDEX(Project_Tracker!$C$2:$C$101,INT((ROW()-6)/17)+1))</f>
        <v/>
      </c>
      <c r="D282" s="6" t="str">
        <f>IF($A282="","",INDEX(Project_Tracker!$T$2:$T$101,INT((ROW()-6)/17)+1))</f>
        <v/>
      </c>
      <c r="E282" s="18">
        <f t="shared" si="20"/>
        <v>5</v>
      </c>
      <c r="F282" s="23" t="str">
        <f>IF($A282="","",INDEX('Logic &amp; Lists'!$I$4:$I$20,$E282))</f>
        <v/>
      </c>
      <c r="G282" s="18" t="str">
        <f>IF($A282="","",INDEX('Logic &amp; Lists'!$J$4:$J$20,$E282))</f>
        <v/>
      </c>
      <c r="H282" s="6" t="str">
        <f t="shared" si="21"/>
        <v/>
      </c>
      <c r="I282" s="18" t="str">
        <f t="shared" ca="1" si="22"/>
        <v/>
      </c>
      <c r="J282" s="5" t="str">
        <f t="shared" si="23"/>
        <v/>
      </c>
      <c r="K282" s="25"/>
      <c r="L282" s="5" t="str">
        <f t="shared" si="24"/>
        <v/>
      </c>
      <c r="M282" s="7"/>
      <c r="N282" s="7"/>
      <c r="O282" s="7"/>
      <c r="P282" s="20" t="str">
        <f>IF($A282="","",INDEX(Project_Tracker!$I$2:$I$101,INT((ROW()-6)/17)+1))</f>
        <v/>
      </c>
      <c r="Q282" s="20" t="str">
        <f>IF($A282="","",INDEX(Project_Tracker!$K$2:$K$101,INT((ROW()-6)/17)+1))</f>
        <v/>
      </c>
    </row>
    <row r="283" spans="1:17" x14ac:dyDescent="0.2">
      <c r="A283" s="20" t="str">
        <f>IF(INDEX(Project_Tracker!$AL$2:$AL$101,INT((ROW()-6)/17)+1)="","",INDEX(Project_Tracker!$AL$2:$AL$101,INT((ROW()-6)/17)+1))</f>
        <v/>
      </c>
      <c r="B283" s="21" t="str">
        <f>IF($A283="","",INDEX(Project_Tracker!$AM$2:$AM$101,INT((ROW()-6)/17)+1))</f>
        <v/>
      </c>
      <c r="C283" s="20" t="str">
        <f>IF($A283="","",INDEX(Project_Tracker!$C$2:$C$101,INT((ROW()-6)/17)+1))</f>
        <v/>
      </c>
      <c r="D283" s="6" t="str">
        <f>IF($A283="","",INDEX(Project_Tracker!$T$2:$T$101,INT((ROW()-6)/17)+1))</f>
        <v/>
      </c>
      <c r="E283" s="18">
        <f t="shared" si="20"/>
        <v>6</v>
      </c>
      <c r="F283" s="23" t="str">
        <f>IF($A283="","",INDEX('Logic &amp; Lists'!$I$4:$I$20,$E283))</f>
        <v/>
      </c>
      <c r="G283" s="18" t="str">
        <f>IF($A283="","",INDEX('Logic &amp; Lists'!$J$4:$J$20,$E283))</f>
        <v/>
      </c>
      <c r="H283" s="6" t="str">
        <f t="shared" si="21"/>
        <v/>
      </c>
      <c r="I283" s="18" t="str">
        <f t="shared" ca="1" si="22"/>
        <v/>
      </c>
      <c r="J283" s="5" t="str">
        <f t="shared" si="23"/>
        <v/>
      </c>
      <c r="K283" s="25"/>
      <c r="L283" s="5" t="str">
        <f t="shared" si="24"/>
        <v/>
      </c>
      <c r="M283" s="7"/>
      <c r="N283" s="7"/>
      <c r="O283" s="7"/>
      <c r="P283" s="20" t="str">
        <f>IF($A283="","",INDEX(Project_Tracker!$I$2:$I$101,INT((ROW()-6)/17)+1))</f>
        <v/>
      </c>
      <c r="Q283" s="20" t="str">
        <f>IF($A283="","",INDEX(Project_Tracker!$K$2:$K$101,INT((ROW()-6)/17)+1))</f>
        <v/>
      </c>
    </row>
    <row r="284" spans="1:17" x14ac:dyDescent="0.2">
      <c r="A284" s="20" t="str">
        <f>IF(INDEX(Project_Tracker!$AL$2:$AL$101,INT((ROW()-6)/17)+1)="","",INDEX(Project_Tracker!$AL$2:$AL$101,INT((ROW()-6)/17)+1))</f>
        <v/>
      </c>
      <c r="B284" s="21" t="str">
        <f>IF($A284="","",INDEX(Project_Tracker!$AM$2:$AM$101,INT((ROW()-6)/17)+1))</f>
        <v/>
      </c>
      <c r="C284" s="20" t="str">
        <f>IF($A284="","",INDEX(Project_Tracker!$C$2:$C$101,INT((ROW()-6)/17)+1))</f>
        <v/>
      </c>
      <c r="D284" s="6" t="str">
        <f>IF($A284="","",INDEX(Project_Tracker!$T$2:$T$101,INT((ROW()-6)/17)+1))</f>
        <v/>
      </c>
      <c r="E284" s="18">
        <f t="shared" si="20"/>
        <v>7</v>
      </c>
      <c r="F284" s="23" t="str">
        <f>IF($A284="","",INDEX('Logic &amp; Lists'!$I$4:$I$20,$E284))</f>
        <v/>
      </c>
      <c r="G284" s="18" t="str">
        <f>IF($A284="","",INDEX('Logic &amp; Lists'!$J$4:$J$20,$E284))</f>
        <v/>
      </c>
      <c r="H284" s="6" t="str">
        <f t="shared" si="21"/>
        <v/>
      </c>
      <c r="I284" s="18" t="str">
        <f t="shared" ca="1" si="22"/>
        <v/>
      </c>
      <c r="J284" s="5" t="str">
        <f t="shared" si="23"/>
        <v/>
      </c>
      <c r="K284" s="25"/>
      <c r="L284" s="5" t="str">
        <f t="shared" si="24"/>
        <v/>
      </c>
      <c r="M284" s="7"/>
      <c r="N284" s="7"/>
      <c r="O284" s="7"/>
      <c r="P284" s="20" t="str">
        <f>IF($A284="","",INDEX(Project_Tracker!$I$2:$I$101,INT((ROW()-6)/17)+1))</f>
        <v/>
      </c>
      <c r="Q284" s="20" t="str">
        <f>IF($A284="","",INDEX(Project_Tracker!$K$2:$K$101,INT((ROW()-6)/17)+1))</f>
        <v/>
      </c>
    </row>
    <row r="285" spans="1:17" x14ac:dyDescent="0.2">
      <c r="A285" s="20" t="str">
        <f>IF(INDEX(Project_Tracker!$AL$2:$AL$101,INT((ROW()-6)/17)+1)="","",INDEX(Project_Tracker!$AL$2:$AL$101,INT((ROW()-6)/17)+1))</f>
        <v/>
      </c>
      <c r="B285" s="21" t="str">
        <f>IF($A285="","",INDEX(Project_Tracker!$AM$2:$AM$101,INT((ROW()-6)/17)+1))</f>
        <v/>
      </c>
      <c r="C285" s="20" t="str">
        <f>IF($A285="","",INDEX(Project_Tracker!$C$2:$C$101,INT((ROW()-6)/17)+1))</f>
        <v/>
      </c>
      <c r="D285" s="6" t="str">
        <f>IF($A285="","",INDEX(Project_Tracker!$T$2:$T$101,INT((ROW()-6)/17)+1))</f>
        <v/>
      </c>
      <c r="E285" s="18">
        <f t="shared" si="20"/>
        <v>8</v>
      </c>
      <c r="F285" s="23" t="str">
        <f>IF($A285="","",INDEX('Logic &amp; Lists'!$I$4:$I$20,$E285))</f>
        <v/>
      </c>
      <c r="G285" s="18" t="str">
        <f>IF($A285="","",INDEX('Logic &amp; Lists'!$J$4:$J$20,$E285))</f>
        <v/>
      </c>
      <c r="H285" s="6" t="str">
        <f t="shared" si="21"/>
        <v/>
      </c>
      <c r="I285" s="18" t="str">
        <f t="shared" ca="1" si="22"/>
        <v/>
      </c>
      <c r="J285" s="5" t="str">
        <f t="shared" si="23"/>
        <v/>
      </c>
      <c r="K285" s="25"/>
      <c r="L285" s="5" t="str">
        <f t="shared" si="24"/>
        <v/>
      </c>
      <c r="M285" s="7"/>
      <c r="N285" s="7"/>
      <c r="O285" s="7"/>
      <c r="P285" s="20" t="str">
        <f>IF($A285="","",INDEX(Project_Tracker!$I$2:$I$101,INT((ROW()-6)/17)+1))</f>
        <v/>
      </c>
      <c r="Q285" s="20" t="str">
        <f>IF($A285="","",INDEX(Project_Tracker!$K$2:$K$101,INT((ROW()-6)/17)+1))</f>
        <v/>
      </c>
    </row>
    <row r="286" spans="1:17" x14ac:dyDescent="0.2">
      <c r="A286" s="20" t="str">
        <f>IF(INDEX(Project_Tracker!$AL$2:$AL$101,INT((ROW()-6)/17)+1)="","",INDEX(Project_Tracker!$AL$2:$AL$101,INT((ROW()-6)/17)+1))</f>
        <v/>
      </c>
      <c r="B286" s="21" t="str">
        <f>IF($A286="","",INDEX(Project_Tracker!$AM$2:$AM$101,INT((ROW()-6)/17)+1))</f>
        <v/>
      </c>
      <c r="C286" s="20" t="str">
        <f>IF($A286="","",INDEX(Project_Tracker!$C$2:$C$101,INT((ROW()-6)/17)+1))</f>
        <v/>
      </c>
      <c r="D286" s="6" t="str">
        <f>IF($A286="","",INDEX(Project_Tracker!$T$2:$T$101,INT((ROW()-6)/17)+1))</f>
        <v/>
      </c>
      <c r="E286" s="18">
        <f t="shared" si="20"/>
        <v>9</v>
      </c>
      <c r="F286" s="23" t="str">
        <f>IF($A286="","",INDEX('Logic &amp; Lists'!$I$4:$I$20,$E286))</f>
        <v/>
      </c>
      <c r="G286" s="18" t="str">
        <f>IF($A286="","",INDEX('Logic &amp; Lists'!$J$4:$J$20,$E286))</f>
        <v/>
      </c>
      <c r="H286" s="6" t="str">
        <f t="shared" si="21"/>
        <v/>
      </c>
      <c r="I286" s="18" t="str">
        <f t="shared" ca="1" si="22"/>
        <v/>
      </c>
      <c r="J286" s="5" t="str">
        <f t="shared" si="23"/>
        <v/>
      </c>
      <c r="K286" s="25"/>
      <c r="L286" s="5" t="str">
        <f t="shared" si="24"/>
        <v/>
      </c>
      <c r="M286" s="7"/>
      <c r="N286" s="7"/>
      <c r="O286" s="7"/>
      <c r="P286" s="20" t="str">
        <f>IF($A286="","",INDEX(Project_Tracker!$I$2:$I$101,INT((ROW()-6)/17)+1))</f>
        <v/>
      </c>
      <c r="Q286" s="20" t="str">
        <f>IF($A286="","",INDEX(Project_Tracker!$K$2:$K$101,INT((ROW()-6)/17)+1))</f>
        <v/>
      </c>
    </row>
    <row r="287" spans="1:17" x14ac:dyDescent="0.2">
      <c r="A287" s="20" t="str">
        <f>IF(INDEX(Project_Tracker!$AL$2:$AL$101,INT((ROW()-6)/17)+1)="","",INDEX(Project_Tracker!$AL$2:$AL$101,INT((ROW()-6)/17)+1))</f>
        <v/>
      </c>
      <c r="B287" s="21" t="str">
        <f>IF($A287="","",INDEX(Project_Tracker!$AM$2:$AM$101,INT((ROW()-6)/17)+1))</f>
        <v/>
      </c>
      <c r="C287" s="20" t="str">
        <f>IF($A287="","",INDEX(Project_Tracker!$C$2:$C$101,INT((ROW()-6)/17)+1))</f>
        <v/>
      </c>
      <c r="D287" s="6" t="str">
        <f>IF($A287="","",INDEX(Project_Tracker!$T$2:$T$101,INT((ROW()-6)/17)+1))</f>
        <v/>
      </c>
      <c r="E287" s="18">
        <f t="shared" si="20"/>
        <v>10</v>
      </c>
      <c r="F287" s="23" t="str">
        <f>IF($A287="","",INDEX('Logic &amp; Lists'!$I$4:$I$20,$E287))</f>
        <v/>
      </c>
      <c r="G287" s="18" t="str">
        <f>IF($A287="","",INDEX('Logic &amp; Lists'!$J$4:$J$20,$E287))</f>
        <v/>
      </c>
      <c r="H287" s="6" t="str">
        <f t="shared" si="21"/>
        <v/>
      </c>
      <c r="I287" s="18" t="str">
        <f t="shared" ca="1" si="22"/>
        <v/>
      </c>
      <c r="J287" s="5" t="str">
        <f t="shared" si="23"/>
        <v/>
      </c>
      <c r="K287" s="25"/>
      <c r="L287" s="5" t="str">
        <f t="shared" si="24"/>
        <v/>
      </c>
      <c r="M287" s="7"/>
      <c r="N287" s="7"/>
      <c r="O287" s="7"/>
      <c r="P287" s="20" t="str">
        <f>IF($A287="","",INDEX(Project_Tracker!$I$2:$I$101,INT((ROW()-6)/17)+1))</f>
        <v/>
      </c>
      <c r="Q287" s="20" t="str">
        <f>IF($A287="","",INDEX(Project_Tracker!$K$2:$K$101,INT((ROW()-6)/17)+1))</f>
        <v/>
      </c>
    </row>
    <row r="288" spans="1:17" x14ac:dyDescent="0.2">
      <c r="A288" s="20" t="str">
        <f>IF(INDEX(Project_Tracker!$AL$2:$AL$101,INT((ROW()-6)/17)+1)="","",INDEX(Project_Tracker!$AL$2:$AL$101,INT((ROW()-6)/17)+1))</f>
        <v/>
      </c>
      <c r="B288" s="21" t="str">
        <f>IF($A288="","",INDEX(Project_Tracker!$AM$2:$AM$101,INT((ROW()-6)/17)+1))</f>
        <v/>
      </c>
      <c r="C288" s="20" t="str">
        <f>IF($A288="","",INDEX(Project_Tracker!$C$2:$C$101,INT((ROW()-6)/17)+1))</f>
        <v/>
      </c>
      <c r="D288" s="6" t="str">
        <f>IF($A288="","",INDEX(Project_Tracker!$T$2:$T$101,INT((ROW()-6)/17)+1))</f>
        <v/>
      </c>
      <c r="E288" s="18">
        <f t="shared" si="20"/>
        <v>11</v>
      </c>
      <c r="F288" s="23" t="str">
        <f>IF($A288="","",INDEX('Logic &amp; Lists'!$I$4:$I$20,$E288))</f>
        <v/>
      </c>
      <c r="G288" s="18" t="str">
        <f>IF($A288="","",INDEX('Logic &amp; Lists'!$J$4:$J$20,$E288))</f>
        <v/>
      </c>
      <c r="H288" s="6" t="str">
        <f t="shared" si="21"/>
        <v/>
      </c>
      <c r="I288" s="18" t="str">
        <f t="shared" ca="1" si="22"/>
        <v/>
      </c>
      <c r="J288" s="5" t="str">
        <f t="shared" si="23"/>
        <v/>
      </c>
      <c r="K288" s="25"/>
      <c r="L288" s="5" t="str">
        <f t="shared" si="24"/>
        <v/>
      </c>
      <c r="M288" s="7"/>
      <c r="N288" s="7"/>
      <c r="O288" s="7"/>
      <c r="P288" s="20" t="str">
        <f>IF($A288="","",INDEX(Project_Tracker!$I$2:$I$101,INT((ROW()-6)/17)+1))</f>
        <v/>
      </c>
      <c r="Q288" s="20" t="str">
        <f>IF($A288="","",INDEX(Project_Tracker!$K$2:$K$101,INT((ROW()-6)/17)+1))</f>
        <v/>
      </c>
    </row>
    <row r="289" spans="1:17" x14ac:dyDescent="0.2">
      <c r="A289" s="20" t="str">
        <f>IF(INDEX(Project_Tracker!$AL$2:$AL$101,INT((ROW()-6)/17)+1)="","",INDEX(Project_Tracker!$AL$2:$AL$101,INT((ROW()-6)/17)+1))</f>
        <v/>
      </c>
      <c r="B289" s="21" t="str">
        <f>IF($A289="","",INDEX(Project_Tracker!$AM$2:$AM$101,INT((ROW()-6)/17)+1))</f>
        <v/>
      </c>
      <c r="C289" s="20" t="str">
        <f>IF($A289="","",INDEX(Project_Tracker!$C$2:$C$101,INT((ROW()-6)/17)+1))</f>
        <v/>
      </c>
      <c r="D289" s="6" t="str">
        <f>IF($A289="","",INDEX(Project_Tracker!$T$2:$T$101,INT((ROW()-6)/17)+1))</f>
        <v/>
      </c>
      <c r="E289" s="18">
        <f t="shared" si="20"/>
        <v>12</v>
      </c>
      <c r="F289" s="23" t="str">
        <f>IF($A289="","",INDEX('Logic &amp; Lists'!$I$4:$I$20,$E289))</f>
        <v/>
      </c>
      <c r="G289" s="18" t="str">
        <f>IF($A289="","",INDEX('Logic &amp; Lists'!$J$4:$J$20,$E289))</f>
        <v/>
      </c>
      <c r="H289" s="6" t="str">
        <f t="shared" si="21"/>
        <v/>
      </c>
      <c r="I289" s="18" t="str">
        <f t="shared" ca="1" si="22"/>
        <v/>
      </c>
      <c r="J289" s="5" t="str">
        <f t="shared" si="23"/>
        <v/>
      </c>
      <c r="K289" s="25"/>
      <c r="L289" s="5" t="str">
        <f t="shared" si="24"/>
        <v/>
      </c>
      <c r="M289" s="7"/>
      <c r="N289" s="7"/>
      <c r="O289" s="7"/>
      <c r="P289" s="20" t="str">
        <f>IF($A289="","",INDEX(Project_Tracker!$I$2:$I$101,INT((ROW()-6)/17)+1))</f>
        <v/>
      </c>
      <c r="Q289" s="20" t="str">
        <f>IF($A289="","",INDEX(Project_Tracker!$K$2:$K$101,INT((ROW()-6)/17)+1))</f>
        <v/>
      </c>
    </row>
    <row r="290" spans="1:17" x14ac:dyDescent="0.2">
      <c r="A290" s="20" t="str">
        <f>IF(INDEX(Project_Tracker!$AL$2:$AL$101,INT((ROW()-6)/17)+1)="","",INDEX(Project_Tracker!$AL$2:$AL$101,INT((ROW()-6)/17)+1))</f>
        <v/>
      </c>
      <c r="B290" s="21" t="str">
        <f>IF($A290="","",INDEX(Project_Tracker!$AM$2:$AM$101,INT((ROW()-6)/17)+1))</f>
        <v/>
      </c>
      <c r="C290" s="20" t="str">
        <f>IF($A290="","",INDEX(Project_Tracker!$C$2:$C$101,INT((ROW()-6)/17)+1))</f>
        <v/>
      </c>
      <c r="D290" s="6" t="str">
        <f>IF($A290="","",INDEX(Project_Tracker!$T$2:$T$101,INT((ROW()-6)/17)+1))</f>
        <v/>
      </c>
      <c r="E290" s="18">
        <f t="shared" si="20"/>
        <v>13</v>
      </c>
      <c r="F290" s="23" t="str">
        <f>IF($A290="","",INDEX('Logic &amp; Lists'!$I$4:$I$20,$E290))</f>
        <v/>
      </c>
      <c r="G290" s="18" t="str">
        <f>IF($A290="","",INDEX('Logic &amp; Lists'!$J$4:$J$20,$E290))</f>
        <v/>
      </c>
      <c r="H290" s="6" t="str">
        <f t="shared" si="21"/>
        <v/>
      </c>
      <c r="I290" s="18" t="str">
        <f t="shared" ca="1" si="22"/>
        <v/>
      </c>
      <c r="J290" s="5" t="str">
        <f t="shared" si="23"/>
        <v/>
      </c>
      <c r="K290" s="25"/>
      <c r="L290" s="5" t="str">
        <f t="shared" si="24"/>
        <v/>
      </c>
      <c r="M290" s="7"/>
      <c r="N290" s="7"/>
      <c r="O290" s="7"/>
      <c r="P290" s="20" t="str">
        <f>IF($A290="","",INDEX(Project_Tracker!$I$2:$I$101,INT((ROW()-6)/17)+1))</f>
        <v/>
      </c>
      <c r="Q290" s="20" t="str">
        <f>IF($A290="","",INDEX(Project_Tracker!$K$2:$K$101,INT((ROW()-6)/17)+1))</f>
        <v/>
      </c>
    </row>
    <row r="291" spans="1:17" x14ac:dyDescent="0.2">
      <c r="A291" s="20" t="str">
        <f>IF(INDEX(Project_Tracker!$AL$2:$AL$101,INT((ROW()-6)/17)+1)="","",INDEX(Project_Tracker!$AL$2:$AL$101,INT((ROW()-6)/17)+1))</f>
        <v/>
      </c>
      <c r="B291" s="21" t="str">
        <f>IF($A291="","",INDEX(Project_Tracker!$AM$2:$AM$101,INT((ROW()-6)/17)+1))</f>
        <v/>
      </c>
      <c r="C291" s="20" t="str">
        <f>IF($A291="","",INDEX(Project_Tracker!$C$2:$C$101,INT((ROW()-6)/17)+1))</f>
        <v/>
      </c>
      <c r="D291" s="6" t="str">
        <f>IF($A291="","",INDEX(Project_Tracker!$T$2:$T$101,INT((ROW()-6)/17)+1))</f>
        <v/>
      </c>
      <c r="E291" s="18">
        <f t="shared" si="20"/>
        <v>14</v>
      </c>
      <c r="F291" s="23" t="str">
        <f>IF($A291="","",INDEX('Logic &amp; Lists'!$I$4:$I$20,$E291))</f>
        <v/>
      </c>
      <c r="G291" s="18" t="str">
        <f>IF($A291="","",INDEX('Logic &amp; Lists'!$J$4:$J$20,$E291))</f>
        <v/>
      </c>
      <c r="H291" s="6" t="str">
        <f t="shared" si="21"/>
        <v/>
      </c>
      <c r="I291" s="18" t="str">
        <f t="shared" ca="1" si="22"/>
        <v/>
      </c>
      <c r="J291" s="5" t="str">
        <f t="shared" si="23"/>
        <v/>
      </c>
      <c r="K291" s="25"/>
      <c r="L291" s="5" t="str">
        <f t="shared" si="24"/>
        <v/>
      </c>
      <c r="M291" s="7"/>
      <c r="N291" s="7"/>
      <c r="O291" s="7"/>
      <c r="P291" s="20" t="str">
        <f>IF($A291="","",INDEX(Project_Tracker!$I$2:$I$101,INT((ROW()-6)/17)+1))</f>
        <v/>
      </c>
      <c r="Q291" s="20" t="str">
        <f>IF($A291="","",INDEX(Project_Tracker!$K$2:$K$101,INT((ROW()-6)/17)+1))</f>
        <v/>
      </c>
    </row>
    <row r="292" spans="1:17" x14ac:dyDescent="0.2">
      <c r="A292" s="20" t="str">
        <f>IF(INDEX(Project_Tracker!$AL$2:$AL$101,INT((ROW()-6)/17)+1)="","",INDEX(Project_Tracker!$AL$2:$AL$101,INT((ROW()-6)/17)+1))</f>
        <v/>
      </c>
      <c r="B292" s="21" t="str">
        <f>IF($A292="","",INDEX(Project_Tracker!$AM$2:$AM$101,INT((ROW()-6)/17)+1))</f>
        <v/>
      </c>
      <c r="C292" s="20" t="str">
        <f>IF($A292="","",INDEX(Project_Tracker!$C$2:$C$101,INT((ROW()-6)/17)+1))</f>
        <v/>
      </c>
      <c r="D292" s="6" t="str">
        <f>IF($A292="","",INDEX(Project_Tracker!$T$2:$T$101,INT((ROW()-6)/17)+1))</f>
        <v/>
      </c>
      <c r="E292" s="18">
        <f t="shared" si="20"/>
        <v>15</v>
      </c>
      <c r="F292" s="23" t="str">
        <f>IF($A292="","",INDEX('Logic &amp; Lists'!$I$4:$I$20,$E292))</f>
        <v/>
      </c>
      <c r="G292" s="18" t="str">
        <f>IF($A292="","",INDEX('Logic &amp; Lists'!$J$4:$J$20,$E292))</f>
        <v/>
      </c>
      <c r="H292" s="6" t="str">
        <f t="shared" si="21"/>
        <v/>
      </c>
      <c r="I292" s="18" t="str">
        <f t="shared" ca="1" si="22"/>
        <v/>
      </c>
      <c r="J292" s="5" t="str">
        <f t="shared" si="23"/>
        <v/>
      </c>
      <c r="K292" s="25"/>
      <c r="L292" s="5" t="str">
        <f t="shared" si="24"/>
        <v/>
      </c>
      <c r="M292" s="7"/>
      <c r="N292" s="7"/>
      <c r="O292" s="7"/>
      <c r="P292" s="20" t="str">
        <f>IF($A292="","",INDEX(Project_Tracker!$I$2:$I$101,INT((ROW()-6)/17)+1))</f>
        <v/>
      </c>
      <c r="Q292" s="20" t="str">
        <f>IF($A292="","",INDEX(Project_Tracker!$K$2:$K$101,INT((ROW()-6)/17)+1))</f>
        <v/>
      </c>
    </row>
    <row r="293" spans="1:17" x14ac:dyDescent="0.2">
      <c r="A293" s="20" t="str">
        <f>IF(INDEX(Project_Tracker!$AL$2:$AL$101,INT((ROW()-6)/17)+1)="","",INDEX(Project_Tracker!$AL$2:$AL$101,INT((ROW()-6)/17)+1))</f>
        <v/>
      </c>
      <c r="B293" s="21" t="str">
        <f>IF($A293="","",INDEX(Project_Tracker!$AM$2:$AM$101,INT((ROW()-6)/17)+1))</f>
        <v/>
      </c>
      <c r="C293" s="20" t="str">
        <f>IF($A293="","",INDEX(Project_Tracker!$C$2:$C$101,INT((ROW()-6)/17)+1))</f>
        <v/>
      </c>
      <c r="D293" s="6" t="str">
        <f>IF($A293="","",INDEX(Project_Tracker!$T$2:$T$101,INT((ROW()-6)/17)+1))</f>
        <v/>
      </c>
      <c r="E293" s="18">
        <f t="shared" si="20"/>
        <v>16</v>
      </c>
      <c r="F293" s="23" t="str">
        <f>IF($A293="","",INDEX('Logic &amp; Lists'!$I$4:$I$20,$E293))</f>
        <v/>
      </c>
      <c r="G293" s="18" t="str">
        <f>IF($A293="","",INDEX('Logic &amp; Lists'!$J$4:$J$20,$E293))</f>
        <v/>
      </c>
      <c r="H293" s="6" t="str">
        <f t="shared" si="21"/>
        <v/>
      </c>
      <c r="I293" s="18" t="str">
        <f t="shared" ca="1" si="22"/>
        <v/>
      </c>
      <c r="J293" s="5" t="str">
        <f t="shared" si="23"/>
        <v/>
      </c>
      <c r="K293" s="25"/>
      <c r="L293" s="5" t="str">
        <f t="shared" si="24"/>
        <v/>
      </c>
      <c r="M293" s="7"/>
      <c r="N293" s="7"/>
      <c r="O293" s="7"/>
      <c r="P293" s="20" t="str">
        <f>IF($A293="","",INDEX(Project_Tracker!$I$2:$I$101,INT((ROW()-6)/17)+1))</f>
        <v/>
      </c>
      <c r="Q293" s="20" t="str">
        <f>IF($A293="","",INDEX(Project_Tracker!$K$2:$K$101,INT((ROW()-6)/17)+1))</f>
        <v/>
      </c>
    </row>
    <row r="294" spans="1:17" x14ac:dyDescent="0.2">
      <c r="A294" s="20" t="str">
        <f>IF(INDEX(Project_Tracker!$AL$2:$AL$101,INT((ROW()-6)/17)+1)="","",INDEX(Project_Tracker!$AL$2:$AL$101,INT((ROW()-6)/17)+1))</f>
        <v/>
      </c>
      <c r="B294" s="21" t="str">
        <f>IF($A294="","",INDEX(Project_Tracker!$AM$2:$AM$101,INT((ROW()-6)/17)+1))</f>
        <v/>
      </c>
      <c r="C294" s="20" t="str">
        <f>IF($A294="","",INDEX(Project_Tracker!$C$2:$C$101,INT((ROW()-6)/17)+1))</f>
        <v/>
      </c>
      <c r="D294" s="6" t="str">
        <f>IF($A294="","",INDEX(Project_Tracker!$T$2:$T$101,INT((ROW()-6)/17)+1))</f>
        <v/>
      </c>
      <c r="E294" s="18">
        <f t="shared" si="20"/>
        <v>17</v>
      </c>
      <c r="F294" s="23" t="str">
        <f>IF($A294="","",INDEX('Logic &amp; Lists'!$I$4:$I$20,$E294))</f>
        <v/>
      </c>
      <c r="G294" s="18" t="str">
        <f>IF($A294="","",INDEX('Logic &amp; Lists'!$J$4:$J$20,$E294))</f>
        <v/>
      </c>
      <c r="H294" s="6" t="str">
        <f t="shared" si="21"/>
        <v/>
      </c>
      <c r="I294" s="18" t="str">
        <f t="shared" ca="1" si="22"/>
        <v/>
      </c>
      <c r="J294" s="5" t="str">
        <f t="shared" si="23"/>
        <v/>
      </c>
      <c r="K294" s="25"/>
      <c r="L294" s="5" t="str">
        <f t="shared" si="24"/>
        <v/>
      </c>
      <c r="M294" s="7"/>
      <c r="N294" s="7"/>
      <c r="O294" s="7"/>
      <c r="P294" s="20" t="str">
        <f>IF($A294="","",INDEX(Project_Tracker!$I$2:$I$101,INT((ROW()-6)/17)+1))</f>
        <v/>
      </c>
      <c r="Q294" s="20" t="str">
        <f>IF($A294="","",INDEX(Project_Tracker!$K$2:$K$101,INT((ROW()-6)/17)+1))</f>
        <v/>
      </c>
    </row>
    <row r="295" spans="1:17" x14ac:dyDescent="0.2">
      <c r="A295" s="20" t="str">
        <f>IF(INDEX(Project_Tracker!$AL$2:$AL$101,INT((ROW()-6)/17)+1)="","",INDEX(Project_Tracker!$AL$2:$AL$101,INT((ROW()-6)/17)+1))</f>
        <v/>
      </c>
      <c r="B295" s="21" t="str">
        <f>IF($A295="","",INDEX(Project_Tracker!$AM$2:$AM$101,INT((ROW()-6)/17)+1))</f>
        <v/>
      </c>
      <c r="C295" s="20" t="str">
        <f>IF($A295="","",INDEX(Project_Tracker!$C$2:$C$101,INT((ROW()-6)/17)+1))</f>
        <v/>
      </c>
      <c r="D295" s="6" t="str">
        <f>IF($A295="","",INDEX(Project_Tracker!$T$2:$T$101,INT((ROW()-6)/17)+1))</f>
        <v/>
      </c>
      <c r="E295" s="18">
        <f t="shared" si="20"/>
        <v>1</v>
      </c>
      <c r="F295" s="23" t="str">
        <f>IF($A295="","",INDEX('Logic &amp; Lists'!$I$4:$I$20,$E295))</f>
        <v/>
      </c>
      <c r="G295" s="18" t="str">
        <f>IF($A295="","",INDEX('Logic &amp; Lists'!$J$4:$J$20,$E295))</f>
        <v/>
      </c>
      <c r="H295" s="6" t="str">
        <f t="shared" si="21"/>
        <v/>
      </c>
      <c r="I295" s="18" t="str">
        <f t="shared" ca="1" si="22"/>
        <v/>
      </c>
      <c r="J295" s="5" t="str">
        <f t="shared" si="23"/>
        <v/>
      </c>
      <c r="K295" s="25"/>
      <c r="L295" s="5" t="str">
        <f t="shared" si="24"/>
        <v/>
      </c>
      <c r="M295" s="7"/>
      <c r="N295" s="7"/>
      <c r="O295" s="7"/>
      <c r="P295" s="20" t="str">
        <f>IF($A295="","",INDEX(Project_Tracker!$I$2:$I$101,INT((ROW()-6)/17)+1))</f>
        <v/>
      </c>
      <c r="Q295" s="20" t="str">
        <f>IF($A295="","",INDEX(Project_Tracker!$K$2:$K$101,INT((ROW()-6)/17)+1))</f>
        <v/>
      </c>
    </row>
    <row r="296" spans="1:17" x14ac:dyDescent="0.2">
      <c r="A296" s="20" t="str">
        <f>IF(INDEX(Project_Tracker!$AL$2:$AL$101,INT((ROW()-6)/17)+1)="","",INDEX(Project_Tracker!$AL$2:$AL$101,INT((ROW()-6)/17)+1))</f>
        <v/>
      </c>
      <c r="B296" s="21" t="str">
        <f>IF($A296="","",INDEX(Project_Tracker!$AM$2:$AM$101,INT((ROW()-6)/17)+1))</f>
        <v/>
      </c>
      <c r="C296" s="20" t="str">
        <f>IF($A296="","",INDEX(Project_Tracker!$C$2:$C$101,INT((ROW()-6)/17)+1))</f>
        <v/>
      </c>
      <c r="D296" s="6" t="str">
        <f>IF($A296="","",INDEX(Project_Tracker!$T$2:$T$101,INT((ROW()-6)/17)+1))</f>
        <v/>
      </c>
      <c r="E296" s="18">
        <f t="shared" si="20"/>
        <v>2</v>
      </c>
      <c r="F296" s="23" t="str">
        <f>IF($A296="","",INDEX('Logic &amp; Lists'!$I$4:$I$20,$E296))</f>
        <v/>
      </c>
      <c r="G296" s="18" t="str">
        <f>IF($A296="","",INDEX('Logic &amp; Lists'!$J$4:$J$20,$E296))</f>
        <v/>
      </c>
      <c r="H296" s="6" t="str">
        <f t="shared" si="21"/>
        <v/>
      </c>
      <c r="I296" s="18" t="str">
        <f t="shared" ca="1" si="22"/>
        <v/>
      </c>
      <c r="J296" s="5" t="str">
        <f t="shared" si="23"/>
        <v/>
      </c>
      <c r="K296" s="25"/>
      <c r="L296" s="5" t="str">
        <f t="shared" si="24"/>
        <v/>
      </c>
      <c r="M296" s="7"/>
      <c r="N296" s="7"/>
      <c r="O296" s="7"/>
      <c r="P296" s="20" t="str">
        <f>IF($A296="","",INDEX(Project_Tracker!$I$2:$I$101,INT((ROW()-6)/17)+1))</f>
        <v/>
      </c>
      <c r="Q296" s="20" t="str">
        <f>IF($A296="","",INDEX(Project_Tracker!$K$2:$K$101,INT((ROW()-6)/17)+1))</f>
        <v/>
      </c>
    </row>
    <row r="297" spans="1:17" x14ac:dyDescent="0.2">
      <c r="A297" s="20" t="str">
        <f>IF(INDEX(Project_Tracker!$AL$2:$AL$101,INT((ROW()-6)/17)+1)="","",INDEX(Project_Tracker!$AL$2:$AL$101,INT((ROW()-6)/17)+1))</f>
        <v/>
      </c>
      <c r="B297" s="21" t="str">
        <f>IF($A297="","",INDEX(Project_Tracker!$AM$2:$AM$101,INT((ROW()-6)/17)+1))</f>
        <v/>
      </c>
      <c r="C297" s="20" t="str">
        <f>IF($A297="","",INDEX(Project_Tracker!$C$2:$C$101,INT((ROW()-6)/17)+1))</f>
        <v/>
      </c>
      <c r="D297" s="6" t="str">
        <f>IF($A297="","",INDEX(Project_Tracker!$T$2:$T$101,INT((ROW()-6)/17)+1))</f>
        <v/>
      </c>
      <c r="E297" s="18">
        <f t="shared" si="20"/>
        <v>3</v>
      </c>
      <c r="F297" s="23" t="str">
        <f>IF($A297="","",INDEX('Logic &amp; Lists'!$I$4:$I$20,$E297))</f>
        <v/>
      </c>
      <c r="G297" s="18" t="str">
        <f>IF($A297="","",INDEX('Logic &amp; Lists'!$J$4:$J$20,$E297))</f>
        <v/>
      </c>
      <c r="H297" s="6" t="str">
        <f t="shared" si="21"/>
        <v/>
      </c>
      <c r="I297" s="18" t="str">
        <f t="shared" ca="1" si="22"/>
        <v/>
      </c>
      <c r="J297" s="5" t="str">
        <f t="shared" si="23"/>
        <v/>
      </c>
      <c r="K297" s="25"/>
      <c r="L297" s="5" t="str">
        <f t="shared" si="24"/>
        <v/>
      </c>
      <c r="M297" s="7"/>
      <c r="N297" s="7"/>
      <c r="O297" s="7"/>
      <c r="P297" s="20" t="str">
        <f>IF($A297="","",INDEX(Project_Tracker!$I$2:$I$101,INT((ROW()-6)/17)+1))</f>
        <v/>
      </c>
      <c r="Q297" s="20" t="str">
        <f>IF($A297="","",INDEX(Project_Tracker!$K$2:$K$101,INT((ROW()-6)/17)+1))</f>
        <v/>
      </c>
    </row>
    <row r="298" spans="1:17" x14ac:dyDescent="0.2">
      <c r="A298" s="20" t="str">
        <f>IF(INDEX(Project_Tracker!$AL$2:$AL$101,INT((ROW()-6)/17)+1)="","",INDEX(Project_Tracker!$AL$2:$AL$101,INT((ROW()-6)/17)+1))</f>
        <v/>
      </c>
      <c r="B298" s="21" t="str">
        <f>IF($A298="","",INDEX(Project_Tracker!$AM$2:$AM$101,INT((ROW()-6)/17)+1))</f>
        <v/>
      </c>
      <c r="C298" s="20" t="str">
        <f>IF($A298="","",INDEX(Project_Tracker!$C$2:$C$101,INT((ROW()-6)/17)+1))</f>
        <v/>
      </c>
      <c r="D298" s="6" t="str">
        <f>IF($A298="","",INDEX(Project_Tracker!$T$2:$T$101,INT((ROW()-6)/17)+1))</f>
        <v/>
      </c>
      <c r="E298" s="18">
        <f t="shared" si="20"/>
        <v>4</v>
      </c>
      <c r="F298" s="23" t="str">
        <f>IF($A298="","",INDEX('Logic &amp; Lists'!$I$4:$I$20,$E298))</f>
        <v/>
      </c>
      <c r="G298" s="18" t="str">
        <f>IF($A298="","",INDEX('Logic &amp; Lists'!$J$4:$J$20,$E298))</f>
        <v/>
      </c>
      <c r="H298" s="6" t="str">
        <f t="shared" si="21"/>
        <v/>
      </c>
      <c r="I298" s="18" t="str">
        <f t="shared" ca="1" si="22"/>
        <v/>
      </c>
      <c r="J298" s="5" t="str">
        <f t="shared" si="23"/>
        <v/>
      </c>
      <c r="K298" s="25"/>
      <c r="L298" s="5" t="str">
        <f t="shared" si="24"/>
        <v/>
      </c>
      <c r="M298" s="7"/>
      <c r="N298" s="7"/>
      <c r="O298" s="7"/>
      <c r="P298" s="20" t="str">
        <f>IF($A298="","",INDEX(Project_Tracker!$I$2:$I$101,INT((ROW()-6)/17)+1))</f>
        <v/>
      </c>
      <c r="Q298" s="20" t="str">
        <f>IF($A298="","",INDEX(Project_Tracker!$K$2:$K$101,INT((ROW()-6)/17)+1))</f>
        <v/>
      </c>
    </row>
    <row r="299" spans="1:17" x14ac:dyDescent="0.2">
      <c r="A299" s="20" t="str">
        <f>IF(INDEX(Project_Tracker!$AL$2:$AL$101,INT((ROW()-6)/17)+1)="","",INDEX(Project_Tracker!$AL$2:$AL$101,INT((ROW()-6)/17)+1))</f>
        <v/>
      </c>
      <c r="B299" s="21" t="str">
        <f>IF($A299="","",INDEX(Project_Tracker!$AM$2:$AM$101,INT((ROW()-6)/17)+1))</f>
        <v/>
      </c>
      <c r="C299" s="20" t="str">
        <f>IF($A299="","",INDEX(Project_Tracker!$C$2:$C$101,INT((ROW()-6)/17)+1))</f>
        <v/>
      </c>
      <c r="D299" s="6" t="str">
        <f>IF($A299="","",INDEX(Project_Tracker!$T$2:$T$101,INT((ROW()-6)/17)+1))</f>
        <v/>
      </c>
      <c r="E299" s="18">
        <f t="shared" si="20"/>
        <v>5</v>
      </c>
      <c r="F299" s="23" t="str">
        <f>IF($A299="","",INDEX('Logic &amp; Lists'!$I$4:$I$20,$E299))</f>
        <v/>
      </c>
      <c r="G299" s="18" t="str">
        <f>IF($A299="","",INDEX('Logic &amp; Lists'!$J$4:$J$20,$E299))</f>
        <v/>
      </c>
      <c r="H299" s="6" t="str">
        <f t="shared" si="21"/>
        <v/>
      </c>
      <c r="I299" s="18" t="str">
        <f t="shared" ca="1" si="22"/>
        <v/>
      </c>
      <c r="J299" s="5" t="str">
        <f t="shared" si="23"/>
        <v/>
      </c>
      <c r="K299" s="25"/>
      <c r="L299" s="5" t="str">
        <f t="shared" si="24"/>
        <v/>
      </c>
      <c r="M299" s="7"/>
      <c r="N299" s="7"/>
      <c r="O299" s="7"/>
      <c r="P299" s="20" t="str">
        <f>IF($A299="","",INDEX(Project_Tracker!$I$2:$I$101,INT((ROW()-6)/17)+1))</f>
        <v/>
      </c>
      <c r="Q299" s="20" t="str">
        <f>IF($A299="","",INDEX(Project_Tracker!$K$2:$K$101,INT((ROW()-6)/17)+1))</f>
        <v/>
      </c>
    </row>
    <row r="300" spans="1:17" x14ac:dyDescent="0.2">
      <c r="A300" s="20" t="str">
        <f>IF(INDEX(Project_Tracker!$AL$2:$AL$101,INT((ROW()-6)/17)+1)="","",INDEX(Project_Tracker!$AL$2:$AL$101,INT((ROW()-6)/17)+1))</f>
        <v/>
      </c>
      <c r="B300" s="21" t="str">
        <f>IF($A300="","",INDEX(Project_Tracker!$AM$2:$AM$101,INT((ROW()-6)/17)+1))</f>
        <v/>
      </c>
      <c r="C300" s="20" t="str">
        <f>IF($A300="","",INDEX(Project_Tracker!$C$2:$C$101,INT((ROW()-6)/17)+1))</f>
        <v/>
      </c>
      <c r="D300" s="6" t="str">
        <f>IF($A300="","",INDEX(Project_Tracker!$T$2:$T$101,INT((ROW()-6)/17)+1))</f>
        <v/>
      </c>
      <c r="E300" s="18">
        <f t="shared" si="20"/>
        <v>6</v>
      </c>
      <c r="F300" s="23" t="str">
        <f>IF($A300="","",INDEX('Logic &amp; Lists'!$I$4:$I$20,$E300))</f>
        <v/>
      </c>
      <c r="G300" s="18" t="str">
        <f>IF($A300="","",INDEX('Logic &amp; Lists'!$J$4:$J$20,$E300))</f>
        <v/>
      </c>
      <c r="H300" s="6" t="str">
        <f t="shared" si="21"/>
        <v/>
      </c>
      <c r="I300" s="18" t="str">
        <f t="shared" ca="1" si="22"/>
        <v/>
      </c>
      <c r="J300" s="5" t="str">
        <f t="shared" si="23"/>
        <v/>
      </c>
      <c r="K300" s="25"/>
      <c r="L300" s="5" t="str">
        <f t="shared" si="24"/>
        <v/>
      </c>
      <c r="M300" s="7"/>
      <c r="N300" s="7"/>
      <c r="O300" s="7"/>
      <c r="P300" s="20" t="str">
        <f>IF($A300="","",INDEX(Project_Tracker!$I$2:$I$101,INT((ROW()-6)/17)+1))</f>
        <v/>
      </c>
      <c r="Q300" s="20" t="str">
        <f>IF($A300="","",INDEX(Project_Tracker!$K$2:$K$101,INT((ROW()-6)/17)+1))</f>
        <v/>
      </c>
    </row>
    <row r="301" spans="1:17" x14ac:dyDescent="0.2">
      <c r="A301" s="20" t="str">
        <f>IF(INDEX(Project_Tracker!$AL$2:$AL$101,INT((ROW()-6)/17)+1)="","",INDEX(Project_Tracker!$AL$2:$AL$101,INT((ROW()-6)/17)+1))</f>
        <v/>
      </c>
      <c r="B301" s="21" t="str">
        <f>IF($A301="","",INDEX(Project_Tracker!$AM$2:$AM$101,INT((ROW()-6)/17)+1))</f>
        <v/>
      </c>
      <c r="C301" s="20" t="str">
        <f>IF($A301="","",INDEX(Project_Tracker!$C$2:$C$101,INT((ROW()-6)/17)+1))</f>
        <v/>
      </c>
      <c r="D301" s="6" t="str">
        <f>IF($A301="","",INDEX(Project_Tracker!$T$2:$T$101,INT((ROW()-6)/17)+1))</f>
        <v/>
      </c>
      <c r="E301" s="18">
        <f t="shared" si="20"/>
        <v>7</v>
      </c>
      <c r="F301" s="23" t="str">
        <f>IF($A301="","",INDEX('Logic &amp; Lists'!$I$4:$I$20,$E301))</f>
        <v/>
      </c>
      <c r="G301" s="18" t="str">
        <f>IF($A301="","",INDEX('Logic &amp; Lists'!$J$4:$J$20,$E301))</f>
        <v/>
      </c>
      <c r="H301" s="6" t="str">
        <f t="shared" si="21"/>
        <v/>
      </c>
      <c r="I301" s="18" t="str">
        <f t="shared" ca="1" si="22"/>
        <v/>
      </c>
      <c r="J301" s="5" t="str">
        <f t="shared" si="23"/>
        <v/>
      </c>
      <c r="K301" s="25"/>
      <c r="L301" s="5" t="str">
        <f t="shared" si="24"/>
        <v/>
      </c>
      <c r="M301" s="7"/>
      <c r="N301" s="7"/>
      <c r="O301" s="7"/>
      <c r="P301" s="20" t="str">
        <f>IF($A301="","",INDEX(Project_Tracker!$I$2:$I$101,INT((ROW()-6)/17)+1))</f>
        <v/>
      </c>
      <c r="Q301" s="20" t="str">
        <f>IF($A301="","",INDEX(Project_Tracker!$K$2:$K$101,INT((ROW()-6)/17)+1))</f>
        <v/>
      </c>
    </row>
    <row r="302" spans="1:17" x14ac:dyDescent="0.2">
      <c r="A302" s="20" t="str">
        <f>IF(INDEX(Project_Tracker!$AL$2:$AL$101,INT((ROW()-6)/17)+1)="","",INDEX(Project_Tracker!$AL$2:$AL$101,INT((ROW()-6)/17)+1))</f>
        <v/>
      </c>
      <c r="B302" s="21" t="str">
        <f>IF($A302="","",INDEX(Project_Tracker!$AM$2:$AM$101,INT((ROW()-6)/17)+1))</f>
        <v/>
      </c>
      <c r="C302" s="20" t="str">
        <f>IF($A302="","",INDEX(Project_Tracker!$C$2:$C$101,INT((ROW()-6)/17)+1))</f>
        <v/>
      </c>
      <c r="D302" s="6" t="str">
        <f>IF($A302="","",INDEX(Project_Tracker!$T$2:$T$101,INT((ROW()-6)/17)+1))</f>
        <v/>
      </c>
      <c r="E302" s="18">
        <f t="shared" si="20"/>
        <v>8</v>
      </c>
      <c r="F302" s="23" t="str">
        <f>IF($A302="","",INDEX('Logic &amp; Lists'!$I$4:$I$20,$E302))</f>
        <v/>
      </c>
      <c r="G302" s="18" t="str">
        <f>IF($A302="","",INDEX('Logic &amp; Lists'!$J$4:$J$20,$E302))</f>
        <v/>
      </c>
      <c r="H302" s="6" t="str">
        <f t="shared" si="21"/>
        <v/>
      </c>
      <c r="I302" s="18" t="str">
        <f t="shared" ca="1" si="22"/>
        <v/>
      </c>
      <c r="J302" s="5" t="str">
        <f t="shared" si="23"/>
        <v/>
      </c>
      <c r="K302" s="25"/>
      <c r="L302" s="5" t="str">
        <f t="shared" si="24"/>
        <v/>
      </c>
      <c r="M302" s="7"/>
      <c r="N302" s="7"/>
      <c r="O302" s="7"/>
      <c r="P302" s="20" t="str">
        <f>IF($A302="","",INDEX(Project_Tracker!$I$2:$I$101,INT((ROW()-6)/17)+1))</f>
        <v/>
      </c>
      <c r="Q302" s="20" t="str">
        <f>IF($A302="","",INDEX(Project_Tracker!$K$2:$K$101,INT((ROW()-6)/17)+1))</f>
        <v/>
      </c>
    </row>
    <row r="303" spans="1:17" x14ac:dyDescent="0.2">
      <c r="A303" s="20" t="str">
        <f>IF(INDEX(Project_Tracker!$AL$2:$AL$101,INT((ROW()-6)/17)+1)="","",INDEX(Project_Tracker!$AL$2:$AL$101,INT((ROW()-6)/17)+1))</f>
        <v/>
      </c>
      <c r="B303" s="21" t="str">
        <f>IF($A303="","",INDEX(Project_Tracker!$AM$2:$AM$101,INT((ROW()-6)/17)+1))</f>
        <v/>
      </c>
      <c r="C303" s="20" t="str">
        <f>IF($A303="","",INDEX(Project_Tracker!$C$2:$C$101,INT((ROW()-6)/17)+1))</f>
        <v/>
      </c>
      <c r="D303" s="6" t="str">
        <f>IF($A303="","",INDEX(Project_Tracker!$T$2:$T$101,INT((ROW()-6)/17)+1))</f>
        <v/>
      </c>
      <c r="E303" s="18">
        <f t="shared" si="20"/>
        <v>9</v>
      </c>
      <c r="F303" s="23" t="str">
        <f>IF($A303="","",INDEX('Logic &amp; Lists'!$I$4:$I$20,$E303))</f>
        <v/>
      </c>
      <c r="G303" s="18" t="str">
        <f>IF($A303="","",INDEX('Logic &amp; Lists'!$J$4:$J$20,$E303))</f>
        <v/>
      </c>
      <c r="H303" s="6" t="str">
        <f t="shared" si="21"/>
        <v/>
      </c>
      <c r="I303" s="18" t="str">
        <f t="shared" ca="1" si="22"/>
        <v/>
      </c>
      <c r="J303" s="5" t="str">
        <f t="shared" si="23"/>
        <v/>
      </c>
      <c r="K303" s="25"/>
      <c r="L303" s="5" t="str">
        <f t="shared" si="24"/>
        <v/>
      </c>
      <c r="M303" s="7"/>
      <c r="N303" s="7"/>
      <c r="O303" s="7"/>
      <c r="P303" s="20" t="str">
        <f>IF($A303="","",INDEX(Project_Tracker!$I$2:$I$101,INT((ROW()-6)/17)+1))</f>
        <v/>
      </c>
      <c r="Q303" s="20" t="str">
        <f>IF($A303="","",INDEX(Project_Tracker!$K$2:$K$101,INT((ROW()-6)/17)+1))</f>
        <v/>
      </c>
    </row>
    <row r="304" spans="1:17" x14ac:dyDescent="0.2">
      <c r="A304" s="20" t="str">
        <f>IF(INDEX(Project_Tracker!$AL$2:$AL$101,INT((ROW()-6)/17)+1)="","",INDEX(Project_Tracker!$AL$2:$AL$101,INT((ROW()-6)/17)+1))</f>
        <v/>
      </c>
      <c r="B304" s="21" t="str">
        <f>IF($A304="","",INDEX(Project_Tracker!$AM$2:$AM$101,INT((ROW()-6)/17)+1))</f>
        <v/>
      </c>
      <c r="C304" s="20" t="str">
        <f>IF($A304="","",INDEX(Project_Tracker!$C$2:$C$101,INT((ROW()-6)/17)+1))</f>
        <v/>
      </c>
      <c r="D304" s="6" t="str">
        <f>IF($A304="","",INDEX(Project_Tracker!$T$2:$T$101,INT((ROW()-6)/17)+1))</f>
        <v/>
      </c>
      <c r="E304" s="18">
        <f t="shared" si="20"/>
        <v>10</v>
      </c>
      <c r="F304" s="23" t="str">
        <f>IF($A304="","",INDEX('Logic &amp; Lists'!$I$4:$I$20,$E304))</f>
        <v/>
      </c>
      <c r="G304" s="18" t="str">
        <f>IF($A304="","",INDEX('Logic &amp; Lists'!$J$4:$J$20,$E304))</f>
        <v/>
      </c>
      <c r="H304" s="6" t="str">
        <f t="shared" si="21"/>
        <v/>
      </c>
      <c r="I304" s="18" t="str">
        <f t="shared" ca="1" si="22"/>
        <v/>
      </c>
      <c r="J304" s="5" t="str">
        <f t="shared" si="23"/>
        <v/>
      </c>
      <c r="K304" s="25"/>
      <c r="L304" s="5" t="str">
        <f t="shared" si="24"/>
        <v/>
      </c>
      <c r="M304" s="7"/>
      <c r="N304" s="7"/>
      <c r="O304" s="7"/>
      <c r="P304" s="20" t="str">
        <f>IF($A304="","",INDEX(Project_Tracker!$I$2:$I$101,INT((ROW()-6)/17)+1))</f>
        <v/>
      </c>
      <c r="Q304" s="20" t="str">
        <f>IF($A304="","",INDEX(Project_Tracker!$K$2:$K$101,INT((ROW()-6)/17)+1))</f>
        <v/>
      </c>
    </row>
    <row r="305" spans="1:17" x14ac:dyDescent="0.2">
      <c r="A305" s="20" t="str">
        <f>IF(INDEX(Project_Tracker!$AL$2:$AL$101,INT((ROW()-6)/17)+1)="","",INDEX(Project_Tracker!$AL$2:$AL$101,INT((ROW()-6)/17)+1))</f>
        <v/>
      </c>
      <c r="B305" s="21" t="str">
        <f>IF($A305="","",INDEX(Project_Tracker!$AM$2:$AM$101,INT((ROW()-6)/17)+1))</f>
        <v/>
      </c>
      <c r="C305" s="20" t="str">
        <f>IF($A305="","",INDEX(Project_Tracker!$C$2:$C$101,INT((ROW()-6)/17)+1))</f>
        <v/>
      </c>
      <c r="D305" s="6" t="str">
        <f>IF($A305="","",INDEX(Project_Tracker!$T$2:$T$101,INT((ROW()-6)/17)+1))</f>
        <v/>
      </c>
      <c r="E305" s="18">
        <f t="shared" si="20"/>
        <v>11</v>
      </c>
      <c r="F305" s="23" t="str">
        <f>IF($A305="","",INDEX('Logic &amp; Lists'!$I$4:$I$20,$E305))</f>
        <v/>
      </c>
      <c r="G305" s="18" t="str">
        <f>IF($A305="","",INDEX('Logic &amp; Lists'!$J$4:$J$20,$E305))</f>
        <v/>
      </c>
      <c r="H305" s="6" t="str">
        <f t="shared" si="21"/>
        <v/>
      </c>
      <c r="I305" s="18" t="str">
        <f t="shared" ca="1" si="22"/>
        <v/>
      </c>
      <c r="J305" s="5" t="str">
        <f t="shared" si="23"/>
        <v/>
      </c>
      <c r="K305" s="25"/>
      <c r="L305" s="5" t="str">
        <f t="shared" si="24"/>
        <v/>
      </c>
      <c r="M305" s="7"/>
      <c r="N305" s="7"/>
      <c r="O305" s="7"/>
      <c r="P305" s="20" t="str">
        <f>IF($A305="","",INDEX(Project_Tracker!$I$2:$I$101,INT((ROW()-6)/17)+1))</f>
        <v/>
      </c>
      <c r="Q305" s="20" t="str">
        <f>IF($A305="","",INDEX(Project_Tracker!$K$2:$K$101,INT((ROW()-6)/17)+1))</f>
        <v/>
      </c>
    </row>
    <row r="306" spans="1:17" x14ac:dyDescent="0.2">
      <c r="A306" s="20" t="str">
        <f>IF(INDEX(Project_Tracker!$AL$2:$AL$101,INT((ROW()-6)/17)+1)="","",INDEX(Project_Tracker!$AL$2:$AL$101,INT((ROW()-6)/17)+1))</f>
        <v/>
      </c>
      <c r="B306" s="21" t="str">
        <f>IF($A306="","",INDEX(Project_Tracker!$AM$2:$AM$101,INT((ROW()-6)/17)+1))</f>
        <v/>
      </c>
      <c r="C306" s="20" t="str">
        <f>IF($A306="","",INDEX(Project_Tracker!$C$2:$C$101,INT((ROW()-6)/17)+1))</f>
        <v/>
      </c>
      <c r="D306" s="6" t="str">
        <f>IF($A306="","",INDEX(Project_Tracker!$T$2:$T$101,INT((ROW()-6)/17)+1))</f>
        <v/>
      </c>
      <c r="E306" s="18">
        <f t="shared" si="20"/>
        <v>12</v>
      </c>
      <c r="F306" s="23" t="str">
        <f>IF($A306="","",INDEX('Logic &amp; Lists'!$I$4:$I$20,$E306))</f>
        <v/>
      </c>
      <c r="G306" s="18" t="str">
        <f>IF($A306="","",INDEX('Logic &amp; Lists'!$J$4:$J$20,$E306))</f>
        <v/>
      </c>
      <c r="H306" s="6" t="str">
        <f t="shared" si="21"/>
        <v/>
      </c>
      <c r="I306" s="18" t="str">
        <f t="shared" ca="1" si="22"/>
        <v/>
      </c>
      <c r="J306" s="5" t="str">
        <f t="shared" si="23"/>
        <v/>
      </c>
      <c r="K306" s="25"/>
      <c r="L306" s="5" t="str">
        <f t="shared" si="24"/>
        <v/>
      </c>
      <c r="M306" s="7"/>
      <c r="N306" s="7"/>
      <c r="O306" s="7"/>
      <c r="P306" s="20" t="str">
        <f>IF($A306="","",INDEX(Project_Tracker!$I$2:$I$101,INT((ROW()-6)/17)+1))</f>
        <v/>
      </c>
      <c r="Q306" s="20" t="str">
        <f>IF($A306="","",INDEX(Project_Tracker!$K$2:$K$101,INT((ROW()-6)/17)+1))</f>
        <v/>
      </c>
    </row>
    <row r="307" spans="1:17" x14ac:dyDescent="0.2">
      <c r="A307" s="20" t="str">
        <f>IF(INDEX(Project_Tracker!$AL$2:$AL$101,INT((ROW()-6)/17)+1)="","",INDEX(Project_Tracker!$AL$2:$AL$101,INT((ROW()-6)/17)+1))</f>
        <v/>
      </c>
      <c r="B307" s="21" t="str">
        <f>IF($A307="","",INDEX(Project_Tracker!$AM$2:$AM$101,INT((ROW()-6)/17)+1))</f>
        <v/>
      </c>
      <c r="C307" s="20" t="str">
        <f>IF($A307="","",INDEX(Project_Tracker!$C$2:$C$101,INT((ROW()-6)/17)+1))</f>
        <v/>
      </c>
      <c r="D307" s="6" t="str">
        <f>IF($A307="","",INDEX(Project_Tracker!$T$2:$T$101,INT((ROW()-6)/17)+1))</f>
        <v/>
      </c>
      <c r="E307" s="18">
        <f t="shared" si="20"/>
        <v>13</v>
      </c>
      <c r="F307" s="23" t="str">
        <f>IF($A307="","",INDEX('Logic &amp; Lists'!$I$4:$I$20,$E307))</f>
        <v/>
      </c>
      <c r="G307" s="18" t="str">
        <f>IF($A307="","",INDEX('Logic &amp; Lists'!$J$4:$J$20,$E307))</f>
        <v/>
      </c>
      <c r="H307" s="6" t="str">
        <f t="shared" si="21"/>
        <v/>
      </c>
      <c r="I307" s="18" t="str">
        <f t="shared" ca="1" si="22"/>
        <v/>
      </c>
      <c r="J307" s="5" t="str">
        <f t="shared" si="23"/>
        <v/>
      </c>
      <c r="K307" s="25"/>
      <c r="L307" s="5" t="str">
        <f t="shared" si="24"/>
        <v/>
      </c>
      <c r="M307" s="7"/>
      <c r="N307" s="7"/>
      <c r="O307" s="7"/>
      <c r="P307" s="20" t="str">
        <f>IF($A307="","",INDEX(Project_Tracker!$I$2:$I$101,INT((ROW()-6)/17)+1))</f>
        <v/>
      </c>
      <c r="Q307" s="20" t="str">
        <f>IF($A307="","",INDEX(Project_Tracker!$K$2:$K$101,INT((ROW()-6)/17)+1))</f>
        <v/>
      </c>
    </row>
    <row r="308" spans="1:17" x14ac:dyDescent="0.2">
      <c r="A308" s="20" t="str">
        <f>IF(INDEX(Project_Tracker!$AL$2:$AL$101,INT((ROW()-6)/17)+1)="","",INDEX(Project_Tracker!$AL$2:$AL$101,INT((ROW()-6)/17)+1))</f>
        <v/>
      </c>
      <c r="B308" s="21" t="str">
        <f>IF($A308="","",INDEX(Project_Tracker!$AM$2:$AM$101,INT((ROW()-6)/17)+1))</f>
        <v/>
      </c>
      <c r="C308" s="20" t="str">
        <f>IF($A308="","",INDEX(Project_Tracker!$C$2:$C$101,INT((ROW()-6)/17)+1))</f>
        <v/>
      </c>
      <c r="D308" s="6" t="str">
        <f>IF($A308="","",INDEX(Project_Tracker!$T$2:$T$101,INT((ROW()-6)/17)+1))</f>
        <v/>
      </c>
      <c r="E308" s="18">
        <f t="shared" si="20"/>
        <v>14</v>
      </c>
      <c r="F308" s="23" t="str">
        <f>IF($A308="","",INDEX('Logic &amp; Lists'!$I$4:$I$20,$E308))</f>
        <v/>
      </c>
      <c r="G308" s="18" t="str">
        <f>IF($A308="","",INDEX('Logic &amp; Lists'!$J$4:$J$20,$E308))</f>
        <v/>
      </c>
      <c r="H308" s="6" t="str">
        <f t="shared" si="21"/>
        <v/>
      </c>
      <c r="I308" s="18" t="str">
        <f t="shared" ca="1" si="22"/>
        <v/>
      </c>
      <c r="J308" s="5" t="str">
        <f t="shared" si="23"/>
        <v/>
      </c>
      <c r="K308" s="25"/>
      <c r="L308" s="5" t="str">
        <f t="shared" si="24"/>
        <v/>
      </c>
      <c r="M308" s="7"/>
      <c r="N308" s="7"/>
      <c r="O308" s="7"/>
      <c r="P308" s="20" t="str">
        <f>IF($A308="","",INDEX(Project_Tracker!$I$2:$I$101,INT((ROW()-6)/17)+1))</f>
        <v/>
      </c>
      <c r="Q308" s="20" t="str">
        <f>IF($A308="","",INDEX(Project_Tracker!$K$2:$K$101,INT((ROW()-6)/17)+1))</f>
        <v/>
      </c>
    </row>
    <row r="309" spans="1:17" x14ac:dyDescent="0.2">
      <c r="A309" s="20" t="str">
        <f>IF(INDEX(Project_Tracker!$AL$2:$AL$101,INT((ROW()-6)/17)+1)="","",INDEX(Project_Tracker!$AL$2:$AL$101,INT((ROW()-6)/17)+1))</f>
        <v/>
      </c>
      <c r="B309" s="21" t="str">
        <f>IF($A309="","",INDEX(Project_Tracker!$AM$2:$AM$101,INT((ROW()-6)/17)+1))</f>
        <v/>
      </c>
      <c r="C309" s="20" t="str">
        <f>IF($A309="","",INDEX(Project_Tracker!$C$2:$C$101,INT((ROW()-6)/17)+1))</f>
        <v/>
      </c>
      <c r="D309" s="6" t="str">
        <f>IF($A309="","",INDEX(Project_Tracker!$T$2:$T$101,INT((ROW()-6)/17)+1))</f>
        <v/>
      </c>
      <c r="E309" s="18">
        <f t="shared" si="20"/>
        <v>15</v>
      </c>
      <c r="F309" s="23" t="str">
        <f>IF($A309="","",INDEX('Logic &amp; Lists'!$I$4:$I$20,$E309))</f>
        <v/>
      </c>
      <c r="G309" s="18" t="str">
        <f>IF($A309="","",INDEX('Logic &amp; Lists'!$J$4:$J$20,$E309))</f>
        <v/>
      </c>
      <c r="H309" s="6" t="str">
        <f t="shared" si="21"/>
        <v/>
      </c>
      <c r="I309" s="18" t="str">
        <f t="shared" ca="1" si="22"/>
        <v/>
      </c>
      <c r="J309" s="5" t="str">
        <f t="shared" si="23"/>
        <v/>
      </c>
      <c r="K309" s="25"/>
      <c r="L309" s="5" t="str">
        <f t="shared" si="24"/>
        <v/>
      </c>
      <c r="M309" s="7"/>
      <c r="N309" s="7"/>
      <c r="O309" s="7"/>
      <c r="P309" s="20" t="str">
        <f>IF($A309="","",INDEX(Project_Tracker!$I$2:$I$101,INT((ROW()-6)/17)+1))</f>
        <v/>
      </c>
      <c r="Q309" s="20" t="str">
        <f>IF($A309="","",INDEX(Project_Tracker!$K$2:$K$101,INT((ROW()-6)/17)+1))</f>
        <v/>
      </c>
    </row>
    <row r="310" spans="1:17" x14ac:dyDescent="0.2">
      <c r="A310" s="20" t="str">
        <f>IF(INDEX(Project_Tracker!$AL$2:$AL$101,INT((ROW()-6)/17)+1)="","",INDEX(Project_Tracker!$AL$2:$AL$101,INT((ROW()-6)/17)+1))</f>
        <v/>
      </c>
      <c r="B310" s="21" t="str">
        <f>IF($A310="","",INDEX(Project_Tracker!$AM$2:$AM$101,INT((ROW()-6)/17)+1))</f>
        <v/>
      </c>
      <c r="C310" s="20" t="str">
        <f>IF($A310="","",INDEX(Project_Tracker!$C$2:$C$101,INT((ROW()-6)/17)+1))</f>
        <v/>
      </c>
      <c r="D310" s="6" t="str">
        <f>IF($A310="","",INDEX(Project_Tracker!$T$2:$T$101,INT((ROW()-6)/17)+1))</f>
        <v/>
      </c>
      <c r="E310" s="18">
        <f t="shared" si="20"/>
        <v>16</v>
      </c>
      <c r="F310" s="23" t="str">
        <f>IF($A310="","",INDEX('Logic &amp; Lists'!$I$4:$I$20,$E310))</f>
        <v/>
      </c>
      <c r="G310" s="18" t="str">
        <f>IF($A310="","",INDEX('Logic &amp; Lists'!$J$4:$J$20,$E310))</f>
        <v/>
      </c>
      <c r="H310" s="6" t="str">
        <f t="shared" si="21"/>
        <v/>
      </c>
      <c r="I310" s="18" t="str">
        <f t="shared" ca="1" si="22"/>
        <v/>
      </c>
      <c r="J310" s="5" t="str">
        <f t="shared" si="23"/>
        <v/>
      </c>
      <c r="K310" s="25"/>
      <c r="L310" s="5" t="str">
        <f t="shared" si="24"/>
        <v/>
      </c>
      <c r="M310" s="7"/>
      <c r="N310" s="7"/>
      <c r="O310" s="7"/>
      <c r="P310" s="20" t="str">
        <f>IF($A310="","",INDEX(Project_Tracker!$I$2:$I$101,INT((ROW()-6)/17)+1))</f>
        <v/>
      </c>
      <c r="Q310" s="20" t="str">
        <f>IF($A310="","",INDEX(Project_Tracker!$K$2:$K$101,INT((ROW()-6)/17)+1))</f>
        <v/>
      </c>
    </row>
    <row r="311" spans="1:17" x14ac:dyDescent="0.2">
      <c r="A311" s="20" t="str">
        <f>IF(INDEX(Project_Tracker!$AL$2:$AL$101,INT((ROW()-6)/17)+1)="","",INDEX(Project_Tracker!$AL$2:$AL$101,INT((ROW()-6)/17)+1))</f>
        <v/>
      </c>
      <c r="B311" s="21" t="str">
        <f>IF($A311="","",INDEX(Project_Tracker!$AM$2:$AM$101,INT((ROW()-6)/17)+1))</f>
        <v/>
      </c>
      <c r="C311" s="20" t="str">
        <f>IF($A311="","",INDEX(Project_Tracker!$C$2:$C$101,INT((ROW()-6)/17)+1))</f>
        <v/>
      </c>
      <c r="D311" s="6" t="str">
        <f>IF($A311="","",INDEX(Project_Tracker!$T$2:$T$101,INT((ROW()-6)/17)+1))</f>
        <v/>
      </c>
      <c r="E311" s="18">
        <f t="shared" si="20"/>
        <v>17</v>
      </c>
      <c r="F311" s="23" t="str">
        <f>IF($A311="","",INDEX('Logic &amp; Lists'!$I$4:$I$20,$E311))</f>
        <v/>
      </c>
      <c r="G311" s="18" t="str">
        <f>IF($A311="","",INDEX('Logic &amp; Lists'!$J$4:$J$20,$E311))</f>
        <v/>
      </c>
      <c r="H311" s="6" t="str">
        <f t="shared" si="21"/>
        <v/>
      </c>
      <c r="I311" s="18" t="str">
        <f t="shared" ca="1" si="22"/>
        <v/>
      </c>
      <c r="J311" s="5" t="str">
        <f t="shared" si="23"/>
        <v/>
      </c>
      <c r="K311" s="25"/>
      <c r="L311" s="5" t="str">
        <f t="shared" si="24"/>
        <v/>
      </c>
      <c r="M311" s="7"/>
      <c r="N311" s="7"/>
      <c r="O311" s="7"/>
      <c r="P311" s="20" t="str">
        <f>IF($A311="","",INDEX(Project_Tracker!$I$2:$I$101,INT((ROW()-6)/17)+1))</f>
        <v/>
      </c>
      <c r="Q311" s="20" t="str">
        <f>IF($A311="","",INDEX(Project_Tracker!$K$2:$K$101,INT((ROW()-6)/17)+1))</f>
        <v/>
      </c>
    </row>
    <row r="312" spans="1:17" x14ac:dyDescent="0.2">
      <c r="A312" s="20" t="str">
        <f>IF(INDEX(Project_Tracker!$AL$2:$AL$101,INT((ROW()-6)/17)+1)="","",INDEX(Project_Tracker!$AL$2:$AL$101,INT((ROW()-6)/17)+1))</f>
        <v/>
      </c>
      <c r="B312" s="21" t="str">
        <f>IF($A312="","",INDEX(Project_Tracker!$AM$2:$AM$101,INT((ROW()-6)/17)+1))</f>
        <v/>
      </c>
      <c r="C312" s="20" t="str">
        <f>IF($A312="","",INDEX(Project_Tracker!$C$2:$C$101,INT((ROW()-6)/17)+1))</f>
        <v/>
      </c>
      <c r="D312" s="6" t="str">
        <f>IF($A312="","",INDEX(Project_Tracker!$T$2:$T$101,INT((ROW()-6)/17)+1))</f>
        <v/>
      </c>
      <c r="E312" s="18">
        <f t="shared" si="20"/>
        <v>1</v>
      </c>
      <c r="F312" s="23" t="str">
        <f>IF($A312="","",INDEX('Logic &amp; Lists'!$I$4:$I$20,$E312))</f>
        <v/>
      </c>
      <c r="G312" s="18" t="str">
        <f>IF($A312="","",INDEX('Logic &amp; Lists'!$J$4:$J$20,$E312))</f>
        <v/>
      </c>
      <c r="H312" s="6" t="str">
        <f t="shared" si="21"/>
        <v/>
      </c>
      <c r="I312" s="18" t="str">
        <f t="shared" ca="1" si="22"/>
        <v/>
      </c>
      <c r="J312" s="5" t="str">
        <f t="shared" si="23"/>
        <v/>
      </c>
      <c r="K312" s="25"/>
      <c r="L312" s="5" t="str">
        <f t="shared" si="24"/>
        <v/>
      </c>
      <c r="M312" s="7"/>
      <c r="N312" s="7"/>
      <c r="O312" s="7"/>
      <c r="P312" s="20" t="str">
        <f>IF($A312="","",INDEX(Project_Tracker!$I$2:$I$101,INT((ROW()-6)/17)+1))</f>
        <v/>
      </c>
      <c r="Q312" s="20" t="str">
        <f>IF($A312="","",INDEX(Project_Tracker!$K$2:$K$101,INT((ROW()-6)/17)+1))</f>
        <v/>
      </c>
    </row>
    <row r="313" spans="1:17" x14ac:dyDescent="0.2">
      <c r="A313" s="20" t="str">
        <f>IF(INDEX(Project_Tracker!$AL$2:$AL$101,INT((ROW()-6)/17)+1)="","",INDEX(Project_Tracker!$AL$2:$AL$101,INT((ROW()-6)/17)+1))</f>
        <v/>
      </c>
      <c r="B313" s="21" t="str">
        <f>IF($A313="","",INDEX(Project_Tracker!$AM$2:$AM$101,INT((ROW()-6)/17)+1))</f>
        <v/>
      </c>
      <c r="C313" s="20" t="str">
        <f>IF($A313="","",INDEX(Project_Tracker!$C$2:$C$101,INT((ROW()-6)/17)+1))</f>
        <v/>
      </c>
      <c r="D313" s="6" t="str">
        <f>IF($A313="","",INDEX(Project_Tracker!$T$2:$T$101,INT((ROW()-6)/17)+1))</f>
        <v/>
      </c>
      <c r="E313" s="18">
        <f t="shared" si="20"/>
        <v>2</v>
      </c>
      <c r="F313" s="23" t="str">
        <f>IF($A313="","",INDEX('Logic &amp; Lists'!$I$4:$I$20,$E313))</f>
        <v/>
      </c>
      <c r="G313" s="18" t="str">
        <f>IF($A313="","",INDEX('Logic &amp; Lists'!$J$4:$J$20,$E313))</f>
        <v/>
      </c>
      <c r="H313" s="6" t="str">
        <f t="shared" si="21"/>
        <v/>
      </c>
      <c r="I313" s="18" t="str">
        <f t="shared" ca="1" si="22"/>
        <v/>
      </c>
      <c r="J313" s="5" t="str">
        <f t="shared" si="23"/>
        <v/>
      </c>
      <c r="K313" s="25"/>
      <c r="L313" s="5" t="str">
        <f t="shared" si="24"/>
        <v/>
      </c>
      <c r="M313" s="7"/>
      <c r="N313" s="7"/>
      <c r="O313" s="7"/>
      <c r="P313" s="20" t="str">
        <f>IF($A313="","",INDEX(Project_Tracker!$I$2:$I$101,INT((ROW()-6)/17)+1))</f>
        <v/>
      </c>
      <c r="Q313" s="20" t="str">
        <f>IF($A313="","",INDEX(Project_Tracker!$K$2:$K$101,INT((ROW()-6)/17)+1))</f>
        <v/>
      </c>
    </row>
    <row r="314" spans="1:17" x14ac:dyDescent="0.2">
      <c r="A314" s="20" t="str">
        <f>IF(INDEX(Project_Tracker!$AL$2:$AL$101,INT((ROW()-6)/17)+1)="","",INDEX(Project_Tracker!$AL$2:$AL$101,INT((ROW()-6)/17)+1))</f>
        <v/>
      </c>
      <c r="B314" s="21" t="str">
        <f>IF($A314="","",INDEX(Project_Tracker!$AM$2:$AM$101,INT((ROW()-6)/17)+1))</f>
        <v/>
      </c>
      <c r="C314" s="20" t="str">
        <f>IF($A314="","",INDEX(Project_Tracker!$C$2:$C$101,INT((ROW()-6)/17)+1))</f>
        <v/>
      </c>
      <c r="D314" s="6" t="str">
        <f>IF($A314="","",INDEX(Project_Tracker!$T$2:$T$101,INT((ROW()-6)/17)+1))</f>
        <v/>
      </c>
      <c r="E314" s="18">
        <f t="shared" si="20"/>
        <v>3</v>
      </c>
      <c r="F314" s="23" t="str">
        <f>IF($A314="","",INDEX('Logic &amp; Lists'!$I$4:$I$20,$E314))</f>
        <v/>
      </c>
      <c r="G314" s="18" t="str">
        <f>IF($A314="","",INDEX('Logic &amp; Lists'!$J$4:$J$20,$E314))</f>
        <v/>
      </c>
      <c r="H314" s="6" t="str">
        <f t="shared" si="21"/>
        <v/>
      </c>
      <c r="I314" s="18" t="str">
        <f t="shared" ca="1" si="22"/>
        <v/>
      </c>
      <c r="J314" s="5" t="str">
        <f t="shared" si="23"/>
        <v/>
      </c>
      <c r="K314" s="25"/>
      <c r="L314" s="5" t="str">
        <f t="shared" si="24"/>
        <v/>
      </c>
      <c r="M314" s="7"/>
      <c r="N314" s="7"/>
      <c r="O314" s="7"/>
      <c r="P314" s="20" t="str">
        <f>IF($A314="","",INDEX(Project_Tracker!$I$2:$I$101,INT((ROW()-6)/17)+1))</f>
        <v/>
      </c>
      <c r="Q314" s="20" t="str">
        <f>IF($A314="","",INDEX(Project_Tracker!$K$2:$K$101,INT((ROW()-6)/17)+1))</f>
        <v/>
      </c>
    </row>
    <row r="315" spans="1:17" x14ac:dyDescent="0.2">
      <c r="A315" s="20" t="str">
        <f>IF(INDEX(Project_Tracker!$AL$2:$AL$101,INT((ROW()-6)/17)+1)="","",INDEX(Project_Tracker!$AL$2:$AL$101,INT((ROW()-6)/17)+1))</f>
        <v/>
      </c>
      <c r="B315" s="21" t="str">
        <f>IF($A315="","",INDEX(Project_Tracker!$AM$2:$AM$101,INT((ROW()-6)/17)+1))</f>
        <v/>
      </c>
      <c r="C315" s="20" t="str">
        <f>IF($A315="","",INDEX(Project_Tracker!$C$2:$C$101,INT((ROW()-6)/17)+1))</f>
        <v/>
      </c>
      <c r="D315" s="6" t="str">
        <f>IF($A315="","",INDEX(Project_Tracker!$T$2:$T$101,INT((ROW()-6)/17)+1))</f>
        <v/>
      </c>
      <c r="E315" s="18">
        <f t="shared" si="20"/>
        <v>4</v>
      </c>
      <c r="F315" s="23" t="str">
        <f>IF($A315="","",INDEX('Logic &amp; Lists'!$I$4:$I$20,$E315))</f>
        <v/>
      </c>
      <c r="G315" s="18" t="str">
        <f>IF($A315="","",INDEX('Logic &amp; Lists'!$J$4:$J$20,$E315))</f>
        <v/>
      </c>
      <c r="H315" s="6" t="str">
        <f t="shared" si="21"/>
        <v/>
      </c>
      <c r="I315" s="18" t="str">
        <f t="shared" ca="1" si="22"/>
        <v/>
      </c>
      <c r="J315" s="5" t="str">
        <f t="shared" si="23"/>
        <v/>
      </c>
      <c r="K315" s="25"/>
      <c r="L315" s="5" t="str">
        <f t="shared" si="24"/>
        <v/>
      </c>
      <c r="M315" s="7"/>
      <c r="N315" s="7"/>
      <c r="O315" s="7"/>
      <c r="P315" s="20" t="str">
        <f>IF($A315="","",INDEX(Project_Tracker!$I$2:$I$101,INT((ROW()-6)/17)+1))</f>
        <v/>
      </c>
      <c r="Q315" s="20" t="str">
        <f>IF($A315="","",INDEX(Project_Tracker!$K$2:$K$101,INT((ROW()-6)/17)+1))</f>
        <v/>
      </c>
    </row>
    <row r="316" spans="1:17" x14ac:dyDescent="0.2">
      <c r="A316" s="20" t="str">
        <f>IF(INDEX(Project_Tracker!$AL$2:$AL$101,INT((ROW()-6)/17)+1)="","",INDEX(Project_Tracker!$AL$2:$AL$101,INT((ROW()-6)/17)+1))</f>
        <v/>
      </c>
      <c r="B316" s="21" t="str">
        <f>IF($A316="","",INDEX(Project_Tracker!$AM$2:$AM$101,INT((ROW()-6)/17)+1))</f>
        <v/>
      </c>
      <c r="C316" s="20" t="str">
        <f>IF($A316="","",INDEX(Project_Tracker!$C$2:$C$101,INT((ROW()-6)/17)+1))</f>
        <v/>
      </c>
      <c r="D316" s="6" t="str">
        <f>IF($A316="","",INDEX(Project_Tracker!$T$2:$T$101,INT((ROW()-6)/17)+1))</f>
        <v/>
      </c>
      <c r="E316" s="18">
        <f t="shared" si="20"/>
        <v>5</v>
      </c>
      <c r="F316" s="23" t="str">
        <f>IF($A316="","",INDEX('Logic &amp; Lists'!$I$4:$I$20,$E316))</f>
        <v/>
      </c>
      <c r="G316" s="18" t="str">
        <f>IF($A316="","",INDEX('Logic &amp; Lists'!$J$4:$J$20,$E316))</f>
        <v/>
      </c>
      <c r="H316" s="6" t="str">
        <f t="shared" si="21"/>
        <v/>
      </c>
      <c r="I316" s="18" t="str">
        <f t="shared" ca="1" si="22"/>
        <v/>
      </c>
      <c r="J316" s="5" t="str">
        <f t="shared" si="23"/>
        <v/>
      </c>
      <c r="K316" s="25"/>
      <c r="L316" s="5" t="str">
        <f t="shared" si="24"/>
        <v/>
      </c>
      <c r="M316" s="7"/>
      <c r="N316" s="7"/>
      <c r="O316" s="7"/>
      <c r="P316" s="20" t="str">
        <f>IF($A316="","",INDEX(Project_Tracker!$I$2:$I$101,INT((ROW()-6)/17)+1))</f>
        <v/>
      </c>
      <c r="Q316" s="20" t="str">
        <f>IF($A316="","",INDEX(Project_Tracker!$K$2:$K$101,INT((ROW()-6)/17)+1))</f>
        <v/>
      </c>
    </row>
    <row r="317" spans="1:17" x14ac:dyDescent="0.2">
      <c r="A317" s="20" t="str">
        <f>IF(INDEX(Project_Tracker!$AL$2:$AL$101,INT((ROW()-6)/17)+1)="","",INDEX(Project_Tracker!$AL$2:$AL$101,INT((ROW()-6)/17)+1))</f>
        <v/>
      </c>
      <c r="B317" s="21" t="str">
        <f>IF($A317="","",INDEX(Project_Tracker!$AM$2:$AM$101,INT((ROW()-6)/17)+1))</f>
        <v/>
      </c>
      <c r="C317" s="20" t="str">
        <f>IF($A317="","",INDEX(Project_Tracker!$C$2:$C$101,INT((ROW()-6)/17)+1))</f>
        <v/>
      </c>
      <c r="D317" s="6" t="str">
        <f>IF($A317="","",INDEX(Project_Tracker!$T$2:$T$101,INT((ROW()-6)/17)+1))</f>
        <v/>
      </c>
      <c r="E317" s="18">
        <f t="shared" si="20"/>
        <v>6</v>
      </c>
      <c r="F317" s="23" t="str">
        <f>IF($A317="","",INDEX('Logic &amp; Lists'!$I$4:$I$20,$E317))</f>
        <v/>
      </c>
      <c r="G317" s="18" t="str">
        <f>IF($A317="","",INDEX('Logic &amp; Lists'!$J$4:$J$20,$E317))</f>
        <v/>
      </c>
      <c r="H317" s="6" t="str">
        <f t="shared" si="21"/>
        <v/>
      </c>
      <c r="I317" s="18" t="str">
        <f t="shared" ca="1" si="22"/>
        <v/>
      </c>
      <c r="J317" s="5" t="str">
        <f t="shared" si="23"/>
        <v/>
      </c>
      <c r="K317" s="25"/>
      <c r="L317" s="5" t="str">
        <f t="shared" si="24"/>
        <v/>
      </c>
      <c r="M317" s="7"/>
      <c r="N317" s="7"/>
      <c r="O317" s="7"/>
      <c r="P317" s="20" t="str">
        <f>IF($A317="","",INDEX(Project_Tracker!$I$2:$I$101,INT((ROW()-6)/17)+1))</f>
        <v/>
      </c>
      <c r="Q317" s="20" t="str">
        <f>IF($A317="","",INDEX(Project_Tracker!$K$2:$K$101,INT((ROW()-6)/17)+1))</f>
        <v/>
      </c>
    </row>
    <row r="318" spans="1:17" x14ac:dyDescent="0.2">
      <c r="A318" s="20" t="str">
        <f>IF(INDEX(Project_Tracker!$AL$2:$AL$101,INT((ROW()-6)/17)+1)="","",INDEX(Project_Tracker!$AL$2:$AL$101,INT((ROW()-6)/17)+1))</f>
        <v/>
      </c>
      <c r="B318" s="21" t="str">
        <f>IF($A318="","",INDEX(Project_Tracker!$AM$2:$AM$101,INT((ROW()-6)/17)+1))</f>
        <v/>
      </c>
      <c r="C318" s="20" t="str">
        <f>IF($A318="","",INDEX(Project_Tracker!$C$2:$C$101,INT((ROW()-6)/17)+1))</f>
        <v/>
      </c>
      <c r="D318" s="6" t="str">
        <f>IF($A318="","",INDEX(Project_Tracker!$T$2:$T$101,INT((ROW()-6)/17)+1))</f>
        <v/>
      </c>
      <c r="E318" s="18">
        <f t="shared" si="20"/>
        <v>7</v>
      </c>
      <c r="F318" s="23" t="str">
        <f>IF($A318="","",INDEX('Logic &amp; Lists'!$I$4:$I$20,$E318))</f>
        <v/>
      </c>
      <c r="G318" s="18" t="str">
        <f>IF($A318="","",INDEX('Logic &amp; Lists'!$J$4:$J$20,$E318))</f>
        <v/>
      </c>
      <c r="H318" s="6" t="str">
        <f t="shared" si="21"/>
        <v/>
      </c>
      <c r="I318" s="18" t="str">
        <f t="shared" ca="1" si="22"/>
        <v/>
      </c>
      <c r="J318" s="5" t="str">
        <f t="shared" si="23"/>
        <v/>
      </c>
      <c r="K318" s="25"/>
      <c r="L318" s="5" t="str">
        <f t="shared" si="24"/>
        <v/>
      </c>
      <c r="M318" s="7"/>
      <c r="N318" s="7"/>
      <c r="O318" s="7"/>
      <c r="P318" s="20" t="str">
        <f>IF($A318="","",INDEX(Project_Tracker!$I$2:$I$101,INT((ROW()-6)/17)+1))</f>
        <v/>
      </c>
      <c r="Q318" s="20" t="str">
        <f>IF($A318="","",INDEX(Project_Tracker!$K$2:$K$101,INT((ROW()-6)/17)+1))</f>
        <v/>
      </c>
    </row>
    <row r="319" spans="1:17" x14ac:dyDescent="0.2">
      <c r="A319" s="20" t="str">
        <f>IF(INDEX(Project_Tracker!$AL$2:$AL$101,INT((ROW()-6)/17)+1)="","",INDEX(Project_Tracker!$AL$2:$AL$101,INT((ROW()-6)/17)+1))</f>
        <v/>
      </c>
      <c r="B319" s="21" t="str">
        <f>IF($A319="","",INDEX(Project_Tracker!$AM$2:$AM$101,INT((ROW()-6)/17)+1))</f>
        <v/>
      </c>
      <c r="C319" s="20" t="str">
        <f>IF($A319="","",INDEX(Project_Tracker!$C$2:$C$101,INT((ROW()-6)/17)+1))</f>
        <v/>
      </c>
      <c r="D319" s="6" t="str">
        <f>IF($A319="","",INDEX(Project_Tracker!$T$2:$T$101,INT((ROW()-6)/17)+1))</f>
        <v/>
      </c>
      <c r="E319" s="18">
        <f t="shared" si="20"/>
        <v>8</v>
      </c>
      <c r="F319" s="23" t="str">
        <f>IF($A319="","",INDEX('Logic &amp; Lists'!$I$4:$I$20,$E319))</f>
        <v/>
      </c>
      <c r="G319" s="18" t="str">
        <f>IF($A319="","",INDEX('Logic &amp; Lists'!$J$4:$J$20,$E319))</f>
        <v/>
      </c>
      <c r="H319" s="6" t="str">
        <f t="shared" si="21"/>
        <v/>
      </c>
      <c r="I319" s="18" t="str">
        <f t="shared" ca="1" si="22"/>
        <v/>
      </c>
      <c r="J319" s="5" t="str">
        <f t="shared" si="23"/>
        <v/>
      </c>
      <c r="K319" s="25"/>
      <c r="L319" s="5" t="str">
        <f t="shared" si="24"/>
        <v/>
      </c>
      <c r="M319" s="7"/>
      <c r="N319" s="7"/>
      <c r="O319" s="7"/>
      <c r="P319" s="20" t="str">
        <f>IF($A319="","",INDEX(Project_Tracker!$I$2:$I$101,INT((ROW()-6)/17)+1))</f>
        <v/>
      </c>
      <c r="Q319" s="20" t="str">
        <f>IF($A319="","",INDEX(Project_Tracker!$K$2:$K$101,INT((ROW()-6)/17)+1))</f>
        <v/>
      </c>
    </row>
    <row r="320" spans="1:17" x14ac:dyDescent="0.2">
      <c r="A320" s="20" t="str">
        <f>IF(INDEX(Project_Tracker!$AL$2:$AL$101,INT((ROW()-6)/17)+1)="","",INDEX(Project_Tracker!$AL$2:$AL$101,INT((ROW()-6)/17)+1))</f>
        <v/>
      </c>
      <c r="B320" s="21" t="str">
        <f>IF($A320="","",INDEX(Project_Tracker!$AM$2:$AM$101,INT((ROW()-6)/17)+1))</f>
        <v/>
      </c>
      <c r="C320" s="20" t="str">
        <f>IF($A320="","",INDEX(Project_Tracker!$C$2:$C$101,INT((ROW()-6)/17)+1))</f>
        <v/>
      </c>
      <c r="D320" s="6" t="str">
        <f>IF($A320="","",INDEX(Project_Tracker!$T$2:$T$101,INT((ROW()-6)/17)+1))</f>
        <v/>
      </c>
      <c r="E320" s="18">
        <f t="shared" si="20"/>
        <v>9</v>
      </c>
      <c r="F320" s="23" t="str">
        <f>IF($A320="","",INDEX('Logic &amp; Lists'!$I$4:$I$20,$E320))</f>
        <v/>
      </c>
      <c r="G320" s="18" t="str">
        <f>IF($A320="","",INDEX('Logic &amp; Lists'!$J$4:$J$20,$E320))</f>
        <v/>
      </c>
      <c r="H320" s="6" t="str">
        <f t="shared" si="21"/>
        <v/>
      </c>
      <c r="I320" s="18" t="str">
        <f t="shared" ca="1" si="22"/>
        <v/>
      </c>
      <c r="J320" s="5" t="str">
        <f t="shared" si="23"/>
        <v/>
      </c>
      <c r="K320" s="25"/>
      <c r="L320" s="5" t="str">
        <f t="shared" si="24"/>
        <v/>
      </c>
      <c r="M320" s="7"/>
      <c r="N320" s="7"/>
      <c r="O320" s="7"/>
      <c r="P320" s="20" t="str">
        <f>IF($A320="","",INDEX(Project_Tracker!$I$2:$I$101,INT((ROW()-6)/17)+1))</f>
        <v/>
      </c>
      <c r="Q320" s="20" t="str">
        <f>IF($A320="","",INDEX(Project_Tracker!$K$2:$K$101,INT((ROW()-6)/17)+1))</f>
        <v/>
      </c>
    </row>
    <row r="321" spans="1:17" x14ac:dyDescent="0.2">
      <c r="A321" s="20" t="str">
        <f>IF(INDEX(Project_Tracker!$AL$2:$AL$101,INT((ROW()-6)/17)+1)="","",INDEX(Project_Tracker!$AL$2:$AL$101,INT((ROW()-6)/17)+1))</f>
        <v/>
      </c>
      <c r="B321" s="21" t="str">
        <f>IF($A321="","",INDEX(Project_Tracker!$AM$2:$AM$101,INT((ROW()-6)/17)+1))</f>
        <v/>
      </c>
      <c r="C321" s="20" t="str">
        <f>IF($A321="","",INDEX(Project_Tracker!$C$2:$C$101,INT((ROW()-6)/17)+1))</f>
        <v/>
      </c>
      <c r="D321" s="6" t="str">
        <f>IF($A321="","",INDEX(Project_Tracker!$T$2:$T$101,INT((ROW()-6)/17)+1))</f>
        <v/>
      </c>
      <c r="E321" s="18">
        <f t="shared" si="20"/>
        <v>10</v>
      </c>
      <c r="F321" s="23" t="str">
        <f>IF($A321="","",INDEX('Logic &amp; Lists'!$I$4:$I$20,$E321))</f>
        <v/>
      </c>
      <c r="G321" s="18" t="str">
        <f>IF($A321="","",INDEX('Logic &amp; Lists'!$J$4:$J$20,$E321))</f>
        <v/>
      </c>
      <c r="H321" s="6" t="str">
        <f t="shared" si="21"/>
        <v/>
      </c>
      <c r="I321" s="18" t="str">
        <f t="shared" ca="1" si="22"/>
        <v/>
      </c>
      <c r="J321" s="5" t="str">
        <f t="shared" si="23"/>
        <v/>
      </c>
      <c r="K321" s="25"/>
      <c r="L321" s="5" t="str">
        <f t="shared" si="24"/>
        <v/>
      </c>
      <c r="M321" s="7"/>
      <c r="N321" s="7"/>
      <c r="O321" s="7"/>
      <c r="P321" s="20" t="str">
        <f>IF($A321="","",INDEX(Project_Tracker!$I$2:$I$101,INT((ROW()-6)/17)+1))</f>
        <v/>
      </c>
      <c r="Q321" s="20" t="str">
        <f>IF($A321="","",INDEX(Project_Tracker!$K$2:$K$101,INT((ROW()-6)/17)+1))</f>
        <v/>
      </c>
    </row>
    <row r="322" spans="1:17" x14ac:dyDescent="0.2">
      <c r="A322" s="20" t="str">
        <f>IF(INDEX(Project_Tracker!$AL$2:$AL$101,INT((ROW()-6)/17)+1)="","",INDEX(Project_Tracker!$AL$2:$AL$101,INT((ROW()-6)/17)+1))</f>
        <v/>
      </c>
      <c r="B322" s="21" t="str">
        <f>IF($A322="","",INDEX(Project_Tracker!$AM$2:$AM$101,INT((ROW()-6)/17)+1))</f>
        <v/>
      </c>
      <c r="C322" s="20" t="str">
        <f>IF($A322="","",INDEX(Project_Tracker!$C$2:$C$101,INT((ROW()-6)/17)+1))</f>
        <v/>
      </c>
      <c r="D322" s="6" t="str">
        <f>IF($A322="","",INDEX(Project_Tracker!$T$2:$T$101,INT((ROW()-6)/17)+1))</f>
        <v/>
      </c>
      <c r="E322" s="18">
        <f t="shared" si="20"/>
        <v>11</v>
      </c>
      <c r="F322" s="23" t="str">
        <f>IF($A322="","",INDEX('Logic &amp; Lists'!$I$4:$I$20,$E322))</f>
        <v/>
      </c>
      <c r="G322" s="18" t="str">
        <f>IF($A322="","",INDEX('Logic &amp; Lists'!$J$4:$J$20,$E322))</f>
        <v/>
      </c>
      <c r="H322" s="6" t="str">
        <f t="shared" si="21"/>
        <v/>
      </c>
      <c r="I322" s="18" t="str">
        <f t="shared" ca="1" si="22"/>
        <v/>
      </c>
      <c r="J322" s="5" t="str">
        <f t="shared" si="23"/>
        <v/>
      </c>
      <c r="K322" s="25"/>
      <c r="L322" s="5" t="str">
        <f t="shared" si="24"/>
        <v/>
      </c>
      <c r="M322" s="7"/>
      <c r="N322" s="7"/>
      <c r="O322" s="7"/>
      <c r="P322" s="20" t="str">
        <f>IF($A322="","",INDEX(Project_Tracker!$I$2:$I$101,INT((ROW()-6)/17)+1))</f>
        <v/>
      </c>
      <c r="Q322" s="20" t="str">
        <f>IF($A322="","",INDEX(Project_Tracker!$K$2:$K$101,INT((ROW()-6)/17)+1))</f>
        <v/>
      </c>
    </row>
    <row r="323" spans="1:17" x14ac:dyDescent="0.2">
      <c r="A323" s="20" t="str">
        <f>IF(INDEX(Project_Tracker!$AL$2:$AL$101,INT((ROW()-6)/17)+1)="","",INDEX(Project_Tracker!$AL$2:$AL$101,INT((ROW()-6)/17)+1))</f>
        <v/>
      </c>
      <c r="B323" s="21" t="str">
        <f>IF($A323="","",INDEX(Project_Tracker!$AM$2:$AM$101,INT((ROW()-6)/17)+1))</f>
        <v/>
      </c>
      <c r="C323" s="20" t="str">
        <f>IF($A323="","",INDEX(Project_Tracker!$C$2:$C$101,INT((ROW()-6)/17)+1))</f>
        <v/>
      </c>
      <c r="D323" s="6" t="str">
        <f>IF($A323="","",INDEX(Project_Tracker!$T$2:$T$101,INT((ROW()-6)/17)+1))</f>
        <v/>
      </c>
      <c r="E323" s="18">
        <f t="shared" si="20"/>
        <v>12</v>
      </c>
      <c r="F323" s="23" t="str">
        <f>IF($A323="","",INDEX('Logic &amp; Lists'!$I$4:$I$20,$E323))</f>
        <v/>
      </c>
      <c r="G323" s="18" t="str">
        <f>IF($A323="","",INDEX('Logic &amp; Lists'!$J$4:$J$20,$E323))</f>
        <v/>
      </c>
      <c r="H323" s="6" t="str">
        <f t="shared" si="21"/>
        <v/>
      </c>
      <c r="I323" s="18" t="str">
        <f t="shared" ca="1" si="22"/>
        <v/>
      </c>
      <c r="J323" s="5" t="str">
        <f t="shared" si="23"/>
        <v/>
      </c>
      <c r="K323" s="25"/>
      <c r="L323" s="5" t="str">
        <f t="shared" si="24"/>
        <v/>
      </c>
      <c r="M323" s="7"/>
      <c r="N323" s="7"/>
      <c r="O323" s="7"/>
      <c r="P323" s="20" t="str">
        <f>IF($A323="","",INDEX(Project_Tracker!$I$2:$I$101,INT((ROW()-6)/17)+1))</f>
        <v/>
      </c>
      <c r="Q323" s="20" t="str">
        <f>IF($A323="","",INDEX(Project_Tracker!$K$2:$K$101,INT((ROW()-6)/17)+1))</f>
        <v/>
      </c>
    </row>
    <row r="324" spans="1:17" x14ac:dyDescent="0.2">
      <c r="A324" s="20" t="str">
        <f>IF(INDEX(Project_Tracker!$AL$2:$AL$101,INT((ROW()-6)/17)+1)="","",INDEX(Project_Tracker!$AL$2:$AL$101,INT((ROW()-6)/17)+1))</f>
        <v/>
      </c>
      <c r="B324" s="21" t="str">
        <f>IF($A324="","",INDEX(Project_Tracker!$AM$2:$AM$101,INT((ROW()-6)/17)+1))</f>
        <v/>
      </c>
      <c r="C324" s="20" t="str">
        <f>IF($A324="","",INDEX(Project_Tracker!$C$2:$C$101,INT((ROW()-6)/17)+1))</f>
        <v/>
      </c>
      <c r="D324" s="6" t="str">
        <f>IF($A324="","",INDEX(Project_Tracker!$T$2:$T$101,INT((ROW()-6)/17)+1))</f>
        <v/>
      </c>
      <c r="E324" s="18">
        <f t="shared" si="20"/>
        <v>13</v>
      </c>
      <c r="F324" s="23" t="str">
        <f>IF($A324="","",INDEX('Logic &amp; Lists'!$I$4:$I$20,$E324))</f>
        <v/>
      </c>
      <c r="G324" s="18" t="str">
        <f>IF($A324="","",INDEX('Logic &amp; Lists'!$J$4:$J$20,$E324))</f>
        <v/>
      </c>
      <c r="H324" s="6" t="str">
        <f t="shared" si="21"/>
        <v/>
      </c>
      <c r="I324" s="18" t="str">
        <f t="shared" ca="1" si="22"/>
        <v/>
      </c>
      <c r="J324" s="5" t="str">
        <f t="shared" si="23"/>
        <v/>
      </c>
      <c r="K324" s="25"/>
      <c r="L324" s="5" t="str">
        <f t="shared" si="24"/>
        <v/>
      </c>
      <c r="M324" s="7"/>
      <c r="N324" s="7"/>
      <c r="O324" s="7"/>
      <c r="P324" s="20" t="str">
        <f>IF($A324="","",INDEX(Project_Tracker!$I$2:$I$101,INT((ROW()-6)/17)+1))</f>
        <v/>
      </c>
      <c r="Q324" s="20" t="str">
        <f>IF($A324="","",INDEX(Project_Tracker!$K$2:$K$101,INT((ROW()-6)/17)+1))</f>
        <v/>
      </c>
    </row>
    <row r="325" spans="1:17" x14ac:dyDescent="0.2">
      <c r="A325" s="20" t="str">
        <f>IF(INDEX(Project_Tracker!$AL$2:$AL$101,INT((ROW()-6)/17)+1)="","",INDEX(Project_Tracker!$AL$2:$AL$101,INT((ROW()-6)/17)+1))</f>
        <v/>
      </c>
      <c r="B325" s="21" t="str">
        <f>IF($A325="","",INDEX(Project_Tracker!$AM$2:$AM$101,INT((ROW()-6)/17)+1))</f>
        <v/>
      </c>
      <c r="C325" s="20" t="str">
        <f>IF($A325="","",INDEX(Project_Tracker!$C$2:$C$101,INT((ROW()-6)/17)+1))</f>
        <v/>
      </c>
      <c r="D325" s="6" t="str">
        <f>IF($A325="","",INDEX(Project_Tracker!$T$2:$T$101,INT((ROW()-6)/17)+1))</f>
        <v/>
      </c>
      <c r="E325" s="18">
        <f t="shared" si="20"/>
        <v>14</v>
      </c>
      <c r="F325" s="23" t="str">
        <f>IF($A325="","",INDEX('Logic &amp; Lists'!$I$4:$I$20,$E325))</f>
        <v/>
      </c>
      <c r="G325" s="18" t="str">
        <f>IF($A325="","",INDEX('Logic &amp; Lists'!$J$4:$J$20,$E325))</f>
        <v/>
      </c>
      <c r="H325" s="6" t="str">
        <f t="shared" si="21"/>
        <v/>
      </c>
      <c r="I325" s="18" t="str">
        <f t="shared" ca="1" si="22"/>
        <v/>
      </c>
      <c r="J325" s="5" t="str">
        <f t="shared" si="23"/>
        <v/>
      </c>
      <c r="K325" s="25"/>
      <c r="L325" s="5" t="str">
        <f t="shared" si="24"/>
        <v/>
      </c>
      <c r="M325" s="7"/>
      <c r="N325" s="7"/>
      <c r="O325" s="7"/>
      <c r="P325" s="20" t="str">
        <f>IF($A325="","",INDEX(Project_Tracker!$I$2:$I$101,INT((ROW()-6)/17)+1))</f>
        <v/>
      </c>
      <c r="Q325" s="20" t="str">
        <f>IF($A325="","",INDEX(Project_Tracker!$K$2:$K$101,INT((ROW()-6)/17)+1))</f>
        <v/>
      </c>
    </row>
    <row r="326" spans="1:17" x14ac:dyDescent="0.2">
      <c r="A326" s="20" t="str">
        <f>IF(INDEX(Project_Tracker!$AL$2:$AL$101,INT((ROW()-6)/17)+1)="","",INDEX(Project_Tracker!$AL$2:$AL$101,INT((ROW()-6)/17)+1))</f>
        <v/>
      </c>
      <c r="B326" s="21" t="str">
        <f>IF($A326="","",INDEX(Project_Tracker!$AM$2:$AM$101,INT((ROW()-6)/17)+1))</f>
        <v/>
      </c>
      <c r="C326" s="20" t="str">
        <f>IF($A326="","",INDEX(Project_Tracker!$C$2:$C$101,INT((ROW()-6)/17)+1))</f>
        <v/>
      </c>
      <c r="D326" s="6" t="str">
        <f>IF($A326="","",INDEX(Project_Tracker!$T$2:$T$101,INT((ROW()-6)/17)+1))</f>
        <v/>
      </c>
      <c r="E326" s="18">
        <f t="shared" ref="E326:E389" si="25">MOD(ROW()-6,17)+1</f>
        <v>15</v>
      </c>
      <c r="F326" s="23" t="str">
        <f>IF($A326="","",INDEX('Logic &amp; Lists'!$I$4:$I$20,$E326))</f>
        <v/>
      </c>
      <c r="G326" s="18" t="str">
        <f>IF($A326="","",INDEX('Logic &amp; Lists'!$J$4:$J$20,$E326))</f>
        <v/>
      </c>
      <c r="H326" s="6" t="str">
        <f t="shared" ref="H326:H389" si="26">IF($D326="","",$D326-$G326)</f>
        <v/>
      </c>
      <c r="I326" s="18" t="str">
        <f t="shared" ref="I326:I389" ca="1" si="27">IF($H326="","",$H326-TODAY())</f>
        <v/>
      </c>
      <c r="J326" s="5" t="str">
        <f t="shared" ref="J326:J389" si="28">IF($A326="","",IF($K326&lt;&gt;"","ORDERED",IF($I326&lt;0,"OVERDUE",IF($I326&lt;=7,"URGENT",IF($I326&lt;=14,"PREPARE","OK")))))</f>
        <v/>
      </c>
      <c r="K326" s="25"/>
      <c r="L326" s="5" t="str">
        <f t="shared" ref="L326:L389" si="29">IF($A326="","",IF($K326="",$J326,IF($K326&lt;=$H326,"Ordered On Time","Ordered Late")))</f>
        <v/>
      </c>
      <c r="M326" s="7"/>
      <c r="N326" s="7"/>
      <c r="O326" s="7"/>
      <c r="P326" s="20" t="str">
        <f>IF($A326="","",INDEX(Project_Tracker!$I$2:$I$101,INT((ROW()-6)/17)+1))</f>
        <v/>
      </c>
      <c r="Q326" s="20" t="str">
        <f>IF($A326="","",INDEX(Project_Tracker!$K$2:$K$101,INT((ROW()-6)/17)+1))</f>
        <v/>
      </c>
    </row>
    <row r="327" spans="1:17" x14ac:dyDescent="0.2">
      <c r="A327" s="20" t="str">
        <f>IF(INDEX(Project_Tracker!$AL$2:$AL$101,INT((ROW()-6)/17)+1)="","",INDEX(Project_Tracker!$AL$2:$AL$101,INT((ROW()-6)/17)+1))</f>
        <v/>
      </c>
      <c r="B327" s="21" t="str">
        <f>IF($A327="","",INDEX(Project_Tracker!$AM$2:$AM$101,INT((ROW()-6)/17)+1))</f>
        <v/>
      </c>
      <c r="C327" s="20" t="str">
        <f>IF($A327="","",INDEX(Project_Tracker!$C$2:$C$101,INT((ROW()-6)/17)+1))</f>
        <v/>
      </c>
      <c r="D327" s="6" t="str">
        <f>IF($A327="","",INDEX(Project_Tracker!$T$2:$T$101,INT((ROW()-6)/17)+1))</f>
        <v/>
      </c>
      <c r="E327" s="18">
        <f t="shared" si="25"/>
        <v>16</v>
      </c>
      <c r="F327" s="23" t="str">
        <f>IF($A327="","",INDEX('Logic &amp; Lists'!$I$4:$I$20,$E327))</f>
        <v/>
      </c>
      <c r="G327" s="18" t="str">
        <f>IF($A327="","",INDEX('Logic &amp; Lists'!$J$4:$J$20,$E327))</f>
        <v/>
      </c>
      <c r="H327" s="6" t="str">
        <f t="shared" si="26"/>
        <v/>
      </c>
      <c r="I327" s="18" t="str">
        <f t="shared" ca="1" si="27"/>
        <v/>
      </c>
      <c r="J327" s="5" t="str">
        <f t="shared" si="28"/>
        <v/>
      </c>
      <c r="K327" s="25"/>
      <c r="L327" s="5" t="str">
        <f t="shared" si="29"/>
        <v/>
      </c>
      <c r="M327" s="7"/>
      <c r="N327" s="7"/>
      <c r="O327" s="7"/>
      <c r="P327" s="20" t="str">
        <f>IF($A327="","",INDEX(Project_Tracker!$I$2:$I$101,INT((ROW()-6)/17)+1))</f>
        <v/>
      </c>
      <c r="Q327" s="20" t="str">
        <f>IF($A327="","",INDEX(Project_Tracker!$K$2:$K$101,INT((ROW()-6)/17)+1))</f>
        <v/>
      </c>
    </row>
    <row r="328" spans="1:17" x14ac:dyDescent="0.2">
      <c r="A328" s="20" t="str">
        <f>IF(INDEX(Project_Tracker!$AL$2:$AL$101,INT((ROW()-6)/17)+1)="","",INDEX(Project_Tracker!$AL$2:$AL$101,INT((ROW()-6)/17)+1))</f>
        <v/>
      </c>
      <c r="B328" s="21" t="str">
        <f>IF($A328="","",INDEX(Project_Tracker!$AM$2:$AM$101,INT((ROW()-6)/17)+1))</f>
        <v/>
      </c>
      <c r="C328" s="20" t="str">
        <f>IF($A328="","",INDEX(Project_Tracker!$C$2:$C$101,INT((ROW()-6)/17)+1))</f>
        <v/>
      </c>
      <c r="D328" s="6" t="str">
        <f>IF($A328="","",INDEX(Project_Tracker!$T$2:$T$101,INT((ROW()-6)/17)+1))</f>
        <v/>
      </c>
      <c r="E328" s="18">
        <f t="shared" si="25"/>
        <v>17</v>
      </c>
      <c r="F328" s="23" t="str">
        <f>IF($A328="","",INDEX('Logic &amp; Lists'!$I$4:$I$20,$E328))</f>
        <v/>
      </c>
      <c r="G328" s="18" t="str">
        <f>IF($A328="","",INDEX('Logic &amp; Lists'!$J$4:$J$20,$E328))</f>
        <v/>
      </c>
      <c r="H328" s="6" t="str">
        <f t="shared" si="26"/>
        <v/>
      </c>
      <c r="I328" s="18" t="str">
        <f t="shared" ca="1" si="27"/>
        <v/>
      </c>
      <c r="J328" s="5" t="str">
        <f t="shared" si="28"/>
        <v/>
      </c>
      <c r="K328" s="25"/>
      <c r="L328" s="5" t="str">
        <f t="shared" si="29"/>
        <v/>
      </c>
      <c r="M328" s="7"/>
      <c r="N328" s="7"/>
      <c r="O328" s="7"/>
      <c r="P328" s="20" t="str">
        <f>IF($A328="","",INDEX(Project_Tracker!$I$2:$I$101,INT((ROW()-6)/17)+1))</f>
        <v/>
      </c>
      <c r="Q328" s="20" t="str">
        <f>IF($A328="","",INDEX(Project_Tracker!$K$2:$K$101,INT((ROW()-6)/17)+1))</f>
        <v/>
      </c>
    </row>
    <row r="329" spans="1:17" x14ac:dyDescent="0.2">
      <c r="A329" s="20" t="str">
        <f>IF(INDEX(Project_Tracker!$AL$2:$AL$101,INT((ROW()-6)/17)+1)="","",INDEX(Project_Tracker!$AL$2:$AL$101,INT((ROW()-6)/17)+1))</f>
        <v/>
      </c>
      <c r="B329" s="21" t="str">
        <f>IF($A329="","",INDEX(Project_Tracker!$AM$2:$AM$101,INT((ROW()-6)/17)+1))</f>
        <v/>
      </c>
      <c r="C329" s="20" t="str">
        <f>IF($A329="","",INDEX(Project_Tracker!$C$2:$C$101,INT((ROW()-6)/17)+1))</f>
        <v/>
      </c>
      <c r="D329" s="6" t="str">
        <f>IF($A329="","",INDEX(Project_Tracker!$T$2:$T$101,INT((ROW()-6)/17)+1))</f>
        <v/>
      </c>
      <c r="E329" s="18">
        <f t="shared" si="25"/>
        <v>1</v>
      </c>
      <c r="F329" s="23" t="str">
        <f>IF($A329="","",INDEX('Logic &amp; Lists'!$I$4:$I$20,$E329))</f>
        <v/>
      </c>
      <c r="G329" s="18" t="str">
        <f>IF($A329="","",INDEX('Logic &amp; Lists'!$J$4:$J$20,$E329))</f>
        <v/>
      </c>
      <c r="H329" s="6" t="str">
        <f t="shared" si="26"/>
        <v/>
      </c>
      <c r="I329" s="18" t="str">
        <f t="shared" ca="1" si="27"/>
        <v/>
      </c>
      <c r="J329" s="5" t="str">
        <f t="shared" si="28"/>
        <v/>
      </c>
      <c r="K329" s="25"/>
      <c r="L329" s="5" t="str">
        <f t="shared" si="29"/>
        <v/>
      </c>
      <c r="M329" s="7"/>
      <c r="N329" s="7"/>
      <c r="O329" s="7"/>
      <c r="P329" s="20" t="str">
        <f>IF($A329="","",INDEX(Project_Tracker!$I$2:$I$101,INT((ROW()-6)/17)+1))</f>
        <v/>
      </c>
      <c r="Q329" s="20" t="str">
        <f>IF($A329="","",INDEX(Project_Tracker!$K$2:$K$101,INT((ROW()-6)/17)+1))</f>
        <v/>
      </c>
    </row>
    <row r="330" spans="1:17" x14ac:dyDescent="0.2">
      <c r="A330" s="20" t="str">
        <f>IF(INDEX(Project_Tracker!$AL$2:$AL$101,INT((ROW()-6)/17)+1)="","",INDEX(Project_Tracker!$AL$2:$AL$101,INT((ROW()-6)/17)+1))</f>
        <v/>
      </c>
      <c r="B330" s="21" t="str">
        <f>IF($A330="","",INDEX(Project_Tracker!$AM$2:$AM$101,INT((ROW()-6)/17)+1))</f>
        <v/>
      </c>
      <c r="C330" s="20" t="str">
        <f>IF($A330="","",INDEX(Project_Tracker!$C$2:$C$101,INT((ROW()-6)/17)+1))</f>
        <v/>
      </c>
      <c r="D330" s="6" t="str">
        <f>IF($A330="","",INDEX(Project_Tracker!$T$2:$T$101,INT((ROW()-6)/17)+1))</f>
        <v/>
      </c>
      <c r="E330" s="18">
        <f t="shared" si="25"/>
        <v>2</v>
      </c>
      <c r="F330" s="23" t="str">
        <f>IF($A330="","",INDEX('Logic &amp; Lists'!$I$4:$I$20,$E330))</f>
        <v/>
      </c>
      <c r="G330" s="18" t="str">
        <f>IF($A330="","",INDEX('Logic &amp; Lists'!$J$4:$J$20,$E330))</f>
        <v/>
      </c>
      <c r="H330" s="6" t="str">
        <f t="shared" si="26"/>
        <v/>
      </c>
      <c r="I330" s="18" t="str">
        <f t="shared" ca="1" si="27"/>
        <v/>
      </c>
      <c r="J330" s="5" t="str">
        <f t="shared" si="28"/>
        <v/>
      </c>
      <c r="K330" s="25"/>
      <c r="L330" s="5" t="str">
        <f t="shared" si="29"/>
        <v/>
      </c>
      <c r="M330" s="7"/>
      <c r="N330" s="7"/>
      <c r="O330" s="7"/>
      <c r="P330" s="20" t="str">
        <f>IF($A330="","",INDEX(Project_Tracker!$I$2:$I$101,INT((ROW()-6)/17)+1))</f>
        <v/>
      </c>
      <c r="Q330" s="20" t="str">
        <f>IF($A330="","",INDEX(Project_Tracker!$K$2:$K$101,INT((ROW()-6)/17)+1))</f>
        <v/>
      </c>
    </row>
    <row r="331" spans="1:17" x14ac:dyDescent="0.2">
      <c r="A331" s="20" t="str">
        <f>IF(INDEX(Project_Tracker!$AL$2:$AL$101,INT((ROW()-6)/17)+1)="","",INDEX(Project_Tracker!$AL$2:$AL$101,INT((ROW()-6)/17)+1))</f>
        <v/>
      </c>
      <c r="B331" s="21" t="str">
        <f>IF($A331="","",INDEX(Project_Tracker!$AM$2:$AM$101,INT((ROW()-6)/17)+1))</f>
        <v/>
      </c>
      <c r="C331" s="20" t="str">
        <f>IF($A331="","",INDEX(Project_Tracker!$C$2:$C$101,INT((ROW()-6)/17)+1))</f>
        <v/>
      </c>
      <c r="D331" s="6" t="str">
        <f>IF($A331="","",INDEX(Project_Tracker!$T$2:$T$101,INT((ROW()-6)/17)+1))</f>
        <v/>
      </c>
      <c r="E331" s="18">
        <f t="shared" si="25"/>
        <v>3</v>
      </c>
      <c r="F331" s="23" t="str">
        <f>IF($A331="","",INDEX('Logic &amp; Lists'!$I$4:$I$20,$E331))</f>
        <v/>
      </c>
      <c r="G331" s="18" t="str">
        <f>IF($A331="","",INDEX('Logic &amp; Lists'!$J$4:$J$20,$E331))</f>
        <v/>
      </c>
      <c r="H331" s="6" t="str">
        <f t="shared" si="26"/>
        <v/>
      </c>
      <c r="I331" s="18" t="str">
        <f t="shared" ca="1" si="27"/>
        <v/>
      </c>
      <c r="J331" s="5" t="str">
        <f t="shared" si="28"/>
        <v/>
      </c>
      <c r="K331" s="25"/>
      <c r="L331" s="5" t="str">
        <f t="shared" si="29"/>
        <v/>
      </c>
      <c r="M331" s="7"/>
      <c r="N331" s="7"/>
      <c r="O331" s="7"/>
      <c r="P331" s="20" t="str">
        <f>IF($A331="","",INDEX(Project_Tracker!$I$2:$I$101,INT((ROW()-6)/17)+1))</f>
        <v/>
      </c>
      <c r="Q331" s="20" t="str">
        <f>IF($A331="","",INDEX(Project_Tracker!$K$2:$K$101,INT((ROW()-6)/17)+1))</f>
        <v/>
      </c>
    </row>
    <row r="332" spans="1:17" x14ac:dyDescent="0.2">
      <c r="A332" s="20" t="str">
        <f>IF(INDEX(Project_Tracker!$AL$2:$AL$101,INT((ROW()-6)/17)+1)="","",INDEX(Project_Tracker!$AL$2:$AL$101,INT((ROW()-6)/17)+1))</f>
        <v/>
      </c>
      <c r="B332" s="21" t="str">
        <f>IF($A332="","",INDEX(Project_Tracker!$AM$2:$AM$101,INT((ROW()-6)/17)+1))</f>
        <v/>
      </c>
      <c r="C332" s="20" t="str">
        <f>IF($A332="","",INDEX(Project_Tracker!$C$2:$C$101,INT((ROW()-6)/17)+1))</f>
        <v/>
      </c>
      <c r="D332" s="6" t="str">
        <f>IF($A332="","",INDEX(Project_Tracker!$T$2:$T$101,INT((ROW()-6)/17)+1))</f>
        <v/>
      </c>
      <c r="E332" s="18">
        <f t="shared" si="25"/>
        <v>4</v>
      </c>
      <c r="F332" s="23" t="str">
        <f>IF($A332="","",INDEX('Logic &amp; Lists'!$I$4:$I$20,$E332))</f>
        <v/>
      </c>
      <c r="G332" s="18" t="str">
        <f>IF($A332="","",INDEX('Logic &amp; Lists'!$J$4:$J$20,$E332))</f>
        <v/>
      </c>
      <c r="H332" s="6" t="str">
        <f t="shared" si="26"/>
        <v/>
      </c>
      <c r="I332" s="18" t="str">
        <f t="shared" ca="1" si="27"/>
        <v/>
      </c>
      <c r="J332" s="5" t="str">
        <f t="shared" si="28"/>
        <v/>
      </c>
      <c r="K332" s="25"/>
      <c r="L332" s="5" t="str">
        <f t="shared" si="29"/>
        <v/>
      </c>
      <c r="M332" s="7"/>
      <c r="N332" s="7"/>
      <c r="O332" s="7"/>
      <c r="P332" s="20" t="str">
        <f>IF($A332="","",INDEX(Project_Tracker!$I$2:$I$101,INT((ROW()-6)/17)+1))</f>
        <v/>
      </c>
      <c r="Q332" s="20" t="str">
        <f>IF($A332="","",INDEX(Project_Tracker!$K$2:$K$101,INT((ROW()-6)/17)+1))</f>
        <v/>
      </c>
    </row>
    <row r="333" spans="1:17" x14ac:dyDescent="0.2">
      <c r="A333" s="20" t="str">
        <f>IF(INDEX(Project_Tracker!$AL$2:$AL$101,INT((ROW()-6)/17)+1)="","",INDEX(Project_Tracker!$AL$2:$AL$101,INT((ROW()-6)/17)+1))</f>
        <v/>
      </c>
      <c r="B333" s="21" t="str">
        <f>IF($A333="","",INDEX(Project_Tracker!$AM$2:$AM$101,INT((ROW()-6)/17)+1))</f>
        <v/>
      </c>
      <c r="C333" s="20" t="str">
        <f>IF($A333="","",INDEX(Project_Tracker!$C$2:$C$101,INT((ROW()-6)/17)+1))</f>
        <v/>
      </c>
      <c r="D333" s="6" t="str">
        <f>IF($A333="","",INDEX(Project_Tracker!$T$2:$T$101,INT((ROW()-6)/17)+1))</f>
        <v/>
      </c>
      <c r="E333" s="18">
        <f t="shared" si="25"/>
        <v>5</v>
      </c>
      <c r="F333" s="23" t="str">
        <f>IF($A333="","",INDEX('Logic &amp; Lists'!$I$4:$I$20,$E333))</f>
        <v/>
      </c>
      <c r="G333" s="18" t="str">
        <f>IF($A333="","",INDEX('Logic &amp; Lists'!$J$4:$J$20,$E333))</f>
        <v/>
      </c>
      <c r="H333" s="6" t="str">
        <f t="shared" si="26"/>
        <v/>
      </c>
      <c r="I333" s="18" t="str">
        <f t="shared" ca="1" si="27"/>
        <v/>
      </c>
      <c r="J333" s="5" t="str">
        <f t="shared" si="28"/>
        <v/>
      </c>
      <c r="K333" s="25"/>
      <c r="L333" s="5" t="str">
        <f t="shared" si="29"/>
        <v/>
      </c>
      <c r="M333" s="7"/>
      <c r="N333" s="7"/>
      <c r="O333" s="7"/>
      <c r="P333" s="20" t="str">
        <f>IF($A333="","",INDEX(Project_Tracker!$I$2:$I$101,INT((ROW()-6)/17)+1))</f>
        <v/>
      </c>
      <c r="Q333" s="20" t="str">
        <f>IF($A333="","",INDEX(Project_Tracker!$K$2:$K$101,INT((ROW()-6)/17)+1))</f>
        <v/>
      </c>
    </row>
    <row r="334" spans="1:17" x14ac:dyDescent="0.2">
      <c r="A334" s="20" t="str">
        <f>IF(INDEX(Project_Tracker!$AL$2:$AL$101,INT((ROW()-6)/17)+1)="","",INDEX(Project_Tracker!$AL$2:$AL$101,INT((ROW()-6)/17)+1))</f>
        <v/>
      </c>
      <c r="B334" s="21" t="str">
        <f>IF($A334="","",INDEX(Project_Tracker!$AM$2:$AM$101,INT((ROW()-6)/17)+1))</f>
        <v/>
      </c>
      <c r="C334" s="20" t="str">
        <f>IF($A334="","",INDEX(Project_Tracker!$C$2:$C$101,INT((ROW()-6)/17)+1))</f>
        <v/>
      </c>
      <c r="D334" s="6" t="str">
        <f>IF($A334="","",INDEX(Project_Tracker!$T$2:$T$101,INT((ROW()-6)/17)+1))</f>
        <v/>
      </c>
      <c r="E334" s="18">
        <f t="shared" si="25"/>
        <v>6</v>
      </c>
      <c r="F334" s="23" t="str">
        <f>IF($A334="","",INDEX('Logic &amp; Lists'!$I$4:$I$20,$E334))</f>
        <v/>
      </c>
      <c r="G334" s="18" t="str">
        <f>IF($A334="","",INDEX('Logic &amp; Lists'!$J$4:$J$20,$E334))</f>
        <v/>
      </c>
      <c r="H334" s="6" t="str">
        <f t="shared" si="26"/>
        <v/>
      </c>
      <c r="I334" s="18" t="str">
        <f t="shared" ca="1" si="27"/>
        <v/>
      </c>
      <c r="J334" s="5" t="str">
        <f t="shared" si="28"/>
        <v/>
      </c>
      <c r="K334" s="25"/>
      <c r="L334" s="5" t="str">
        <f t="shared" si="29"/>
        <v/>
      </c>
      <c r="M334" s="7"/>
      <c r="N334" s="7"/>
      <c r="O334" s="7"/>
      <c r="P334" s="20" t="str">
        <f>IF($A334="","",INDEX(Project_Tracker!$I$2:$I$101,INT((ROW()-6)/17)+1))</f>
        <v/>
      </c>
      <c r="Q334" s="20" t="str">
        <f>IF($A334="","",INDEX(Project_Tracker!$K$2:$K$101,INT((ROW()-6)/17)+1))</f>
        <v/>
      </c>
    </row>
    <row r="335" spans="1:17" x14ac:dyDescent="0.2">
      <c r="A335" s="20" t="str">
        <f>IF(INDEX(Project_Tracker!$AL$2:$AL$101,INT((ROW()-6)/17)+1)="","",INDEX(Project_Tracker!$AL$2:$AL$101,INT((ROW()-6)/17)+1))</f>
        <v/>
      </c>
      <c r="B335" s="21" t="str">
        <f>IF($A335="","",INDEX(Project_Tracker!$AM$2:$AM$101,INT((ROW()-6)/17)+1))</f>
        <v/>
      </c>
      <c r="C335" s="20" t="str">
        <f>IF($A335="","",INDEX(Project_Tracker!$C$2:$C$101,INT((ROW()-6)/17)+1))</f>
        <v/>
      </c>
      <c r="D335" s="6" t="str">
        <f>IF($A335="","",INDEX(Project_Tracker!$T$2:$T$101,INT((ROW()-6)/17)+1))</f>
        <v/>
      </c>
      <c r="E335" s="18">
        <f t="shared" si="25"/>
        <v>7</v>
      </c>
      <c r="F335" s="23" t="str">
        <f>IF($A335="","",INDEX('Logic &amp; Lists'!$I$4:$I$20,$E335))</f>
        <v/>
      </c>
      <c r="G335" s="18" t="str">
        <f>IF($A335="","",INDEX('Logic &amp; Lists'!$J$4:$J$20,$E335))</f>
        <v/>
      </c>
      <c r="H335" s="6" t="str">
        <f t="shared" si="26"/>
        <v/>
      </c>
      <c r="I335" s="18" t="str">
        <f t="shared" ca="1" si="27"/>
        <v/>
      </c>
      <c r="J335" s="5" t="str">
        <f t="shared" si="28"/>
        <v/>
      </c>
      <c r="K335" s="25"/>
      <c r="L335" s="5" t="str">
        <f t="shared" si="29"/>
        <v/>
      </c>
      <c r="M335" s="7"/>
      <c r="N335" s="7"/>
      <c r="O335" s="7"/>
      <c r="P335" s="20" t="str">
        <f>IF($A335="","",INDEX(Project_Tracker!$I$2:$I$101,INT((ROW()-6)/17)+1))</f>
        <v/>
      </c>
      <c r="Q335" s="20" t="str">
        <f>IF($A335="","",INDEX(Project_Tracker!$K$2:$K$101,INT((ROW()-6)/17)+1))</f>
        <v/>
      </c>
    </row>
    <row r="336" spans="1:17" x14ac:dyDescent="0.2">
      <c r="A336" s="20" t="str">
        <f>IF(INDEX(Project_Tracker!$AL$2:$AL$101,INT((ROW()-6)/17)+1)="","",INDEX(Project_Tracker!$AL$2:$AL$101,INT((ROW()-6)/17)+1))</f>
        <v/>
      </c>
      <c r="B336" s="21" t="str">
        <f>IF($A336="","",INDEX(Project_Tracker!$AM$2:$AM$101,INT((ROW()-6)/17)+1))</f>
        <v/>
      </c>
      <c r="C336" s="20" t="str">
        <f>IF($A336="","",INDEX(Project_Tracker!$C$2:$C$101,INT((ROW()-6)/17)+1))</f>
        <v/>
      </c>
      <c r="D336" s="6" t="str">
        <f>IF($A336="","",INDEX(Project_Tracker!$T$2:$T$101,INT((ROW()-6)/17)+1))</f>
        <v/>
      </c>
      <c r="E336" s="18">
        <f t="shared" si="25"/>
        <v>8</v>
      </c>
      <c r="F336" s="23" t="str">
        <f>IF($A336="","",INDEX('Logic &amp; Lists'!$I$4:$I$20,$E336))</f>
        <v/>
      </c>
      <c r="G336" s="18" t="str">
        <f>IF($A336="","",INDEX('Logic &amp; Lists'!$J$4:$J$20,$E336))</f>
        <v/>
      </c>
      <c r="H336" s="6" t="str">
        <f t="shared" si="26"/>
        <v/>
      </c>
      <c r="I336" s="18" t="str">
        <f t="shared" ca="1" si="27"/>
        <v/>
      </c>
      <c r="J336" s="5" t="str">
        <f t="shared" si="28"/>
        <v/>
      </c>
      <c r="K336" s="25"/>
      <c r="L336" s="5" t="str">
        <f t="shared" si="29"/>
        <v/>
      </c>
      <c r="M336" s="7"/>
      <c r="N336" s="7"/>
      <c r="O336" s="7"/>
      <c r="P336" s="20" t="str">
        <f>IF($A336="","",INDEX(Project_Tracker!$I$2:$I$101,INT((ROW()-6)/17)+1))</f>
        <v/>
      </c>
      <c r="Q336" s="20" t="str">
        <f>IF($A336="","",INDEX(Project_Tracker!$K$2:$K$101,INT((ROW()-6)/17)+1))</f>
        <v/>
      </c>
    </row>
    <row r="337" spans="1:17" x14ac:dyDescent="0.2">
      <c r="A337" s="20" t="str">
        <f>IF(INDEX(Project_Tracker!$AL$2:$AL$101,INT((ROW()-6)/17)+1)="","",INDEX(Project_Tracker!$AL$2:$AL$101,INT((ROW()-6)/17)+1))</f>
        <v/>
      </c>
      <c r="B337" s="21" t="str">
        <f>IF($A337="","",INDEX(Project_Tracker!$AM$2:$AM$101,INT((ROW()-6)/17)+1))</f>
        <v/>
      </c>
      <c r="C337" s="20" t="str">
        <f>IF($A337="","",INDEX(Project_Tracker!$C$2:$C$101,INT((ROW()-6)/17)+1))</f>
        <v/>
      </c>
      <c r="D337" s="6" t="str">
        <f>IF($A337="","",INDEX(Project_Tracker!$T$2:$T$101,INT((ROW()-6)/17)+1))</f>
        <v/>
      </c>
      <c r="E337" s="18">
        <f t="shared" si="25"/>
        <v>9</v>
      </c>
      <c r="F337" s="23" t="str">
        <f>IF($A337="","",INDEX('Logic &amp; Lists'!$I$4:$I$20,$E337))</f>
        <v/>
      </c>
      <c r="G337" s="18" t="str">
        <f>IF($A337="","",INDEX('Logic &amp; Lists'!$J$4:$J$20,$E337))</f>
        <v/>
      </c>
      <c r="H337" s="6" t="str">
        <f t="shared" si="26"/>
        <v/>
      </c>
      <c r="I337" s="18" t="str">
        <f t="shared" ca="1" si="27"/>
        <v/>
      </c>
      <c r="J337" s="5" t="str">
        <f t="shared" si="28"/>
        <v/>
      </c>
      <c r="K337" s="25"/>
      <c r="L337" s="5" t="str">
        <f t="shared" si="29"/>
        <v/>
      </c>
      <c r="M337" s="7"/>
      <c r="N337" s="7"/>
      <c r="O337" s="7"/>
      <c r="P337" s="20" t="str">
        <f>IF($A337="","",INDEX(Project_Tracker!$I$2:$I$101,INT((ROW()-6)/17)+1))</f>
        <v/>
      </c>
      <c r="Q337" s="20" t="str">
        <f>IF($A337="","",INDEX(Project_Tracker!$K$2:$K$101,INT((ROW()-6)/17)+1))</f>
        <v/>
      </c>
    </row>
    <row r="338" spans="1:17" x14ac:dyDescent="0.2">
      <c r="A338" s="20" t="str">
        <f>IF(INDEX(Project_Tracker!$AL$2:$AL$101,INT((ROW()-6)/17)+1)="","",INDEX(Project_Tracker!$AL$2:$AL$101,INT((ROW()-6)/17)+1))</f>
        <v/>
      </c>
      <c r="B338" s="21" t="str">
        <f>IF($A338="","",INDEX(Project_Tracker!$AM$2:$AM$101,INT((ROW()-6)/17)+1))</f>
        <v/>
      </c>
      <c r="C338" s="20" t="str">
        <f>IF($A338="","",INDEX(Project_Tracker!$C$2:$C$101,INT((ROW()-6)/17)+1))</f>
        <v/>
      </c>
      <c r="D338" s="6" t="str">
        <f>IF($A338="","",INDEX(Project_Tracker!$T$2:$T$101,INT((ROW()-6)/17)+1))</f>
        <v/>
      </c>
      <c r="E338" s="18">
        <f t="shared" si="25"/>
        <v>10</v>
      </c>
      <c r="F338" s="23" t="str">
        <f>IF($A338="","",INDEX('Logic &amp; Lists'!$I$4:$I$20,$E338))</f>
        <v/>
      </c>
      <c r="G338" s="18" t="str">
        <f>IF($A338="","",INDEX('Logic &amp; Lists'!$J$4:$J$20,$E338))</f>
        <v/>
      </c>
      <c r="H338" s="6" t="str">
        <f t="shared" si="26"/>
        <v/>
      </c>
      <c r="I338" s="18" t="str">
        <f t="shared" ca="1" si="27"/>
        <v/>
      </c>
      <c r="J338" s="5" t="str">
        <f t="shared" si="28"/>
        <v/>
      </c>
      <c r="K338" s="25"/>
      <c r="L338" s="5" t="str">
        <f t="shared" si="29"/>
        <v/>
      </c>
      <c r="M338" s="7"/>
      <c r="N338" s="7"/>
      <c r="O338" s="7"/>
      <c r="P338" s="20" t="str">
        <f>IF($A338="","",INDEX(Project_Tracker!$I$2:$I$101,INT((ROW()-6)/17)+1))</f>
        <v/>
      </c>
      <c r="Q338" s="20" t="str">
        <f>IF($A338="","",INDEX(Project_Tracker!$K$2:$K$101,INT((ROW()-6)/17)+1))</f>
        <v/>
      </c>
    </row>
    <row r="339" spans="1:17" x14ac:dyDescent="0.2">
      <c r="A339" s="20" t="str">
        <f>IF(INDEX(Project_Tracker!$AL$2:$AL$101,INT((ROW()-6)/17)+1)="","",INDEX(Project_Tracker!$AL$2:$AL$101,INT((ROW()-6)/17)+1))</f>
        <v/>
      </c>
      <c r="B339" s="21" t="str">
        <f>IF($A339="","",INDEX(Project_Tracker!$AM$2:$AM$101,INT((ROW()-6)/17)+1))</f>
        <v/>
      </c>
      <c r="C339" s="20" t="str">
        <f>IF($A339="","",INDEX(Project_Tracker!$C$2:$C$101,INT((ROW()-6)/17)+1))</f>
        <v/>
      </c>
      <c r="D339" s="6" t="str">
        <f>IF($A339="","",INDEX(Project_Tracker!$T$2:$T$101,INT((ROW()-6)/17)+1))</f>
        <v/>
      </c>
      <c r="E339" s="18">
        <f t="shared" si="25"/>
        <v>11</v>
      </c>
      <c r="F339" s="23" t="str">
        <f>IF($A339="","",INDEX('Logic &amp; Lists'!$I$4:$I$20,$E339))</f>
        <v/>
      </c>
      <c r="G339" s="18" t="str">
        <f>IF($A339="","",INDEX('Logic &amp; Lists'!$J$4:$J$20,$E339))</f>
        <v/>
      </c>
      <c r="H339" s="6" t="str">
        <f t="shared" si="26"/>
        <v/>
      </c>
      <c r="I339" s="18" t="str">
        <f t="shared" ca="1" si="27"/>
        <v/>
      </c>
      <c r="J339" s="5" t="str">
        <f t="shared" si="28"/>
        <v/>
      </c>
      <c r="K339" s="25"/>
      <c r="L339" s="5" t="str">
        <f t="shared" si="29"/>
        <v/>
      </c>
      <c r="M339" s="7"/>
      <c r="N339" s="7"/>
      <c r="O339" s="7"/>
      <c r="P339" s="20" t="str">
        <f>IF($A339="","",INDEX(Project_Tracker!$I$2:$I$101,INT((ROW()-6)/17)+1))</f>
        <v/>
      </c>
      <c r="Q339" s="20" t="str">
        <f>IF($A339="","",INDEX(Project_Tracker!$K$2:$K$101,INT((ROW()-6)/17)+1))</f>
        <v/>
      </c>
    </row>
    <row r="340" spans="1:17" x14ac:dyDescent="0.2">
      <c r="A340" s="20" t="str">
        <f>IF(INDEX(Project_Tracker!$AL$2:$AL$101,INT((ROW()-6)/17)+1)="","",INDEX(Project_Tracker!$AL$2:$AL$101,INT((ROW()-6)/17)+1))</f>
        <v/>
      </c>
      <c r="B340" s="21" t="str">
        <f>IF($A340="","",INDEX(Project_Tracker!$AM$2:$AM$101,INT((ROW()-6)/17)+1))</f>
        <v/>
      </c>
      <c r="C340" s="20" t="str">
        <f>IF($A340="","",INDEX(Project_Tracker!$C$2:$C$101,INT((ROW()-6)/17)+1))</f>
        <v/>
      </c>
      <c r="D340" s="6" t="str">
        <f>IF($A340="","",INDEX(Project_Tracker!$T$2:$T$101,INT((ROW()-6)/17)+1))</f>
        <v/>
      </c>
      <c r="E340" s="18">
        <f t="shared" si="25"/>
        <v>12</v>
      </c>
      <c r="F340" s="23" t="str">
        <f>IF($A340="","",INDEX('Logic &amp; Lists'!$I$4:$I$20,$E340))</f>
        <v/>
      </c>
      <c r="G340" s="18" t="str">
        <f>IF($A340="","",INDEX('Logic &amp; Lists'!$J$4:$J$20,$E340))</f>
        <v/>
      </c>
      <c r="H340" s="6" t="str">
        <f t="shared" si="26"/>
        <v/>
      </c>
      <c r="I340" s="18" t="str">
        <f t="shared" ca="1" si="27"/>
        <v/>
      </c>
      <c r="J340" s="5" t="str">
        <f t="shared" si="28"/>
        <v/>
      </c>
      <c r="K340" s="25"/>
      <c r="L340" s="5" t="str">
        <f t="shared" si="29"/>
        <v/>
      </c>
      <c r="M340" s="7"/>
      <c r="N340" s="7"/>
      <c r="O340" s="7"/>
      <c r="P340" s="20" t="str">
        <f>IF($A340="","",INDEX(Project_Tracker!$I$2:$I$101,INT((ROW()-6)/17)+1))</f>
        <v/>
      </c>
      <c r="Q340" s="20" t="str">
        <f>IF($A340="","",INDEX(Project_Tracker!$K$2:$K$101,INT((ROW()-6)/17)+1))</f>
        <v/>
      </c>
    </row>
    <row r="341" spans="1:17" x14ac:dyDescent="0.2">
      <c r="A341" s="20" t="str">
        <f>IF(INDEX(Project_Tracker!$AL$2:$AL$101,INT((ROW()-6)/17)+1)="","",INDEX(Project_Tracker!$AL$2:$AL$101,INT((ROW()-6)/17)+1))</f>
        <v/>
      </c>
      <c r="B341" s="21" t="str">
        <f>IF($A341="","",INDEX(Project_Tracker!$AM$2:$AM$101,INT((ROW()-6)/17)+1))</f>
        <v/>
      </c>
      <c r="C341" s="20" t="str">
        <f>IF($A341="","",INDEX(Project_Tracker!$C$2:$C$101,INT((ROW()-6)/17)+1))</f>
        <v/>
      </c>
      <c r="D341" s="6" t="str">
        <f>IF($A341="","",INDEX(Project_Tracker!$T$2:$T$101,INT((ROW()-6)/17)+1))</f>
        <v/>
      </c>
      <c r="E341" s="18">
        <f t="shared" si="25"/>
        <v>13</v>
      </c>
      <c r="F341" s="23" t="str">
        <f>IF($A341="","",INDEX('Logic &amp; Lists'!$I$4:$I$20,$E341))</f>
        <v/>
      </c>
      <c r="G341" s="18" t="str">
        <f>IF($A341="","",INDEX('Logic &amp; Lists'!$J$4:$J$20,$E341))</f>
        <v/>
      </c>
      <c r="H341" s="6" t="str">
        <f t="shared" si="26"/>
        <v/>
      </c>
      <c r="I341" s="18" t="str">
        <f t="shared" ca="1" si="27"/>
        <v/>
      </c>
      <c r="J341" s="5" t="str">
        <f t="shared" si="28"/>
        <v/>
      </c>
      <c r="K341" s="25"/>
      <c r="L341" s="5" t="str">
        <f t="shared" si="29"/>
        <v/>
      </c>
      <c r="M341" s="7"/>
      <c r="N341" s="7"/>
      <c r="O341" s="7"/>
      <c r="P341" s="20" t="str">
        <f>IF($A341="","",INDEX(Project_Tracker!$I$2:$I$101,INT((ROW()-6)/17)+1))</f>
        <v/>
      </c>
      <c r="Q341" s="20" t="str">
        <f>IF($A341="","",INDEX(Project_Tracker!$K$2:$K$101,INT((ROW()-6)/17)+1))</f>
        <v/>
      </c>
    </row>
    <row r="342" spans="1:17" x14ac:dyDescent="0.2">
      <c r="A342" s="20" t="str">
        <f>IF(INDEX(Project_Tracker!$AL$2:$AL$101,INT((ROW()-6)/17)+1)="","",INDEX(Project_Tracker!$AL$2:$AL$101,INT((ROW()-6)/17)+1))</f>
        <v/>
      </c>
      <c r="B342" s="21" t="str">
        <f>IF($A342="","",INDEX(Project_Tracker!$AM$2:$AM$101,INT((ROW()-6)/17)+1))</f>
        <v/>
      </c>
      <c r="C342" s="20" t="str">
        <f>IF($A342="","",INDEX(Project_Tracker!$C$2:$C$101,INT((ROW()-6)/17)+1))</f>
        <v/>
      </c>
      <c r="D342" s="6" t="str">
        <f>IF($A342="","",INDEX(Project_Tracker!$T$2:$T$101,INT((ROW()-6)/17)+1))</f>
        <v/>
      </c>
      <c r="E342" s="18">
        <f t="shared" si="25"/>
        <v>14</v>
      </c>
      <c r="F342" s="23" t="str">
        <f>IF($A342="","",INDEX('Logic &amp; Lists'!$I$4:$I$20,$E342))</f>
        <v/>
      </c>
      <c r="G342" s="18" t="str">
        <f>IF($A342="","",INDEX('Logic &amp; Lists'!$J$4:$J$20,$E342))</f>
        <v/>
      </c>
      <c r="H342" s="6" t="str">
        <f t="shared" si="26"/>
        <v/>
      </c>
      <c r="I342" s="18" t="str">
        <f t="shared" ca="1" si="27"/>
        <v/>
      </c>
      <c r="J342" s="5" t="str">
        <f t="shared" si="28"/>
        <v/>
      </c>
      <c r="K342" s="25"/>
      <c r="L342" s="5" t="str">
        <f t="shared" si="29"/>
        <v/>
      </c>
      <c r="M342" s="7"/>
      <c r="N342" s="7"/>
      <c r="O342" s="7"/>
      <c r="P342" s="20" t="str">
        <f>IF($A342="","",INDEX(Project_Tracker!$I$2:$I$101,INT((ROW()-6)/17)+1))</f>
        <v/>
      </c>
      <c r="Q342" s="20" t="str">
        <f>IF($A342="","",INDEX(Project_Tracker!$K$2:$K$101,INT((ROW()-6)/17)+1))</f>
        <v/>
      </c>
    </row>
    <row r="343" spans="1:17" x14ac:dyDescent="0.2">
      <c r="A343" s="20" t="str">
        <f>IF(INDEX(Project_Tracker!$AL$2:$AL$101,INT((ROW()-6)/17)+1)="","",INDEX(Project_Tracker!$AL$2:$AL$101,INT((ROW()-6)/17)+1))</f>
        <v/>
      </c>
      <c r="B343" s="21" t="str">
        <f>IF($A343="","",INDEX(Project_Tracker!$AM$2:$AM$101,INT((ROW()-6)/17)+1))</f>
        <v/>
      </c>
      <c r="C343" s="20" t="str">
        <f>IF($A343="","",INDEX(Project_Tracker!$C$2:$C$101,INT((ROW()-6)/17)+1))</f>
        <v/>
      </c>
      <c r="D343" s="6" t="str">
        <f>IF($A343="","",INDEX(Project_Tracker!$T$2:$T$101,INT((ROW()-6)/17)+1))</f>
        <v/>
      </c>
      <c r="E343" s="18">
        <f t="shared" si="25"/>
        <v>15</v>
      </c>
      <c r="F343" s="23" t="str">
        <f>IF($A343="","",INDEX('Logic &amp; Lists'!$I$4:$I$20,$E343))</f>
        <v/>
      </c>
      <c r="G343" s="18" t="str">
        <f>IF($A343="","",INDEX('Logic &amp; Lists'!$J$4:$J$20,$E343))</f>
        <v/>
      </c>
      <c r="H343" s="6" t="str">
        <f t="shared" si="26"/>
        <v/>
      </c>
      <c r="I343" s="18" t="str">
        <f t="shared" ca="1" si="27"/>
        <v/>
      </c>
      <c r="J343" s="5" t="str">
        <f t="shared" si="28"/>
        <v/>
      </c>
      <c r="K343" s="25"/>
      <c r="L343" s="5" t="str">
        <f t="shared" si="29"/>
        <v/>
      </c>
      <c r="M343" s="7"/>
      <c r="N343" s="7"/>
      <c r="O343" s="7"/>
      <c r="P343" s="20" t="str">
        <f>IF($A343="","",INDEX(Project_Tracker!$I$2:$I$101,INT((ROW()-6)/17)+1))</f>
        <v/>
      </c>
      <c r="Q343" s="20" t="str">
        <f>IF($A343="","",INDEX(Project_Tracker!$K$2:$K$101,INT((ROW()-6)/17)+1))</f>
        <v/>
      </c>
    </row>
    <row r="344" spans="1:17" x14ac:dyDescent="0.2">
      <c r="A344" s="20" t="str">
        <f>IF(INDEX(Project_Tracker!$AL$2:$AL$101,INT((ROW()-6)/17)+1)="","",INDEX(Project_Tracker!$AL$2:$AL$101,INT((ROW()-6)/17)+1))</f>
        <v/>
      </c>
      <c r="B344" s="21" t="str">
        <f>IF($A344="","",INDEX(Project_Tracker!$AM$2:$AM$101,INT((ROW()-6)/17)+1))</f>
        <v/>
      </c>
      <c r="C344" s="20" t="str">
        <f>IF($A344="","",INDEX(Project_Tracker!$C$2:$C$101,INT((ROW()-6)/17)+1))</f>
        <v/>
      </c>
      <c r="D344" s="6" t="str">
        <f>IF($A344="","",INDEX(Project_Tracker!$T$2:$T$101,INT((ROW()-6)/17)+1))</f>
        <v/>
      </c>
      <c r="E344" s="18">
        <f t="shared" si="25"/>
        <v>16</v>
      </c>
      <c r="F344" s="23" t="str">
        <f>IF($A344="","",INDEX('Logic &amp; Lists'!$I$4:$I$20,$E344))</f>
        <v/>
      </c>
      <c r="G344" s="18" t="str">
        <f>IF($A344="","",INDEX('Logic &amp; Lists'!$J$4:$J$20,$E344))</f>
        <v/>
      </c>
      <c r="H344" s="6" t="str">
        <f t="shared" si="26"/>
        <v/>
      </c>
      <c r="I344" s="18" t="str">
        <f t="shared" ca="1" si="27"/>
        <v/>
      </c>
      <c r="J344" s="5" t="str">
        <f t="shared" si="28"/>
        <v/>
      </c>
      <c r="K344" s="25"/>
      <c r="L344" s="5" t="str">
        <f t="shared" si="29"/>
        <v/>
      </c>
      <c r="M344" s="7"/>
      <c r="N344" s="7"/>
      <c r="O344" s="7"/>
      <c r="P344" s="20" t="str">
        <f>IF($A344="","",INDEX(Project_Tracker!$I$2:$I$101,INT((ROW()-6)/17)+1))</f>
        <v/>
      </c>
      <c r="Q344" s="20" t="str">
        <f>IF($A344="","",INDEX(Project_Tracker!$K$2:$K$101,INT((ROW()-6)/17)+1))</f>
        <v/>
      </c>
    </row>
    <row r="345" spans="1:17" x14ac:dyDescent="0.2">
      <c r="A345" s="20" t="str">
        <f>IF(INDEX(Project_Tracker!$AL$2:$AL$101,INT((ROW()-6)/17)+1)="","",INDEX(Project_Tracker!$AL$2:$AL$101,INT((ROW()-6)/17)+1))</f>
        <v/>
      </c>
      <c r="B345" s="21" t="str">
        <f>IF($A345="","",INDEX(Project_Tracker!$AM$2:$AM$101,INT((ROW()-6)/17)+1))</f>
        <v/>
      </c>
      <c r="C345" s="20" t="str">
        <f>IF($A345="","",INDEX(Project_Tracker!$C$2:$C$101,INT((ROW()-6)/17)+1))</f>
        <v/>
      </c>
      <c r="D345" s="6" t="str">
        <f>IF($A345="","",INDEX(Project_Tracker!$T$2:$T$101,INT((ROW()-6)/17)+1))</f>
        <v/>
      </c>
      <c r="E345" s="18">
        <f t="shared" si="25"/>
        <v>17</v>
      </c>
      <c r="F345" s="23" t="str">
        <f>IF($A345="","",INDEX('Logic &amp; Lists'!$I$4:$I$20,$E345))</f>
        <v/>
      </c>
      <c r="G345" s="18" t="str">
        <f>IF($A345="","",INDEX('Logic &amp; Lists'!$J$4:$J$20,$E345))</f>
        <v/>
      </c>
      <c r="H345" s="6" t="str">
        <f t="shared" si="26"/>
        <v/>
      </c>
      <c r="I345" s="18" t="str">
        <f t="shared" ca="1" si="27"/>
        <v/>
      </c>
      <c r="J345" s="5" t="str">
        <f t="shared" si="28"/>
        <v/>
      </c>
      <c r="K345" s="25"/>
      <c r="L345" s="5" t="str">
        <f t="shared" si="29"/>
        <v/>
      </c>
      <c r="M345" s="7"/>
      <c r="N345" s="7"/>
      <c r="O345" s="7"/>
      <c r="P345" s="20" t="str">
        <f>IF($A345="","",INDEX(Project_Tracker!$I$2:$I$101,INT((ROW()-6)/17)+1))</f>
        <v/>
      </c>
      <c r="Q345" s="20" t="str">
        <f>IF($A345="","",INDEX(Project_Tracker!$K$2:$K$101,INT((ROW()-6)/17)+1))</f>
        <v/>
      </c>
    </row>
    <row r="346" spans="1:17" x14ac:dyDescent="0.2">
      <c r="A346" s="20" t="str">
        <f>IF(INDEX(Project_Tracker!$AL$2:$AL$101,INT((ROW()-6)/17)+1)="","",INDEX(Project_Tracker!$AL$2:$AL$101,INT((ROW()-6)/17)+1))</f>
        <v/>
      </c>
      <c r="B346" s="21" t="str">
        <f>IF($A346="","",INDEX(Project_Tracker!$AM$2:$AM$101,INT((ROW()-6)/17)+1))</f>
        <v/>
      </c>
      <c r="C346" s="20" t="str">
        <f>IF($A346="","",INDEX(Project_Tracker!$C$2:$C$101,INT((ROW()-6)/17)+1))</f>
        <v/>
      </c>
      <c r="D346" s="6" t="str">
        <f>IF($A346="","",INDEX(Project_Tracker!$T$2:$T$101,INT((ROW()-6)/17)+1))</f>
        <v/>
      </c>
      <c r="E346" s="18">
        <f t="shared" si="25"/>
        <v>1</v>
      </c>
      <c r="F346" s="23" t="str">
        <f>IF($A346="","",INDEX('Logic &amp; Lists'!$I$4:$I$20,$E346))</f>
        <v/>
      </c>
      <c r="G346" s="18" t="str">
        <f>IF($A346="","",INDEX('Logic &amp; Lists'!$J$4:$J$20,$E346))</f>
        <v/>
      </c>
      <c r="H346" s="6" t="str">
        <f t="shared" si="26"/>
        <v/>
      </c>
      <c r="I346" s="18" t="str">
        <f t="shared" ca="1" si="27"/>
        <v/>
      </c>
      <c r="J346" s="5" t="str">
        <f t="shared" si="28"/>
        <v/>
      </c>
      <c r="K346" s="25"/>
      <c r="L346" s="5" t="str">
        <f t="shared" si="29"/>
        <v/>
      </c>
      <c r="M346" s="7"/>
      <c r="N346" s="7"/>
      <c r="O346" s="7"/>
      <c r="P346" s="20" t="str">
        <f>IF($A346="","",INDEX(Project_Tracker!$I$2:$I$101,INT((ROW()-6)/17)+1))</f>
        <v/>
      </c>
      <c r="Q346" s="20" t="str">
        <f>IF($A346="","",INDEX(Project_Tracker!$K$2:$K$101,INT((ROW()-6)/17)+1))</f>
        <v/>
      </c>
    </row>
    <row r="347" spans="1:17" x14ac:dyDescent="0.2">
      <c r="A347" s="20" t="str">
        <f>IF(INDEX(Project_Tracker!$AL$2:$AL$101,INT((ROW()-6)/17)+1)="","",INDEX(Project_Tracker!$AL$2:$AL$101,INT((ROW()-6)/17)+1))</f>
        <v/>
      </c>
      <c r="B347" s="21" t="str">
        <f>IF($A347="","",INDEX(Project_Tracker!$AM$2:$AM$101,INT((ROW()-6)/17)+1))</f>
        <v/>
      </c>
      <c r="C347" s="20" t="str">
        <f>IF($A347="","",INDEX(Project_Tracker!$C$2:$C$101,INT((ROW()-6)/17)+1))</f>
        <v/>
      </c>
      <c r="D347" s="6" t="str">
        <f>IF($A347="","",INDEX(Project_Tracker!$T$2:$T$101,INT((ROW()-6)/17)+1))</f>
        <v/>
      </c>
      <c r="E347" s="18">
        <f t="shared" si="25"/>
        <v>2</v>
      </c>
      <c r="F347" s="23" t="str">
        <f>IF($A347="","",INDEX('Logic &amp; Lists'!$I$4:$I$20,$E347))</f>
        <v/>
      </c>
      <c r="G347" s="18" t="str">
        <f>IF($A347="","",INDEX('Logic &amp; Lists'!$J$4:$J$20,$E347))</f>
        <v/>
      </c>
      <c r="H347" s="6" t="str">
        <f t="shared" si="26"/>
        <v/>
      </c>
      <c r="I347" s="18" t="str">
        <f t="shared" ca="1" si="27"/>
        <v/>
      </c>
      <c r="J347" s="5" t="str">
        <f t="shared" si="28"/>
        <v/>
      </c>
      <c r="K347" s="25"/>
      <c r="L347" s="5" t="str">
        <f t="shared" si="29"/>
        <v/>
      </c>
      <c r="M347" s="7"/>
      <c r="N347" s="7"/>
      <c r="O347" s="7"/>
      <c r="P347" s="20" t="str">
        <f>IF($A347="","",INDEX(Project_Tracker!$I$2:$I$101,INT((ROW()-6)/17)+1))</f>
        <v/>
      </c>
      <c r="Q347" s="20" t="str">
        <f>IF($A347="","",INDEX(Project_Tracker!$K$2:$K$101,INT((ROW()-6)/17)+1))</f>
        <v/>
      </c>
    </row>
    <row r="348" spans="1:17" x14ac:dyDescent="0.2">
      <c r="A348" s="20" t="str">
        <f>IF(INDEX(Project_Tracker!$AL$2:$AL$101,INT((ROW()-6)/17)+1)="","",INDEX(Project_Tracker!$AL$2:$AL$101,INT((ROW()-6)/17)+1))</f>
        <v/>
      </c>
      <c r="B348" s="21" t="str">
        <f>IF($A348="","",INDEX(Project_Tracker!$AM$2:$AM$101,INT((ROW()-6)/17)+1))</f>
        <v/>
      </c>
      <c r="C348" s="20" t="str">
        <f>IF($A348="","",INDEX(Project_Tracker!$C$2:$C$101,INT((ROW()-6)/17)+1))</f>
        <v/>
      </c>
      <c r="D348" s="6" t="str">
        <f>IF($A348="","",INDEX(Project_Tracker!$T$2:$T$101,INT((ROW()-6)/17)+1))</f>
        <v/>
      </c>
      <c r="E348" s="18">
        <f t="shared" si="25"/>
        <v>3</v>
      </c>
      <c r="F348" s="23" t="str">
        <f>IF($A348="","",INDEX('Logic &amp; Lists'!$I$4:$I$20,$E348))</f>
        <v/>
      </c>
      <c r="G348" s="18" t="str">
        <f>IF($A348="","",INDEX('Logic &amp; Lists'!$J$4:$J$20,$E348))</f>
        <v/>
      </c>
      <c r="H348" s="6" t="str">
        <f t="shared" si="26"/>
        <v/>
      </c>
      <c r="I348" s="18" t="str">
        <f t="shared" ca="1" si="27"/>
        <v/>
      </c>
      <c r="J348" s="5" t="str">
        <f t="shared" si="28"/>
        <v/>
      </c>
      <c r="K348" s="25"/>
      <c r="L348" s="5" t="str">
        <f t="shared" si="29"/>
        <v/>
      </c>
      <c r="M348" s="7"/>
      <c r="N348" s="7"/>
      <c r="O348" s="7"/>
      <c r="P348" s="20" t="str">
        <f>IF($A348="","",INDEX(Project_Tracker!$I$2:$I$101,INT((ROW()-6)/17)+1))</f>
        <v/>
      </c>
      <c r="Q348" s="20" t="str">
        <f>IF($A348="","",INDEX(Project_Tracker!$K$2:$K$101,INT((ROW()-6)/17)+1))</f>
        <v/>
      </c>
    </row>
    <row r="349" spans="1:17" x14ac:dyDescent="0.2">
      <c r="A349" s="20" t="str">
        <f>IF(INDEX(Project_Tracker!$AL$2:$AL$101,INT((ROW()-6)/17)+1)="","",INDEX(Project_Tracker!$AL$2:$AL$101,INT((ROW()-6)/17)+1))</f>
        <v/>
      </c>
      <c r="B349" s="21" t="str">
        <f>IF($A349="","",INDEX(Project_Tracker!$AM$2:$AM$101,INT((ROW()-6)/17)+1))</f>
        <v/>
      </c>
      <c r="C349" s="20" t="str">
        <f>IF($A349="","",INDEX(Project_Tracker!$C$2:$C$101,INT((ROW()-6)/17)+1))</f>
        <v/>
      </c>
      <c r="D349" s="6" t="str">
        <f>IF($A349="","",INDEX(Project_Tracker!$T$2:$T$101,INT((ROW()-6)/17)+1))</f>
        <v/>
      </c>
      <c r="E349" s="18">
        <f t="shared" si="25"/>
        <v>4</v>
      </c>
      <c r="F349" s="23" t="str">
        <f>IF($A349="","",INDEX('Logic &amp; Lists'!$I$4:$I$20,$E349))</f>
        <v/>
      </c>
      <c r="G349" s="18" t="str">
        <f>IF($A349="","",INDEX('Logic &amp; Lists'!$J$4:$J$20,$E349))</f>
        <v/>
      </c>
      <c r="H349" s="6" t="str">
        <f t="shared" si="26"/>
        <v/>
      </c>
      <c r="I349" s="18" t="str">
        <f t="shared" ca="1" si="27"/>
        <v/>
      </c>
      <c r="J349" s="5" t="str">
        <f t="shared" si="28"/>
        <v/>
      </c>
      <c r="K349" s="25"/>
      <c r="L349" s="5" t="str">
        <f t="shared" si="29"/>
        <v/>
      </c>
      <c r="M349" s="7"/>
      <c r="N349" s="7"/>
      <c r="O349" s="7"/>
      <c r="P349" s="20" t="str">
        <f>IF($A349="","",INDEX(Project_Tracker!$I$2:$I$101,INT((ROW()-6)/17)+1))</f>
        <v/>
      </c>
      <c r="Q349" s="20" t="str">
        <f>IF($A349="","",INDEX(Project_Tracker!$K$2:$K$101,INT((ROW()-6)/17)+1))</f>
        <v/>
      </c>
    </row>
    <row r="350" spans="1:17" x14ac:dyDescent="0.2">
      <c r="A350" s="20" t="str">
        <f>IF(INDEX(Project_Tracker!$AL$2:$AL$101,INT((ROW()-6)/17)+1)="","",INDEX(Project_Tracker!$AL$2:$AL$101,INT((ROW()-6)/17)+1))</f>
        <v/>
      </c>
      <c r="B350" s="21" t="str">
        <f>IF($A350="","",INDEX(Project_Tracker!$AM$2:$AM$101,INT((ROW()-6)/17)+1))</f>
        <v/>
      </c>
      <c r="C350" s="20" t="str">
        <f>IF($A350="","",INDEX(Project_Tracker!$C$2:$C$101,INT((ROW()-6)/17)+1))</f>
        <v/>
      </c>
      <c r="D350" s="6" t="str">
        <f>IF($A350="","",INDEX(Project_Tracker!$T$2:$T$101,INT((ROW()-6)/17)+1))</f>
        <v/>
      </c>
      <c r="E350" s="18">
        <f t="shared" si="25"/>
        <v>5</v>
      </c>
      <c r="F350" s="23" t="str">
        <f>IF($A350="","",INDEX('Logic &amp; Lists'!$I$4:$I$20,$E350))</f>
        <v/>
      </c>
      <c r="G350" s="18" t="str">
        <f>IF($A350="","",INDEX('Logic &amp; Lists'!$J$4:$J$20,$E350))</f>
        <v/>
      </c>
      <c r="H350" s="6" t="str">
        <f t="shared" si="26"/>
        <v/>
      </c>
      <c r="I350" s="18" t="str">
        <f t="shared" ca="1" si="27"/>
        <v/>
      </c>
      <c r="J350" s="5" t="str">
        <f t="shared" si="28"/>
        <v/>
      </c>
      <c r="K350" s="25"/>
      <c r="L350" s="5" t="str">
        <f t="shared" si="29"/>
        <v/>
      </c>
      <c r="M350" s="7"/>
      <c r="N350" s="7"/>
      <c r="O350" s="7"/>
      <c r="P350" s="20" t="str">
        <f>IF($A350="","",INDEX(Project_Tracker!$I$2:$I$101,INT((ROW()-6)/17)+1))</f>
        <v/>
      </c>
      <c r="Q350" s="20" t="str">
        <f>IF($A350="","",INDEX(Project_Tracker!$K$2:$K$101,INT((ROW()-6)/17)+1))</f>
        <v/>
      </c>
    </row>
    <row r="351" spans="1:17" x14ac:dyDescent="0.2">
      <c r="A351" s="20" t="str">
        <f>IF(INDEX(Project_Tracker!$AL$2:$AL$101,INT((ROW()-6)/17)+1)="","",INDEX(Project_Tracker!$AL$2:$AL$101,INT((ROW()-6)/17)+1))</f>
        <v/>
      </c>
      <c r="B351" s="21" t="str">
        <f>IF($A351="","",INDEX(Project_Tracker!$AM$2:$AM$101,INT((ROW()-6)/17)+1))</f>
        <v/>
      </c>
      <c r="C351" s="20" t="str">
        <f>IF($A351="","",INDEX(Project_Tracker!$C$2:$C$101,INT((ROW()-6)/17)+1))</f>
        <v/>
      </c>
      <c r="D351" s="6" t="str">
        <f>IF($A351="","",INDEX(Project_Tracker!$T$2:$T$101,INT((ROW()-6)/17)+1))</f>
        <v/>
      </c>
      <c r="E351" s="18">
        <f t="shared" si="25"/>
        <v>6</v>
      </c>
      <c r="F351" s="23" t="str">
        <f>IF($A351="","",INDEX('Logic &amp; Lists'!$I$4:$I$20,$E351))</f>
        <v/>
      </c>
      <c r="G351" s="18" t="str">
        <f>IF($A351="","",INDEX('Logic &amp; Lists'!$J$4:$J$20,$E351))</f>
        <v/>
      </c>
      <c r="H351" s="6" t="str">
        <f t="shared" si="26"/>
        <v/>
      </c>
      <c r="I351" s="18" t="str">
        <f t="shared" ca="1" si="27"/>
        <v/>
      </c>
      <c r="J351" s="5" t="str">
        <f t="shared" si="28"/>
        <v/>
      </c>
      <c r="K351" s="25"/>
      <c r="L351" s="5" t="str">
        <f t="shared" si="29"/>
        <v/>
      </c>
      <c r="M351" s="7"/>
      <c r="N351" s="7"/>
      <c r="O351" s="7"/>
      <c r="P351" s="20" t="str">
        <f>IF($A351="","",INDEX(Project_Tracker!$I$2:$I$101,INT((ROW()-6)/17)+1))</f>
        <v/>
      </c>
      <c r="Q351" s="20" t="str">
        <f>IF($A351="","",INDEX(Project_Tracker!$K$2:$K$101,INT((ROW()-6)/17)+1))</f>
        <v/>
      </c>
    </row>
    <row r="352" spans="1:17" x14ac:dyDescent="0.2">
      <c r="A352" s="20" t="str">
        <f>IF(INDEX(Project_Tracker!$AL$2:$AL$101,INT((ROW()-6)/17)+1)="","",INDEX(Project_Tracker!$AL$2:$AL$101,INT((ROW()-6)/17)+1))</f>
        <v/>
      </c>
      <c r="B352" s="21" t="str">
        <f>IF($A352="","",INDEX(Project_Tracker!$AM$2:$AM$101,INT((ROW()-6)/17)+1))</f>
        <v/>
      </c>
      <c r="C352" s="20" t="str">
        <f>IF($A352="","",INDEX(Project_Tracker!$C$2:$C$101,INT((ROW()-6)/17)+1))</f>
        <v/>
      </c>
      <c r="D352" s="6" t="str">
        <f>IF($A352="","",INDEX(Project_Tracker!$T$2:$T$101,INT((ROW()-6)/17)+1))</f>
        <v/>
      </c>
      <c r="E352" s="18">
        <f t="shared" si="25"/>
        <v>7</v>
      </c>
      <c r="F352" s="23" t="str">
        <f>IF($A352="","",INDEX('Logic &amp; Lists'!$I$4:$I$20,$E352))</f>
        <v/>
      </c>
      <c r="G352" s="18" t="str">
        <f>IF($A352="","",INDEX('Logic &amp; Lists'!$J$4:$J$20,$E352))</f>
        <v/>
      </c>
      <c r="H352" s="6" t="str">
        <f t="shared" si="26"/>
        <v/>
      </c>
      <c r="I352" s="18" t="str">
        <f t="shared" ca="1" si="27"/>
        <v/>
      </c>
      <c r="J352" s="5" t="str">
        <f t="shared" si="28"/>
        <v/>
      </c>
      <c r="K352" s="25"/>
      <c r="L352" s="5" t="str">
        <f t="shared" si="29"/>
        <v/>
      </c>
      <c r="M352" s="7"/>
      <c r="N352" s="7"/>
      <c r="O352" s="7"/>
      <c r="P352" s="20" t="str">
        <f>IF($A352="","",INDEX(Project_Tracker!$I$2:$I$101,INT((ROW()-6)/17)+1))</f>
        <v/>
      </c>
      <c r="Q352" s="20" t="str">
        <f>IF($A352="","",INDEX(Project_Tracker!$K$2:$K$101,INT((ROW()-6)/17)+1))</f>
        <v/>
      </c>
    </row>
    <row r="353" spans="1:17" x14ac:dyDescent="0.2">
      <c r="A353" s="20" t="str">
        <f>IF(INDEX(Project_Tracker!$AL$2:$AL$101,INT((ROW()-6)/17)+1)="","",INDEX(Project_Tracker!$AL$2:$AL$101,INT((ROW()-6)/17)+1))</f>
        <v/>
      </c>
      <c r="B353" s="21" t="str">
        <f>IF($A353="","",INDEX(Project_Tracker!$AM$2:$AM$101,INT((ROW()-6)/17)+1))</f>
        <v/>
      </c>
      <c r="C353" s="20" t="str">
        <f>IF($A353="","",INDEX(Project_Tracker!$C$2:$C$101,INT((ROW()-6)/17)+1))</f>
        <v/>
      </c>
      <c r="D353" s="6" t="str">
        <f>IF($A353="","",INDEX(Project_Tracker!$T$2:$T$101,INT((ROW()-6)/17)+1))</f>
        <v/>
      </c>
      <c r="E353" s="18">
        <f t="shared" si="25"/>
        <v>8</v>
      </c>
      <c r="F353" s="23" t="str">
        <f>IF($A353="","",INDEX('Logic &amp; Lists'!$I$4:$I$20,$E353))</f>
        <v/>
      </c>
      <c r="G353" s="18" t="str">
        <f>IF($A353="","",INDEX('Logic &amp; Lists'!$J$4:$J$20,$E353))</f>
        <v/>
      </c>
      <c r="H353" s="6" t="str">
        <f t="shared" si="26"/>
        <v/>
      </c>
      <c r="I353" s="18" t="str">
        <f t="shared" ca="1" si="27"/>
        <v/>
      </c>
      <c r="J353" s="5" t="str">
        <f t="shared" si="28"/>
        <v/>
      </c>
      <c r="K353" s="25"/>
      <c r="L353" s="5" t="str">
        <f t="shared" si="29"/>
        <v/>
      </c>
      <c r="M353" s="7"/>
      <c r="N353" s="7"/>
      <c r="O353" s="7"/>
      <c r="P353" s="20" t="str">
        <f>IF($A353="","",INDEX(Project_Tracker!$I$2:$I$101,INT((ROW()-6)/17)+1))</f>
        <v/>
      </c>
      <c r="Q353" s="20" t="str">
        <f>IF($A353="","",INDEX(Project_Tracker!$K$2:$K$101,INT((ROW()-6)/17)+1))</f>
        <v/>
      </c>
    </row>
    <row r="354" spans="1:17" x14ac:dyDescent="0.2">
      <c r="A354" s="20" t="str">
        <f>IF(INDEX(Project_Tracker!$AL$2:$AL$101,INT((ROW()-6)/17)+1)="","",INDEX(Project_Tracker!$AL$2:$AL$101,INT((ROW()-6)/17)+1))</f>
        <v/>
      </c>
      <c r="B354" s="21" t="str">
        <f>IF($A354="","",INDEX(Project_Tracker!$AM$2:$AM$101,INT((ROW()-6)/17)+1))</f>
        <v/>
      </c>
      <c r="C354" s="20" t="str">
        <f>IF($A354="","",INDEX(Project_Tracker!$C$2:$C$101,INT((ROW()-6)/17)+1))</f>
        <v/>
      </c>
      <c r="D354" s="6" t="str">
        <f>IF($A354="","",INDEX(Project_Tracker!$T$2:$T$101,INT((ROW()-6)/17)+1))</f>
        <v/>
      </c>
      <c r="E354" s="18">
        <f t="shared" si="25"/>
        <v>9</v>
      </c>
      <c r="F354" s="23" t="str">
        <f>IF($A354="","",INDEX('Logic &amp; Lists'!$I$4:$I$20,$E354))</f>
        <v/>
      </c>
      <c r="G354" s="18" t="str">
        <f>IF($A354="","",INDEX('Logic &amp; Lists'!$J$4:$J$20,$E354))</f>
        <v/>
      </c>
      <c r="H354" s="6" t="str">
        <f t="shared" si="26"/>
        <v/>
      </c>
      <c r="I354" s="18" t="str">
        <f t="shared" ca="1" si="27"/>
        <v/>
      </c>
      <c r="J354" s="5" t="str">
        <f t="shared" si="28"/>
        <v/>
      </c>
      <c r="K354" s="25"/>
      <c r="L354" s="5" t="str">
        <f t="shared" si="29"/>
        <v/>
      </c>
      <c r="M354" s="7"/>
      <c r="N354" s="7"/>
      <c r="O354" s="7"/>
      <c r="P354" s="20" t="str">
        <f>IF($A354="","",INDEX(Project_Tracker!$I$2:$I$101,INT((ROW()-6)/17)+1))</f>
        <v/>
      </c>
      <c r="Q354" s="20" t="str">
        <f>IF($A354="","",INDEX(Project_Tracker!$K$2:$K$101,INT((ROW()-6)/17)+1))</f>
        <v/>
      </c>
    </row>
    <row r="355" spans="1:17" x14ac:dyDescent="0.2">
      <c r="A355" s="20" t="str">
        <f>IF(INDEX(Project_Tracker!$AL$2:$AL$101,INT((ROW()-6)/17)+1)="","",INDEX(Project_Tracker!$AL$2:$AL$101,INT((ROW()-6)/17)+1))</f>
        <v/>
      </c>
      <c r="B355" s="21" t="str">
        <f>IF($A355="","",INDEX(Project_Tracker!$AM$2:$AM$101,INT((ROW()-6)/17)+1))</f>
        <v/>
      </c>
      <c r="C355" s="20" t="str">
        <f>IF($A355="","",INDEX(Project_Tracker!$C$2:$C$101,INT((ROW()-6)/17)+1))</f>
        <v/>
      </c>
      <c r="D355" s="6" t="str">
        <f>IF($A355="","",INDEX(Project_Tracker!$T$2:$T$101,INT((ROW()-6)/17)+1))</f>
        <v/>
      </c>
      <c r="E355" s="18">
        <f t="shared" si="25"/>
        <v>10</v>
      </c>
      <c r="F355" s="23" t="str">
        <f>IF($A355="","",INDEX('Logic &amp; Lists'!$I$4:$I$20,$E355))</f>
        <v/>
      </c>
      <c r="G355" s="18" t="str">
        <f>IF($A355="","",INDEX('Logic &amp; Lists'!$J$4:$J$20,$E355))</f>
        <v/>
      </c>
      <c r="H355" s="6" t="str">
        <f t="shared" si="26"/>
        <v/>
      </c>
      <c r="I355" s="18" t="str">
        <f t="shared" ca="1" si="27"/>
        <v/>
      </c>
      <c r="J355" s="5" t="str">
        <f t="shared" si="28"/>
        <v/>
      </c>
      <c r="K355" s="25"/>
      <c r="L355" s="5" t="str">
        <f t="shared" si="29"/>
        <v/>
      </c>
      <c r="M355" s="7"/>
      <c r="N355" s="7"/>
      <c r="O355" s="7"/>
      <c r="P355" s="20" t="str">
        <f>IF($A355="","",INDEX(Project_Tracker!$I$2:$I$101,INT((ROW()-6)/17)+1))</f>
        <v/>
      </c>
      <c r="Q355" s="20" t="str">
        <f>IF($A355="","",INDEX(Project_Tracker!$K$2:$K$101,INT((ROW()-6)/17)+1))</f>
        <v/>
      </c>
    </row>
    <row r="356" spans="1:17" x14ac:dyDescent="0.2">
      <c r="A356" s="20" t="str">
        <f>IF(INDEX(Project_Tracker!$AL$2:$AL$101,INT((ROW()-6)/17)+1)="","",INDEX(Project_Tracker!$AL$2:$AL$101,INT((ROW()-6)/17)+1))</f>
        <v/>
      </c>
      <c r="B356" s="21" t="str">
        <f>IF($A356="","",INDEX(Project_Tracker!$AM$2:$AM$101,INT((ROW()-6)/17)+1))</f>
        <v/>
      </c>
      <c r="C356" s="20" t="str">
        <f>IF($A356="","",INDEX(Project_Tracker!$C$2:$C$101,INT((ROW()-6)/17)+1))</f>
        <v/>
      </c>
      <c r="D356" s="6" t="str">
        <f>IF($A356="","",INDEX(Project_Tracker!$T$2:$T$101,INT((ROW()-6)/17)+1))</f>
        <v/>
      </c>
      <c r="E356" s="18">
        <f t="shared" si="25"/>
        <v>11</v>
      </c>
      <c r="F356" s="23" t="str">
        <f>IF($A356="","",INDEX('Logic &amp; Lists'!$I$4:$I$20,$E356))</f>
        <v/>
      </c>
      <c r="G356" s="18" t="str">
        <f>IF($A356="","",INDEX('Logic &amp; Lists'!$J$4:$J$20,$E356))</f>
        <v/>
      </c>
      <c r="H356" s="6" t="str">
        <f t="shared" si="26"/>
        <v/>
      </c>
      <c r="I356" s="18" t="str">
        <f t="shared" ca="1" si="27"/>
        <v/>
      </c>
      <c r="J356" s="5" t="str">
        <f t="shared" si="28"/>
        <v/>
      </c>
      <c r="K356" s="25"/>
      <c r="L356" s="5" t="str">
        <f t="shared" si="29"/>
        <v/>
      </c>
      <c r="M356" s="7"/>
      <c r="N356" s="7"/>
      <c r="O356" s="7"/>
      <c r="P356" s="20" t="str">
        <f>IF($A356="","",INDEX(Project_Tracker!$I$2:$I$101,INT((ROW()-6)/17)+1))</f>
        <v/>
      </c>
      <c r="Q356" s="20" t="str">
        <f>IF($A356="","",INDEX(Project_Tracker!$K$2:$K$101,INT((ROW()-6)/17)+1))</f>
        <v/>
      </c>
    </row>
    <row r="357" spans="1:17" x14ac:dyDescent="0.2">
      <c r="A357" s="20" t="str">
        <f>IF(INDEX(Project_Tracker!$AL$2:$AL$101,INT((ROW()-6)/17)+1)="","",INDEX(Project_Tracker!$AL$2:$AL$101,INT((ROW()-6)/17)+1))</f>
        <v/>
      </c>
      <c r="B357" s="21" t="str">
        <f>IF($A357="","",INDEX(Project_Tracker!$AM$2:$AM$101,INT((ROW()-6)/17)+1))</f>
        <v/>
      </c>
      <c r="C357" s="20" t="str">
        <f>IF($A357="","",INDEX(Project_Tracker!$C$2:$C$101,INT((ROW()-6)/17)+1))</f>
        <v/>
      </c>
      <c r="D357" s="6" t="str">
        <f>IF($A357="","",INDEX(Project_Tracker!$T$2:$T$101,INT((ROW()-6)/17)+1))</f>
        <v/>
      </c>
      <c r="E357" s="18">
        <f t="shared" si="25"/>
        <v>12</v>
      </c>
      <c r="F357" s="23" t="str">
        <f>IF($A357="","",INDEX('Logic &amp; Lists'!$I$4:$I$20,$E357))</f>
        <v/>
      </c>
      <c r="G357" s="18" t="str">
        <f>IF($A357="","",INDEX('Logic &amp; Lists'!$J$4:$J$20,$E357))</f>
        <v/>
      </c>
      <c r="H357" s="6" t="str">
        <f t="shared" si="26"/>
        <v/>
      </c>
      <c r="I357" s="18" t="str">
        <f t="shared" ca="1" si="27"/>
        <v/>
      </c>
      <c r="J357" s="5" t="str">
        <f t="shared" si="28"/>
        <v/>
      </c>
      <c r="K357" s="25"/>
      <c r="L357" s="5" t="str">
        <f t="shared" si="29"/>
        <v/>
      </c>
      <c r="M357" s="7"/>
      <c r="N357" s="7"/>
      <c r="O357" s="7"/>
      <c r="P357" s="20" t="str">
        <f>IF($A357="","",INDEX(Project_Tracker!$I$2:$I$101,INT((ROW()-6)/17)+1))</f>
        <v/>
      </c>
      <c r="Q357" s="20" t="str">
        <f>IF($A357="","",INDEX(Project_Tracker!$K$2:$K$101,INT((ROW()-6)/17)+1))</f>
        <v/>
      </c>
    </row>
    <row r="358" spans="1:17" x14ac:dyDescent="0.2">
      <c r="A358" s="20" t="str">
        <f>IF(INDEX(Project_Tracker!$AL$2:$AL$101,INT((ROW()-6)/17)+1)="","",INDEX(Project_Tracker!$AL$2:$AL$101,INT((ROW()-6)/17)+1))</f>
        <v/>
      </c>
      <c r="B358" s="21" t="str">
        <f>IF($A358="","",INDEX(Project_Tracker!$AM$2:$AM$101,INT((ROW()-6)/17)+1))</f>
        <v/>
      </c>
      <c r="C358" s="20" t="str">
        <f>IF($A358="","",INDEX(Project_Tracker!$C$2:$C$101,INT((ROW()-6)/17)+1))</f>
        <v/>
      </c>
      <c r="D358" s="6" t="str">
        <f>IF($A358="","",INDEX(Project_Tracker!$T$2:$T$101,INT((ROW()-6)/17)+1))</f>
        <v/>
      </c>
      <c r="E358" s="18">
        <f t="shared" si="25"/>
        <v>13</v>
      </c>
      <c r="F358" s="23" t="str">
        <f>IF($A358="","",INDEX('Logic &amp; Lists'!$I$4:$I$20,$E358))</f>
        <v/>
      </c>
      <c r="G358" s="18" t="str">
        <f>IF($A358="","",INDEX('Logic &amp; Lists'!$J$4:$J$20,$E358))</f>
        <v/>
      </c>
      <c r="H358" s="6" t="str">
        <f t="shared" si="26"/>
        <v/>
      </c>
      <c r="I358" s="18" t="str">
        <f t="shared" ca="1" si="27"/>
        <v/>
      </c>
      <c r="J358" s="5" t="str">
        <f t="shared" si="28"/>
        <v/>
      </c>
      <c r="K358" s="25"/>
      <c r="L358" s="5" t="str">
        <f t="shared" si="29"/>
        <v/>
      </c>
      <c r="M358" s="7"/>
      <c r="N358" s="7"/>
      <c r="O358" s="7"/>
      <c r="P358" s="20" t="str">
        <f>IF($A358="","",INDEX(Project_Tracker!$I$2:$I$101,INT((ROW()-6)/17)+1))</f>
        <v/>
      </c>
      <c r="Q358" s="20" t="str">
        <f>IF($A358="","",INDEX(Project_Tracker!$K$2:$K$101,INT((ROW()-6)/17)+1))</f>
        <v/>
      </c>
    </row>
    <row r="359" spans="1:17" x14ac:dyDescent="0.2">
      <c r="A359" s="20" t="str">
        <f>IF(INDEX(Project_Tracker!$AL$2:$AL$101,INT((ROW()-6)/17)+1)="","",INDEX(Project_Tracker!$AL$2:$AL$101,INT((ROW()-6)/17)+1))</f>
        <v/>
      </c>
      <c r="B359" s="21" t="str">
        <f>IF($A359="","",INDEX(Project_Tracker!$AM$2:$AM$101,INT((ROW()-6)/17)+1))</f>
        <v/>
      </c>
      <c r="C359" s="20" t="str">
        <f>IF($A359="","",INDEX(Project_Tracker!$C$2:$C$101,INT((ROW()-6)/17)+1))</f>
        <v/>
      </c>
      <c r="D359" s="6" t="str">
        <f>IF($A359="","",INDEX(Project_Tracker!$T$2:$T$101,INT((ROW()-6)/17)+1))</f>
        <v/>
      </c>
      <c r="E359" s="18">
        <f t="shared" si="25"/>
        <v>14</v>
      </c>
      <c r="F359" s="23" t="str">
        <f>IF($A359="","",INDEX('Logic &amp; Lists'!$I$4:$I$20,$E359))</f>
        <v/>
      </c>
      <c r="G359" s="18" t="str">
        <f>IF($A359="","",INDEX('Logic &amp; Lists'!$J$4:$J$20,$E359))</f>
        <v/>
      </c>
      <c r="H359" s="6" t="str">
        <f t="shared" si="26"/>
        <v/>
      </c>
      <c r="I359" s="18" t="str">
        <f t="shared" ca="1" si="27"/>
        <v/>
      </c>
      <c r="J359" s="5" t="str">
        <f t="shared" si="28"/>
        <v/>
      </c>
      <c r="K359" s="25"/>
      <c r="L359" s="5" t="str">
        <f t="shared" si="29"/>
        <v/>
      </c>
      <c r="M359" s="7"/>
      <c r="N359" s="7"/>
      <c r="O359" s="7"/>
      <c r="P359" s="20" t="str">
        <f>IF($A359="","",INDEX(Project_Tracker!$I$2:$I$101,INT((ROW()-6)/17)+1))</f>
        <v/>
      </c>
      <c r="Q359" s="20" t="str">
        <f>IF($A359="","",INDEX(Project_Tracker!$K$2:$K$101,INT((ROW()-6)/17)+1))</f>
        <v/>
      </c>
    </row>
    <row r="360" spans="1:17" x14ac:dyDescent="0.2">
      <c r="A360" s="20" t="str">
        <f>IF(INDEX(Project_Tracker!$AL$2:$AL$101,INT((ROW()-6)/17)+1)="","",INDEX(Project_Tracker!$AL$2:$AL$101,INT((ROW()-6)/17)+1))</f>
        <v/>
      </c>
      <c r="B360" s="21" t="str">
        <f>IF($A360="","",INDEX(Project_Tracker!$AM$2:$AM$101,INT((ROW()-6)/17)+1))</f>
        <v/>
      </c>
      <c r="C360" s="20" t="str">
        <f>IF($A360="","",INDEX(Project_Tracker!$C$2:$C$101,INT((ROW()-6)/17)+1))</f>
        <v/>
      </c>
      <c r="D360" s="6" t="str">
        <f>IF($A360="","",INDEX(Project_Tracker!$T$2:$T$101,INT((ROW()-6)/17)+1))</f>
        <v/>
      </c>
      <c r="E360" s="18">
        <f t="shared" si="25"/>
        <v>15</v>
      </c>
      <c r="F360" s="23" t="str">
        <f>IF($A360="","",INDEX('Logic &amp; Lists'!$I$4:$I$20,$E360))</f>
        <v/>
      </c>
      <c r="G360" s="18" t="str">
        <f>IF($A360="","",INDEX('Logic &amp; Lists'!$J$4:$J$20,$E360))</f>
        <v/>
      </c>
      <c r="H360" s="6" t="str">
        <f t="shared" si="26"/>
        <v/>
      </c>
      <c r="I360" s="18" t="str">
        <f t="shared" ca="1" si="27"/>
        <v/>
      </c>
      <c r="J360" s="5" t="str">
        <f t="shared" si="28"/>
        <v/>
      </c>
      <c r="K360" s="25"/>
      <c r="L360" s="5" t="str">
        <f t="shared" si="29"/>
        <v/>
      </c>
      <c r="M360" s="7"/>
      <c r="N360" s="7"/>
      <c r="O360" s="7"/>
      <c r="P360" s="20" t="str">
        <f>IF($A360="","",INDEX(Project_Tracker!$I$2:$I$101,INT((ROW()-6)/17)+1))</f>
        <v/>
      </c>
      <c r="Q360" s="20" t="str">
        <f>IF($A360="","",INDEX(Project_Tracker!$K$2:$K$101,INT((ROW()-6)/17)+1))</f>
        <v/>
      </c>
    </row>
    <row r="361" spans="1:17" x14ac:dyDescent="0.2">
      <c r="A361" s="20" t="str">
        <f>IF(INDEX(Project_Tracker!$AL$2:$AL$101,INT((ROW()-6)/17)+1)="","",INDEX(Project_Tracker!$AL$2:$AL$101,INT((ROW()-6)/17)+1))</f>
        <v/>
      </c>
      <c r="B361" s="21" t="str">
        <f>IF($A361="","",INDEX(Project_Tracker!$AM$2:$AM$101,INT((ROW()-6)/17)+1))</f>
        <v/>
      </c>
      <c r="C361" s="20" t="str">
        <f>IF($A361="","",INDEX(Project_Tracker!$C$2:$C$101,INT((ROW()-6)/17)+1))</f>
        <v/>
      </c>
      <c r="D361" s="6" t="str">
        <f>IF($A361="","",INDEX(Project_Tracker!$T$2:$T$101,INT((ROW()-6)/17)+1))</f>
        <v/>
      </c>
      <c r="E361" s="18">
        <f t="shared" si="25"/>
        <v>16</v>
      </c>
      <c r="F361" s="23" t="str">
        <f>IF($A361="","",INDEX('Logic &amp; Lists'!$I$4:$I$20,$E361))</f>
        <v/>
      </c>
      <c r="G361" s="18" t="str">
        <f>IF($A361="","",INDEX('Logic &amp; Lists'!$J$4:$J$20,$E361))</f>
        <v/>
      </c>
      <c r="H361" s="6" t="str">
        <f t="shared" si="26"/>
        <v/>
      </c>
      <c r="I361" s="18" t="str">
        <f t="shared" ca="1" si="27"/>
        <v/>
      </c>
      <c r="J361" s="5" t="str">
        <f t="shared" si="28"/>
        <v/>
      </c>
      <c r="K361" s="25"/>
      <c r="L361" s="5" t="str">
        <f t="shared" si="29"/>
        <v/>
      </c>
      <c r="M361" s="7"/>
      <c r="N361" s="7"/>
      <c r="O361" s="7"/>
      <c r="P361" s="20" t="str">
        <f>IF($A361="","",INDEX(Project_Tracker!$I$2:$I$101,INT((ROW()-6)/17)+1))</f>
        <v/>
      </c>
      <c r="Q361" s="20" t="str">
        <f>IF($A361="","",INDEX(Project_Tracker!$K$2:$K$101,INT((ROW()-6)/17)+1))</f>
        <v/>
      </c>
    </row>
    <row r="362" spans="1:17" x14ac:dyDescent="0.2">
      <c r="A362" s="20" t="str">
        <f>IF(INDEX(Project_Tracker!$AL$2:$AL$101,INT((ROW()-6)/17)+1)="","",INDEX(Project_Tracker!$AL$2:$AL$101,INT((ROW()-6)/17)+1))</f>
        <v/>
      </c>
      <c r="B362" s="21" t="str">
        <f>IF($A362="","",INDEX(Project_Tracker!$AM$2:$AM$101,INT((ROW()-6)/17)+1))</f>
        <v/>
      </c>
      <c r="C362" s="20" t="str">
        <f>IF($A362="","",INDEX(Project_Tracker!$C$2:$C$101,INT((ROW()-6)/17)+1))</f>
        <v/>
      </c>
      <c r="D362" s="6" t="str">
        <f>IF($A362="","",INDEX(Project_Tracker!$T$2:$T$101,INT((ROW()-6)/17)+1))</f>
        <v/>
      </c>
      <c r="E362" s="18">
        <f t="shared" si="25"/>
        <v>17</v>
      </c>
      <c r="F362" s="23" t="str">
        <f>IF($A362="","",INDEX('Logic &amp; Lists'!$I$4:$I$20,$E362))</f>
        <v/>
      </c>
      <c r="G362" s="18" t="str">
        <f>IF($A362="","",INDEX('Logic &amp; Lists'!$J$4:$J$20,$E362))</f>
        <v/>
      </c>
      <c r="H362" s="6" t="str">
        <f t="shared" si="26"/>
        <v/>
      </c>
      <c r="I362" s="18" t="str">
        <f t="shared" ca="1" si="27"/>
        <v/>
      </c>
      <c r="J362" s="5" t="str">
        <f t="shared" si="28"/>
        <v/>
      </c>
      <c r="K362" s="25"/>
      <c r="L362" s="5" t="str">
        <f t="shared" si="29"/>
        <v/>
      </c>
      <c r="M362" s="7"/>
      <c r="N362" s="7"/>
      <c r="O362" s="7"/>
      <c r="P362" s="20" t="str">
        <f>IF($A362="","",INDEX(Project_Tracker!$I$2:$I$101,INT((ROW()-6)/17)+1))</f>
        <v/>
      </c>
      <c r="Q362" s="20" t="str">
        <f>IF($A362="","",INDEX(Project_Tracker!$K$2:$K$101,INT((ROW()-6)/17)+1))</f>
        <v/>
      </c>
    </row>
    <row r="363" spans="1:17" x14ac:dyDescent="0.2">
      <c r="A363" s="20" t="str">
        <f>IF(INDEX(Project_Tracker!$AL$2:$AL$101,INT((ROW()-6)/17)+1)="","",INDEX(Project_Tracker!$AL$2:$AL$101,INT((ROW()-6)/17)+1))</f>
        <v/>
      </c>
      <c r="B363" s="21" t="str">
        <f>IF($A363="","",INDEX(Project_Tracker!$AM$2:$AM$101,INT((ROW()-6)/17)+1))</f>
        <v/>
      </c>
      <c r="C363" s="20" t="str">
        <f>IF($A363="","",INDEX(Project_Tracker!$C$2:$C$101,INT((ROW()-6)/17)+1))</f>
        <v/>
      </c>
      <c r="D363" s="6" t="str">
        <f>IF($A363="","",INDEX(Project_Tracker!$T$2:$T$101,INT((ROW()-6)/17)+1))</f>
        <v/>
      </c>
      <c r="E363" s="18">
        <f t="shared" si="25"/>
        <v>1</v>
      </c>
      <c r="F363" s="23" t="str">
        <f>IF($A363="","",INDEX('Logic &amp; Lists'!$I$4:$I$20,$E363))</f>
        <v/>
      </c>
      <c r="G363" s="18" t="str">
        <f>IF($A363="","",INDEX('Logic &amp; Lists'!$J$4:$J$20,$E363))</f>
        <v/>
      </c>
      <c r="H363" s="6" t="str">
        <f t="shared" si="26"/>
        <v/>
      </c>
      <c r="I363" s="18" t="str">
        <f t="shared" ca="1" si="27"/>
        <v/>
      </c>
      <c r="J363" s="5" t="str">
        <f t="shared" si="28"/>
        <v/>
      </c>
      <c r="K363" s="25"/>
      <c r="L363" s="5" t="str">
        <f t="shared" si="29"/>
        <v/>
      </c>
      <c r="M363" s="7"/>
      <c r="N363" s="7"/>
      <c r="O363" s="7"/>
      <c r="P363" s="20" t="str">
        <f>IF($A363="","",INDEX(Project_Tracker!$I$2:$I$101,INT((ROW()-6)/17)+1))</f>
        <v/>
      </c>
      <c r="Q363" s="20" t="str">
        <f>IF($A363="","",INDEX(Project_Tracker!$K$2:$K$101,INT((ROW()-6)/17)+1))</f>
        <v/>
      </c>
    </row>
    <row r="364" spans="1:17" x14ac:dyDescent="0.2">
      <c r="A364" s="20" t="str">
        <f>IF(INDEX(Project_Tracker!$AL$2:$AL$101,INT((ROW()-6)/17)+1)="","",INDEX(Project_Tracker!$AL$2:$AL$101,INT((ROW()-6)/17)+1))</f>
        <v/>
      </c>
      <c r="B364" s="21" t="str">
        <f>IF($A364="","",INDEX(Project_Tracker!$AM$2:$AM$101,INT((ROW()-6)/17)+1))</f>
        <v/>
      </c>
      <c r="C364" s="20" t="str">
        <f>IF($A364="","",INDEX(Project_Tracker!$C$2:$C$101,INT((ROW()-6)/17)+1))</f>
        <v/>
      </c>
      <c r="D364" s="6" t="str">
        <f>IF($A364="","",INDEX(Project_Tracker!$T$2:$T$101,INT((ROW()-6)/17)+1))</f>
        <v/>
      </c>
      <c r="E364" s="18">
        <f t="shared" si="25"/>
        <v>2</v>
      </c>
      <c r="F364" s="23" t="str">
        <f>IF($A364="","",INDEX('Logic &amp; Lists'!$I$4:$I$20,$E364))</f>
        <v/>
      </c>
      <c r="G364" s="18" t="str">
        <f>IF($A364="","",INDEX('Logic &amp; Lists'!$J$4:$J$20,$E364))</f>
        <v/>
      </c>
      <c r="H364" s="6" t="str">
        <f t="shared" si="26"/>
        <v/>
      </c>
      <c r="I364" s="18" t="str">
        <f t="shared" ca="1" si="27"/>
        <v/>
      </c>
      <c r="J364" s="5" t="str">
        <f t="shared" si="28"/>
        <v/>
      </c>
      <c r="K364" s="25"/>
      <c r="L364" s="5" t="str">
        <f t="shared" si="29"/>
        <v/>
      </c>
      <c r="M364" s="7"/>
      <c r="N364" s="7"/>
      <c r="O364" s="7"/>
      <c r="P364" s="20" t="str">
        <f>IF($A364="","",INDEX(Project_Tracker!$I$2:$I$101,INT((ROW()-6)/17)+1))</f>
        <v/>
      </c>
      <c r="Q364" s="20" t="str">
        <f>IF($A364="","",INDEX(Project_Tracker!$K$2:$K$101,INT((ROW()-6)/17)+1))</f>
        <v/>
      </c>
    </row>
    <row r="365" spans="1:17" x14ac:dyDescent="0.2">
      <c r="A365" s="20" t="str">
        <f>IF(INDEX(Project_Tracker!$AL$2:$AL$101,INT((ROW()-6)/17)+1)="","",INDEX(Project_Tracker!$AL$2:$AL$101,INT((ROW()-6)/17)+1))</f>
        <v/>
      </c>
      <c r="B365" s="21" t="str">
        <f>IF($A365="","",INDEX(Project_Tracker!$AM$2:$AM$101,INT((ROW()-6)/17)+1))</f>
        <v/>
      </c>
      <c r="C365" s="20" t="str">
        <f>IF($A365="","",INDEX(Project_Tracker!$C$2:$C$101,INT((ROW()-6)/17)+1))</f>
        <v/>
      </c>
      <c r="D365" s="6" t="str">
        <f>IF($A365="","",INDEX(Project_Tracker!$T$2:$T$101,INT((ROW()-6)/17)+1))</f>
        <v/>
      </c>
      <c r="E365" s="18">
        <f t="shared" si="25"/>
        <v>3</v>
      </c>
      <c r="F365" s="23" t="str">
        <f>IF($A365="","",INDEX('Logic &amp; Lists'!$I$4:$I$20,$E365))</f>
        <v/>
      </c>
      <c r="G365" s="18" t="str">
        <f>IF($A365="","",INDEX('Logic &amp; Lists'!$J$4:$J$20,$E365))</f>
        <v/>
      </c>
      <c r="H365" s="6" t="str">
        <f t="shared" si="26"/>
        <v/>
      </c>
      <c r="I365" s="18" t="str">
        <f t="shared" ca="1" si="27"/>
        <v/>
      </c>
      <c r="J365" s="5" t="str">
        <f t="shared" si="28"/>
        <v/>
      </c>
      <c r="K365" s="25"/>
      <c r="L365" s="5" t="str">
        <f t="shared" si="29"/>
        <v/>
      </c>
      <c r="M365" s="7"/>
      <c r="N365" s="7"/>
      <c r="O365" s="7"/>
      <c r="P365" s="20" t="str">
        <f>IF($A365="","",INDEX(Project_Tracker!$I$2:$I$101,INT((ROW()-6)/17)+1))</f>
        <v/>
      </c>
      <c r="Q365" s="20" t="str">
        <f>IF($A365="","",INDEX(Project_Tracker!$K$2:$K$101,INT((ROW()-6)/17)+1))</f>
        <v/>
      </c>
    </row>
    <row r="366" spans="1:17" x14ac:dyDescent="0.2">
      <c r="A366" s="20" t="str">
        <f>IF(INDEX(Project_Tracker!$AL$2:$AL$101,INT((ROW()-6)/17)+1)="","",INDEX(Project_Tracker!$AL$2:$AL$101,INT((ROW()-6)/17)+1))</f>
        <v/>
      </c>
      <c r="B366" s="21" t="str">
        <f>IF($A366="","",INDEX(Project_Tracker!$AM$2:$AM$101,INT((ROW()-6)/17)+1))</f>
        <v/>
      </c>
      <c r="C366" s="20" t="str">
        <f>IF($A366="","",INDEX(Project_Tracker!$C$2:$C$101,INT((ROW()-6)/17)+1))</f>
        <v/>
      </c>
      <c r="D366" s="6" t="str">
        <f>IF($A366="","",INDEX(Project_Tracker!$T$2:$T$101,INT((ROW()-6)/17)+1))</f>
        <v/>
      </c>
      <c r="E366" s="18">
        <f t="shared" si="25"/>
        <v>4</v>
      </c>
      <c r="F366" s="23" t="str">
        <f>IF($A366="","",INDEX('Logic &amp; Lists'!$I$4:$I$20,$E366))</f>
        <v/>
      </c>
      <c r="G366" s="18" t="str">
        <f>IF($A366="","",INDEX('Logic &amp; Lists'!$J$4:$J$20,$E366))</f>
        <v/>
      </c>
      <c r="H366" s="6" t="str">
        <f t="shared" si="26"/>
        <v/>
      </c>
      <c r="I366" s="18" t="str">
        <f t="shared" ca="1" si="27"/>
        <v/>
      </c>
      <c r="J366" s="5" t="str">
        <f t="shared" si="28"/>
        <v/>
      </c>
      <c r="K366" s="25"/>
      <c r="L366" s="5" t="str">
        <f t="shared" si="29"/>
        <v/>
      </c>
      <c r="M366" s="7"/>
      <c r="N366" s="7"/>
      <c r="O366" s="7"/>
      <c r="P366" s="20" t="str">
        <f>IF($A366="","",INDEX(Project_Tracker!$I$2:$I$101,INT((ROW()-6)/17)+1))</f>
        <v/>
      </c>
      <c r="Q366" s="20" t="str">
        <f>IF($A366="","",INDEX(Project_Tracker!$K$2:$K$101,INT((ROW()-6)/17)+1))</f>
        <v/>
      </c>
    </row>
    <row r="367" spans="1:17" x14ac:dyDescent="0.2">
      <c r="A367" s="20" t="str">
        <f>IF(INDEX(Project_Tracker!$AL$2:$AL$101,INT((ROW()-6)/17)+1)="","",INDEX(Project_Tracker!$AL$2:$AL$101,INT((ROW()-6)/17)+1))</f>
        <v/>
      </c>
      <c r="B367" s="21" t="str">
        <f>IF($A367="","",INDEX(Project_Tracker!$AM$2:$AM$101,INT((ROW()-6)/17)+1))</f>
        <v/>
      </c>
      <c r="C367" s="20" t="str">
        <f>IF($A367="","",INDEX(Project_Tracker!$C$2:$C$101,INT((ROW()-6)/17)+1))</f>
        <v/>
      </c>
      <c r="D367" s="6" t="str">
        <f>IF($A367="","",INDEX(Project_Tracker!$T$2:$T$101,INT((ROW()-6)/17)+1))</f>
        <v/>
      </c>
      <c r="E367" s="18">
        <f t="shared" si="25"/>
        <v>5</v>
      </c>
      <c r="F367" s="23" t="str">
        <f>IF($A367="","",INDEX('Logic &amp; Lists'!$I$4:$I$20,$E367))</f>
        <v/>
      </c>
      <c r="G367" s="18" t="str">
        <f>IF($A367="","",INDEX('Logic &amp; Lists'!$J$4:$J$20,$E367))</f>
        <v/>
      </c>
      <c r="H367" s="6" t="str">
        <f t="shared" si="26"/>
        <v/>
      </c>
      <c r="I367" s="18" t="str">
        <f t="shared" ca="1" si="27"/>
        <v/>
      </c>
      <c r="J367" s="5" t="str">
        <f t="shared" si="28"/>
        <v/>
      </c>
      <c r="K367" s="25"/>
      <c r="L367" s="5" t="str">
        <f t="shared" si="29"/>
        <v/>
      </c>
      <c r="M367" s="7"/>
      <c r="N367" s="7"/>
      <c r="O367" s="7"/>
      <c r="P367" s="20" t="str">
        <f>IF($A367="","",INDEX(Project_Tracker!$I$2:$I$101,INT((ROW()-6)/17)+1))</f>
        <v/>
      </c>
      <c r="Q367" s="20" t="str">
        <f>IF($A367="","",INDEX(Project_Tracker!$K$2:$K$101,INT((ROW()-6)/17)+1))</f>
        <v/>
      </c>
    </row>
    <row r="368" spans="1:17" x14ac:dyDescent="0.2">
      <c r="A368" s="20" t="str">
        <f>IF(INDEX(Project_Tracker!$AL$2:$AL$101,INT((ROW()-6)/17)+1)="","",INDEX(Project_Tracker!$AL$2:$AL$101,INT((ROW()-6)/17)+1))</f>
        <v/>
      </c>
      <c r="B368" s="21" t="str">
        <f>IF($A368="","",INDEX(Project_Tracker!$AM$2:$AM$101,INT((ROW()-6)/17)+1))</f>
        <v/>
      </c>
      <c r="C368" s="20" t="str">
        <f>IF($A368="","",INDEX(Project_Tracker!$C$2:$C$101,INT((ROW()-6)/17)+1))</f>
        <v/>
      </c>
      <c r="D368" s="6" t="str">
        <f>IF($A368="","",INDEX(Project_Tracker!$T$2:$T$101,INT((ROW()-6)/17)+1))</f>
        <v/>
      </c>
      <c r="E368" s="18">
        <f t="shared" si="25"/>
        <v>6</v>
      </c>
      <c r="F368" s="23" t="str">
        <f>IF($A368="","",INDEX('Logic &amp; Lists'!$I$4:$I$20,$E368))</f>
        <v/>
      </c>
      <c r="G368" s="18" t="str">
        <f>IF($A368="","",INDEX('Logic &amp; Lists'!$J$4:$J$20,$E368))</f>
        <v/>
      </c>
      <c r="H368" s="6" t="str">
        <f t="shared" si="26"/>
        <v/>
      </c>
      <c r="I368" s="18" t="str">
        <f t="shared" ca="1" si="27"/>
        <v/>
      </c>
      <c r="J368" s="5" t="str">
        <f t="shared" si="28"/>
        <v/>
      </c>
      <c r="K368" s="25"/>
      <c r="L368" s="5" t="str">
        <f t="shared" si="29"/>
        <v/>
      </c>
      <c r="M368" s="7"/>
      <c r="N368" s="7"/>
      <c r="O368" s="7"/>
      <c r="P368" s="20" t="str">
        <f>IF($A368="","",INDEX(Project_Tracker!$I$2:$I$101,INT((ROW()-6)/17)+1))</f>
        <v/>
      </c>
      <c r="Q368" s="20" t="str">
        <f>IF($A368="","",INDEX(Project_Tracker!$K$2:$K$101,INT((ROW()-6)/17)+1))</f>
        <v/>
      </c>
    </row>
    <row r="369" spans="1:17" x14ac:dyDescent="0.2">
      <c r="A369" s="20" t="str">
        <f>IF(INDEX(Project_Tracker!$AL$2:$AL$101,INT((ROW()-6)/17)+1)="","",INDEX(Project_Tracker!$AL$2:$AL$101,INT((ROW()-6)/17)+1))</f>
        <v/>
      </c>
      <c r="B369" s="21" t="str">
        <f>IF($A369="","",INDEX(Project_Tracker!$AM$2:$AM$101,INT((ROW()-6)/17)+1))</f>
        <v/>
      </c>
      <c r="C369" s="20" t="str">
        <f>IF($A369="","",INDEX(Project_Tracker!$C$2:$C$101,INT((ROW()-6)/17)+1))</f>
        <v/>
      </c>
      <c r="D369" s="6" t="str">
        <f>IF($A369="","",INDEX(Project_Tracker!$T$2:$T$101,INT((ROW()-6)/17)+1))</f>
        <v/>
      </c>
      <c r="E369" s="18">
        <f t="shared" si="25"/>
        <v>7</v>
      </c>
      <c r="F369" s="23" t="str">
        <f>IF($A369="","",INDEX('Logic &amp; Lists'!$I$4:$I$20,$E369))</f>
        <v/>
      </c>
      <c r="G369" s="18" t="str">
        <f>IF($A369="","",INDEX('Logic &amp; Lists'!$J$4:$J$20,$E369))</f>
        <v/>
      </c>
      <c r="H369" s="6" t="str">
        <f t="shared" si="26"/>
        <v/>
      </c>
      <c r="I369" s="18" t="str">
        <f t="shared" ca="1" si="27"/>
        <v/>
      </c>
      <c r="J369" s="5" t="str">
        <f t="shared" si="28"/>
        <v/>
      </c>
      <c r="K369" s="25"/>
      <c r="L369" s="5" t="str">
        <f t="shared" si="29"/>
        <v/>
      </c>
      <c r="M369" s="7"/>
      <c r="N369" s="7"/>
      <c r="O369" s="7"/>
      <c r="P369" s="20" t="str">
        <f>IF($A369="","",INDEX(Project_Tracker!$I$2:$I$101,INT((ROW()-6)/17)+1))</f>
        <v/>
      </c>
      <c r="Q369" s="20" t="str">
        <f>IF($A369="","",INDEX(Project_Tracker!$K$2:$K$101,INT((ROW()-6)/17)+1))</f>
        <v/>
      </c>
    </row>
    <row r="370" spans="1:17" x14ac:dyDescent="0.2">
      <c r="A370" s="20" t="str">
        <f>IF(INDEX(Project_Tracker!$AL$2:$AL$101,INT((ROW()-6)/17)+1)="","",INDEX(Project_Tracker!$AL$2:$AL$101,INT((ROW()-6)/17)+1))</f>
        <v/>
      </c>
      <c r="B370" s="21" t="str">
        <f>IF($A370="","",INDEX(Project_Tracker!$AM$2:$AM$101,INT((ROW()-6)/17)+1))</f>
        <v/>
      </c>
      <c r="C370" s="20" t="str">
        <f>IF($A370="","",INDEX(Project_Tracker!$C$2:$C$101,INT((ROW()-6)/17)+1))</f>
        <v/>
      </c>
      <c r="D370" s="6" t="str">
        <f>IF($A370="","",INDEX(Project_Tracker!$T$2:$T$101,INT((ROW()-6)/17)+1))</f>
        <v/>
      </c>
      <c r="E370" s="18">
        <f t="shared" si="25"/>
        <v>8</v>
      </c>
      <c r="F370" s="23" t="str">
        <f>IF($A370="","",INDEX('Logic &amp; Lists'!$I$4:$I$20,$E370))</f>
        <v/>
      </c>
      <c r="G370" s="18" t="str">
        <f>IF($A370="","",INDEX('Logic &amp; Lists'!$J$4:$J$20,$E370))</f>
        <v/>
      </c>
      <c r="H370" s="6" t="str">
        <f t="shared" si="26"/>
        <v/>
      </c>
      <c r="I370" s="18" t="str">
        <f t="shared" ca="1" si="27"/>
        <v/>
      </c>
      <c r="J370" s="5" t="str">
        <f t="shared" si="28"/>
        <v/>
      </c>
      <c r="K370" s="25"/>
      <c r="L370" s="5" t="str">
        <f t="shared" si="29"/>
        <v/>
      </c>
      <c r="M370" s="7"/>
      <c r="N370" s="7"/>
      <c r="O370" s="7"/>
      <c r="P370" s="20" t="str">
        <f>IF($A370="","",INDEX(Project_Tracker!$I$2:$I$101,INT((ROW()-6)/17)+1))</f>
        <v/>
      </c>
      <c r="Q370" s="20" t="str">
        <f>IF($A370="","",INDEX(Project_Tracker!$K$2:$K$101,INT((ROW()-6)/17)+1))</f>
        <v/>
      </c>
    </row>
    <row r="371" spans="1:17" x14ac:dyDescent="0.2">
      <c r="A371" s="20" t="str">
        <f>IF(INDEX(Project_Tracker!$AL$2:$AL$101,INT((ROW()-6)/17)+1)="","",INDEX(Project_Tracker!$AL$2:$AL$101,INT((ROW()-6)/17)+1))</f>
        <v/>
      </c>
      <c r="B371" s="21" t="str">
        <f>IF($A371="","",INDEX(Project_Tracker!$AM$2:$AM$101,INT((ROW()-6)/17)+1))</f>
        <v/>
      </c>
      <c r="C371" s="20" t="str">
        <f>IF($A371="","",INDEX(Project_Tracker!$C$2:$C$101,INT((ROW()-6)/17)+1))</f>
        <v/>
      </c>
      <c r="D371" s="6" t="str">
        <f>IF($A371="","",INDEX(Project_Tracker!$T$2:$T$101,INT((ROW()-6)/17)+1))</f>
        <v/>
      </c>
      <c r="E371" s="18">
        <f t="shared" si="25"/>
        <v>9</v>
      </c>
      <c r="F371" s="23" t="str">
        <f>IF($A371="","",INDEX('Logic &amp; Lists'!$I$4:$I$20,$E371))</f>
        <v/>
      </c>
      <c r="G371" s="18" t="str">
        <f>IF($A371="","",INDEX('Logic &amp; Lists'!$J$4:$J$20,$E371))</f>
        <v/>
      </c>
      <c r="H371" s="6" t="str">
        <f t="shared" si="26"/>
        <v/>
      </c>
      <c r="I371" s="18" t="str">
        <f t="shared" ca="1" si="27"/>
        <v/>
      </c>
      <c r="J371" s="5" t="str">
        <f t="shared" si="28"/>
        <v/>
      </c>
      <c r="K371" s="25"/>
      <c r="L371" s="5" t="str">
        <f t="shared" si="29"/>
        <v/>
      </c>
      <c r="M371" s="7"/>
      <c r="N371" s="7"/>
      <c r="O371" s="7"/>
      <c r="P371" s="20" t="str">
        <f>IF($A371="","",INDEX(Project_Tracker!$I$2:$I$101,INT((ROW()-6)/17)+1))</f>
        <v/>
      </c>
      <c r="Q371" s="20" t="str">
        <f>IF($A371="","",INDEX(Project_Tracker!$K$2:$K$101,INT((ROW()-6)/17)+1))</f>
        <v/>
      </c>
    </row>
    <row r="372" spans="1:17" x14ac:dyDescent="0.2">
      <c r="A372" s="20" t="str">
        <f>IF(INDEX(Project_Tracker!$AL$2:$AL$101,INT((ROW()-6)/17)+1)="","",INDEX(Project_Tracker!$AL$2:$AL$101,INT((ROW()-6)/17)+1))</f>
        <v/>
      </c>
      <c r="B372" s="21" t="str">
        <f>IF($A372="","",INDEX(Project_Tracker!$AM$2:$AM$101,INT((ROW()-6)/17)+1))</f>
        <v/>
      </c>
      <c r="C372" s="20" t="str">
        <f>IF($A372="","",INDEX(Project_Tracker!$C$2:$C$101,INT((ROW()-6)/17)+1))</f>
        <v/>
      </c>
      <c r="D372" s="6" t="str">
        <f>IF($A372="","",INDEX(Project_Tracker!$T$2:$T$101,INT((ROW()-6)/17)+1))</f>
        <v/>
      </c>
      <c r="E372" s="18">
        <f t="shared" si="25"/>
        <v>10</v>
      </c>
      <c r="F372" s="23" t="str">
        <f>IF($A372="","",INDEX('Logic &amp; Lists'!$I$4:$I$20,$E372))</f>
        <v/>
      </c>
      <c r="G372" s="18" t="str">
        <f>IF($A372="","",INDEX('Logic &amp; Lists'!$J$4:$J$20,$E372))</f>
        <v/>
      </c>
      <c r="H372" s="6" t="str">
        <f t="shared" si="26"/>
        <v/>
      </c>
      <c r="I372" s="18" t="str">
        <f t="shared" ca="1" si="27"/>
        <v/>
      </c>
      <c r="J372" s="5" t="str">
        <f t="shared" si="28"/>
        <v/>
      </c>
      <c r="K372" s="25"/>
      <c r="L372" s="5" t="str">
        <f t="shared" si="29"/>
        <v/>
      </c>
      <c r="M372" s="7"/>
      <c r="N372" s="7"/>
      <c r="O372" s="7"/>
      <c r="P372" s="20" t="str">
        <f>IF($A372="","",INDEX(Project_Tracker!$I$2:$I$101,INT((ROW()-6)/17)+1))</f>
        <v/>
      </c>
      <c r="Q372" s="20" t="str">
        <f>IF($A372="","",INDEX(Project_Tracker!$K$2:$K$101,INT((ROW()-6)/17)+1))</f>
        <v/>
      </c>
    </row>
    <row r="373" spans="1:17" x14ac:dyDescent="0.2">
      <c r="A373" s="20" t="str">
        <f>IF(INDEX(Project_Tracker!$AL$2:$AL$101,INT((ROW()-6)/17)+1)="","",INDEX(Project_Tracker!$AL$2:$AL$101,INT((ROW()-6)/17)+1))</f>
        <v/>
      </c>
      <c r="B373" s="21" t="str">
        <f>IF($A373="","",INDEX(Project_Tracker!$AM$2:$AM$101,INT((ROW()-6)/17)+1))</f>
        <v/>
      </c>
      <c r="C373" s="20" t="str">
        <f>IF($A373="","",INDEX(Project_Tracker!$C$2:$C$101,INT((ROW()-6)/17)+1))</f>
        <v/>
      </c>
      <c r="D373" s="6" t="str">
        <f>IF($A373="","",INDEX(Project_Tracker!$T$2:$T$101,INT((ROW()-6)/17)+1))</f>
        <v/>
      </c>
      <c r="E373" s="18">
        <f t="shared" si="25"/>
        <v>11</v>
      </c>
      <c r="F373" s="23" t="str">
        <f>IF($A373="","",INDEX('Logic &amp; Lists'!$I$4:$I$20,$E373))</f>
        <v/>
      </c>
      <c r="G373" s="18" t="str">
        <f>IF($A373="","",INDEX('Logic &amp; Lists'!$J$4:$J$20,$E373))</f>
        <v/>
      </c>
      <c r="H373" s="6" t="str">
        <f t="shared" si="26"/>
        <v/>
      </c>
      <c r="I373" s="18" t="str">
        <f t="shared" ca="1" si="27"/>
        <v/>
      </c>
      <c r="J373" s="5" t="str">
        <f t="shared" si="28"/>
        <v/>
      </c>
      <c r="K373" s="25"/>
      <c r="L373" s="5" t="str">
        <f t="shared" si="29"/>
        <v/>
      </c>
      <c r="M373" s="7"/>
      <c r="N373" s="7"/>
      <c r="O373" s="7"/>
      <c r="P373" s="20" t="str">
        <f>IF($A373="","",INDEX(Project_Tracker!$I$2:$I$101,INT((ROW()-6)/17)+1))</f>
        <v/>
      </c>
      <c r="Q373" s="20" t="str">
        <f>IF($A373="","",INDEX(Project_Tracker!$K$2:$K$101,INT((ROW()-6)/17)+1))</f>
        <v/>
      </c>
    </row>
    <row r="374" spans="1:17" x14ac:dyDescent="0.2">
      <c r="A374" s="20" t="str">
        <f>IF(INDEX(Project_Tracker!$AL$2:$AL$101,INT((ROW()-6)/17)+1)="","",INDEX(Project_Tracker!$AL$2:$AL$101,INT((ROW()-6)/17)+1))</f>
        <v/>
      </c>
      <c r="B374" s="21" t="str">
        <f>IF($A374="","",INDEX(Project_Tracker!$AM$2:$AM$101,INT((ROW()-6)/17)+1))</f>
        <v/>
      </c>
      <c r="C374" s="20" t="str">
        <f>IF($A374="","",INDEX(Project_Tracker!$C$2:$C$101,INT((ROW()-6)/17)+1))</f>
        <v/>
      </c>
      <c r="D374" s="6" t="str">
        <f>IF($A374="","",INDEX(Project_Tracker!$T$2:$T$101,INT((ROW()-6)/17)+1))</f>
        <v/>
      </c>
      <c r="E374" s="18">
        <f t="shared" si="25"/>
        <v>12</v>
      </c>
      <c r="F374" s="23" t="str">
        <f>IF($A374="","",INDEX('Logic &amp; Lists'!$I$4:$I$20,$E374))</f>
        <v/>
      </c>
      <c r="G374" s="18" t="str">
        <f>IF($A374="","",INDEX('Logic &amp; Lists'!$J$4:$J$20,$E374))</f>
        <v/>
      </c>
      <c r="H374" s="6" t="str">
        <f t="shared" si="26"/>
        <v/>
      </c>
      <c r="I374" s="18" t="str">
        <f t="shared" ca="1" si="27"/>
        <v/>
      </c>
      <c r="J374" s="5" t="str">
        <f t="shared" si="28"/>
        <v/>
      </c>
      <c r="K374" s="25"/>
      <c r="L374" s="5" t="str">
        <f t="shared" si="29"/>
        <v/>
      </c>
      <c r="M374" s="7"/>
      <c r="N374" s="7"/>
      <c r="O374" s="7"/>
      <c r="P374" s="20" t="str">
        <f>IF($A374="","",INDEX(Project_Tracker!$I$2:$I$101,INT((ROW()-6)/17)+1))</f>
        <v/>
      </c>
      <c r="Q374" s="20" t="str">
        <f>IF($A374="","",INDEX(Project_Tracker!$K$2:$K$101,INT((ROW()-6)/17)+1))</f>
        <v/>
      </c>
    </row>
    <row r="375" spans="1:17" x14ac:dyDescent="0.2">
      <c r="A375" s="20" t="str">
        <f>IF(INDEX(Project_Tracker!$AL$2:$AL$101,INT((ROW()-6)/17)+1)="","",INDEX(Project_Tracker!$AL$2:$AL$101,INT((ROW()-6)/17)+1))</f>
        <v/>
      </c>
      <c r="B375" s="21" t="str">
        <f>IF($A375="","",INDEX(Project_Tracker!$AM$2:$AM$101,INT((ROW()-6)/17)+1))</f>
        <v/>
      </c>
      <c r="C375" s="20" t="str">
        <f>IF($A375="","",INDEX(Project_Tracker!$C$2:$C$101,INT((ROW()-6)/17)+1))</f>
        <v/>
      </c>
      <c r="D375" s="6" t="str">
        <f>IF($A375="","",INDEX(Project_Tracker!$T$2:$T$101,INT((ROW()-6)/17)+1))</f>
        <v/>
      </c>
      <c r="E375" s="18">
        <f t="shared" si="25"/>
        <v>13</v>
      </c>
      <c r="F375" s="23" t="str">
        <f>IF($A375="","",INDEX('Logic &amp; Lists'!$I$4:$I$20,$E375))</f>
        <v/>
      </c>
      <c r="G375" s="18" t="str">
        <f>IF($A375="","",INDEX('Logic &amp; Lists'!$J$4:$J$20,$E375))</f>
        <v/>
      </c>
      <c r="H375" s="6" t="str">
        <f t="shared" si="26"/>
        <v/>
      </c>
      <c r="I375" s="18" t="str">
        <f t="shared" ca="1" si="27"/>
        <v/>
      </c>
      <c r="J375" s="5" t="str">
        <f t="shared" si="28"/>
        <v/>
      </c>
      <c r="K375" s="25"/>
      <c r="L375" s="5" t="str">
        <f t="shared" si="29"/>
        <v/>
      </c>
      <c r="M375" s="7"/>
      <c r="N375" s="7"/>
      <c r="O375" s="7"/>
      <c r="P375" s="20" t="str">
        <f>IF($A375="","",INDEX(Project_Tracker!$I$2:$I$101,INT((ROW()-6)/17)+1))</f>
        <v/>
      </c>
      <c r="Q375" s="20" t="str">
        <f>IF($A375="","",INDEX(Project_Tracker!$K$2:$K$101,INT((ROW()-6)/17)+1))</f>
        <v/>
      </c>
    </row>
    <row r="376" spans="1:17" x14ac:dyDescent="0.2">
      <c r="A376" s="20" t="str">
        <f>IF(INDEX(Project_Tracker!$AL$2:$AL$101,INT((ROW()-6)/17)+1)="","",INDEX(Project_Tracker!$AL$2:$AL$101,INT((ROW()-6)/17)+1))</f>
        <v/>
      </c>
      <c r="B376" s="21" t="str">
        <f>IF($A376="","",INDEX(Project_Tracker!$AM$2:$AM$101,INT((ROW()-6)/17)+1))</f>
        <v/>
      </c>
      <c r="C376" s="20" t="str">
        <f>IF($A376="","",INDEX(Project_Tracker!$C$2:$C$101,INT((ROW()-6)/17)+1))</f>
        <v/>
      </c>
      <c r="D376" s="6" t="str">
        <f>IF($A376="","",INDEX(Project_Tracker!$T$2:$T$101,INT((ROW()-6)/17)+1))</f>
        <v/>
      </c>
      <c r="E376" s="18">
        <f t="shared" si="25"/>
        <v>14</v>
      </c>
      <c r="F376" s="23" t="str">
        <f>IF($A376="","",INDEX('Logic &amp; Lists'!$I$4:$I$20,$E376))</f>
        <v/>
      </c>
      <c r="G376" s="18" t="str">
        <f>IF($A376="","",INDEX('Logic &amp; Lists'!$J$4:$J$20,$E376))</f>
        <v/>
      </c>
      <c r="H376" s="6" t="str">
        <f t="shared" si="26"/>
        <v/>
      </c>
      <c r="I376" s="18" t="str">
        <f t="shared" ca="1" si="27"/>
        <v/>
      </c>
      <c r="J376" s="5" t="str">
        <f t="shared" si="28"/>
        <v/>
      </c>
      <c r="K376" s="25"/>
      <c r="L376" s="5" t="str">
        <f t="shared" si="29"/>
        <v/>
      </c>
      <c r="M376" s="7"/>
      <c r="N376" s="7"/>
      <c r="O376" s="7"/>
      <c r="P376" s="20" t="str">
        <f>IF($A376="","",INDEX(Project_Tracker!$I$2:$I$101,INT((ROW()-6)/17)+1))</f>
        <v/>
      </c>
      <c r="Q376" s="20" t="str">
        <f>IF($A376="","",INDEX(Project_Tracker!$K$2:$K$101,INT((ROW()-6)/17)+1))</f>
        <v/>
      </c>
    </row>
    <row r="377" spans="1:17" x14ac:dyDescent="0.2">
      <c r="A377" s="20" t="str">
        <f>IF(INDEX(Project_Tracker!$AL$2:$AL$101,INT((ROW()-6)/17)+1)="","",INDEX(Project_Tracker!$AL$2:$AL$101,INT((ROW()-6)/17)+1))</f>
        <v/>
      </c>
      <c r="B377" s="21" t="str">
        <f>IF($A377="","",INDEX(Project_Tracker!$AM$2:$AM$101,INT((ROW()-6)/17)+1))</f>
        <v/>
      </c>
      <c r="C377" s="20" t="str">
        <f>IF($A377="","",INDEX(Project_Tracker!$C$2:$C$101,INT((ROW()-6)/17)+1))</f>
        <v/>
      </c>
      <c r="D377" s="6" t="str">
        <f>IF($A377="","",INDEX(Project_Tracker!$T$2:$T$101,INT((ROW()-6)/17)+1))</f>
        <v/>
      </c>
      <c r="E377" s="18">
        <f t="shared" si="25"/>
        <v>15</v>
      </c>
      <c r="F377" s="23" t="str">
        <f>IF($A377="","",INDEX('Logic &amp; Lists'!$I$4:$I$20,$E377))</f>
        <v/>
      </c>
      <c r="G377" s="18" t="str">
        <f>IF($A377="","",INDEX('Logic &amp; Lists'!$J$4:$J$20,$E377))</f>
        <v/>
      </c>
      <c r="H377" s="6" t="str">
        <f t="shared" si="26"/>
        <v/>
      </c>
      <c r="I377" s="18" t="str">
        <f t="shared" ca="1" si="27"/>
        <v/>
      </c>
      <c r="J377" s="5" t="str">
        <f t="shared" si="28"/>
        <v/>
      </c>
      <c r="K377" s="25"/>
      <c r="L377" s="5" t="str">
        <f t="shared" si="29"/>
        <v/>
      </c>
      <c r="M377" s="7"/>
      <c r="N377" s="7"/>
      <c r="O377" s="7"/>
      <c r="P377" s="20" t="str">
        <f>IF($A377="","",INDEX(Project_Tracker!$I$2:$I$101,INT((ROW()-6)/17)+1))</f>
        <v/>
      </c>
      <c r="Q377" s="20" t="str">
        <f>IF($A377="","",INDEX(Project_Tracker!$K$2:$K$101,INT((ROW()-6)/17)+1))</f>
        <v/>
      </c>
    </row>
    <row r="378" spans="1:17" x14ac:dyDescent="0.2">
      <c r="A378" s="20" t="str">
        <f>IF(INDEX(Project_Tracker!$AL$2:$AL$101,INT((ROW()-6)/17)+1)="","",INDEX(Project_Tracker!$AL$2:$AL$101,INT((ROW()-6)/17)+1))</f>
        <v/>
      </c>
      <c r="B378" s="21" t="str">
        <f>IF($A378="","",INDEX(Project_Tracker!$AM$2:$AM$101,INT((ROW()-6)/17)+1))</f>
        <v/>
      </c>
      <c r="C378" s="20" t="str">
        <f>IF($A378="","",INDEX(Project_Tracker!$C$2:$C$101,INT((ROW()-6)/17)+1))</f>
        <v/>
      </c>
      <c r="D378" s="6" t="str">
        <f>IF($A378="","",INDEX(Project_Tracker!$T$2:$T$101,INT((ROW()-6)/17)+1))</f>
        <v/>
      </c>
      <c r="E378" s="18">
        <f t="shared" si="25"/>
        <v>16</v>
      </c>
      <c r="F378" s="23" t="str">
        <f>IF($A378="","",INDEX('Logic &amp; Lists'!$I$4:$I$20,$E378))</f>
        <v/>
      </c>
      <c r="G378" s="18" t="str">
        <f>IF($A378="","",INDEX('Logic &amp; Lists'!$J$4:$J$20,$E378))</f>
        <v/>
      </c>
      <c r="H378" s="6" t="str">
        <f t="shared" si="26"/>
        <v/>
      </c>
      <c r="I378" s="18" t="str">
        <f t="shared" ca="1" si="27"/>
        <v/>
      </c>
      <c r="J378" s="5" t="str">
        <f t="shared" si="28"/>
        <v/>
      </c>
      <c r="K378" s="25"/>
      <c r="L378" s="5" t="str">
        <f t="shared" si="29"/>
        <v/>
      </c>
      <c r="M378" s="7"/>
      <c r="N378" s="7"/>
      <c r="O378" s="7"/>
      <c r="P378" s="20" t="str">
        <f>IF($A378="","",INDEX(Project_Tracker!$I$2:$I$101,INT((ROW()-6)/17)+1))</f>
        <v/>
      </c>
      <c r="Q378" s="20" t="str">
        <f>IF($A378="","",INDEX(Project_Tracker!$K$2:$K$101,INT((ROW()-6)/17)+1))</f>
        <v/>
      </c>
    </row>
    <row r="379" spans="1:17" x14ac:dyDescent="0.2">
      <c r="A379" s="20" t="str">
        <f>IF(INDEX(Project_Tracker!$AL$2:$AL$101,INT((ROW()-6)/17)+1)="","",INDEX(Project_Tracker!$AL$2:$AL$101,INT((ROW()-6)/17)+1))</f>
        <v/>
      </c>
      <c r="B379" s="21" t="str">
        <f>IF($A379="","",INDEX(Project_Tracker!$AM$2:$AM$101,INT((ROW()-6)/17)+1))</f>
        <v/>
      </c>
      <c r="C379" s="20" t="str">
        <f>IF($A379="","",INDEX(Project_Tracker!$C$2:$C$101,INT((ROW()-6)/17)+1))</f>
        <v/>
      </c>
      <c r="D379" s="6" t="str">
        <f>IF($A379="","",INDEX(Project_Tracker!$T$2:$T$101,INT((ROW()-6)/17)+1))</f>
        <v/>
      </c>
      <c r="E379" s="18">
        <f t="shared" si="25"/>
        <v>17</v>
      </c>
      <c r="F379" s="23" t="str">
        <f>IF($A379="","",INDEX('Logic &amp; Lists'!$I$4:$I$20,$E379))</f>
        <v/>
      </c>
      <c r="G379" s="18" t="str">
        <f>IF($A379="","",INDEX('Logic &amp; Lists'!$J$4:$J$20,$E379))</f>
        <v/>
      </c>
      <c r="H379" s="6" t="str">
        <f t="shared" si="26"/>
        <v/>
      </c>
      <c r="I379" s="18" t="str">
        <f t="shared" ca="1" si="27"/>
        <v/>
      </c>
      <c r="J379" s="5" t="str">
        <f t="shared" si="28"/>
        <v/>
      </c>
      <c r="K379" s="25"/>
      <c r="L379" s="5" t="str">
        <f t="shared" si="29"/>
        <v/>
      </c>
      <c r="M379" s="7"/>
      <c r="N379" s="7"/>
      <c r="O379" s="7"/>
      <c r="P379" s="20" t="str">
        <f>IF($A379="","",INDEX(Project_Tracker!$I$2:$I$101,INT((ROW()-6)/17)+1))</f>
        <v/>
      </c>
      <c r="Q379" s="20" t="str">
        <f>IF($A379="","",INDEX(Project_Tracker!$K$2:$K$101,INT((ROW()-6)/17)+1))</f>
        <v/>
      </c>
    </row>
    <row r="380" spans="1:17" x14ac:dyDescent="0.2">
      <c r="A380" s="20" t="str">
        <f>IF(INDEX(Project_Tracker!$AL$2:$AL$101,INT((ROW()-6)/17)+1)="","",INDEX(Project_Tracker!$AL$2:$AL$101,INT((ROW()-6)/17)+1))</f>
        <v/>
      </c>
      <c r="B380" s="21" t="str">
        <f>IF($A380="","",INDEX(Project_Tracker!$AM$2:$AM$101,INT((ROW()-6)/17)+1))</f>
        <v/>
      </c>
      <c r="C380" s="20" t="str">
        <f>IF($A380="","",INDEX(Project_Tracker!$C$2:$C$101,INT((ROW()-6)/17)+1))</f>
        <v/>
      </c>
      <c r="D380" s="6" t="str">
        <f>IF($A380="","",INDEX(Project_Tracker!$T$2:$T$101,INT((ROW()-6)/17)+1))</f>
        <v/>
      </c>
      <c r="E380" s="18">
        <f t="shared" si="25"/>
        <v>1</v>
      </c>
      <c r="F380" s="23" t="str">
        <f>IF($A380="","",INDEX('Logic &amp; Lists'!$I$4:$I$20,$E380))</f>
        <v/>
      </c>
      <c r="G380" s="18" t="str">
        <f>IF($A380="","",INDEX('Logic &amp; Lists'!$J$4:$J$20,$E380))</f>
        <v/>
      </c>
      <c r="H380" s="6" t="str">
        <f t="shared" si="26"/>
        <v/>
      </c>
      <c r="I380" s="18" t="str">
        <f t="shared" ca="1" si="27"/>
        <v/>
      </c>
      <c r="J380" s="5" t="str">
        <f t="shared" si="28"/>
        <v/>
      </c>
      <c r="K380" s="25"/>
      <c r="L380" s="5" t="str">
        <f t="shared" si="29"/>
        <v/>
      </c>
      <c r="M380" s="7"/>
      <c r="N380" s="7"/>
      <c r="O380" s="7"/>
      <c r="P380" s="20" t="str">
        <f>IF($A380="","",INDEX(Project_Tracker!$I$2:$I$101,INT((ROW()-6)/17)+1))</f>
        <v/>
      </c>
      <c r="Q380" s="20" t="str">
        <f>IF($A380="","",INDEX(Project_Tracker!$K$2:$K$101,INT((ROW()-6)/17)+1))</f>
        <v/>
      </c>
    </row>
    <row r="381" spans="1:17" x14ac:dyDescent="0.2">
      <c r="A381" s="20" t="str">
        <f>IF(INDEX(Project_Tracker!$AL$2:$AL$101,INT((ROW()-6)/17)+1)="","",INDEX(Project_Tracker!$AL$2:$AL$101,INT((ROW()-6)/17)+1))</f>
        <v/>
      </c>
      <c r="B381" s="21" t="str">
        <f>IF($A381="","",INDEX(Project_Tracker!$AM$2:$AM$101,INT((ROW()-6)/17)+1))</f>
        <v/>
      </c>
      <c r="C381" s="20" t="str">
        <f>IF($A381="","",INDEX(Project_Tracker!$C$2:$C$101,INT((ROW()-6)/17)+1))</f>
        <v/>
      </c>
      <c r="D381" s="6" t="str">
        <f>IF($A381="","",INDEX(Project_Tracker!$T$2:$T$101,INT((ROW()-6)/17)+1))</f>
        <v/>
      </c>
      <c r="E381" s="18">
        <f t="shared" si="25"/>
        <v>2</v>
      </c>
      <c r="F381" s="23" t="str">
        <f>IF($A381="","",INDEX('Logic &amp; Lists'!$I$4:$I$20,$E381))</f>
        <v/>
      </c>
      <c r="G381" s="18" t="str">
        <f>IF($A381="","",INDEX('Logic &amp; Lists'!$J$4:$J$20,$E381))</f>
        <v/>
      </c>
      <c r="H381" s="6" t="str">
        <f t="shared" si="26"/>
        <v/>
      </c>
      <c r="I381" s="18" t="str">
        <f t="shared" ca="1" si="27"/>
        <v/>
      </c>
      <c r="J381" s="5" t="str">
        <f t="shared" si="28"/>
        <v/>
      </c>
      <c r="K381" s="25"/>
      <c r="L381" s="5" t="str">
        <f t="shared" si="29"/>
        <v/>
      </c>
      <c r="M381" s="7"/>
      <c r="N381" s="7"/>
      <c r="O381" s="7"/>
      <c r="P381" s="20" t="str">
        <f>IF($A381="","",INDEX(Project_Tracker!$I$2:$I$101,INT((ROW()-6)/17)+1))</f>
        <v/>
      </c>
      <c r="Q381" s="20" t="str">
        <f>IF($A381="","",INDEX(Project_Tracker!$K$2:$K$101,INT((ROW()-6)/17)+1))</f>
        <v/>
      </c>
    </row>
    <row r="382" spans="1:17" x14ac:dyDescent="0.2">
      <c r="A382" s="20" t="str">
        <f>IF(INDEX(Project_Tracker!$AL$2:$AL$101,INT((ROW()-6)/17)+1)="","",INDEX(Project_Tracker!$AL$2:$AL$101,INT((ROW()-6)/17)+1))</f>
        <v/>
      </c>
      <c r="B382" s="21" t="str">
        <f>IF($A382="","",INDEX(Project_Tracker!$AM$2:$AM$101,INT((ROW()-6)/17)+1))</f>
        <v/>
      </c>
      <c r="C382" s="20" t="str">
        <f>IF($A382="","",INDEX(Project_Tracker!$C$2:$C$101,INT((ROW()-6)/17)+1))</f>
        <v/>
      </c>
      <c r="D382" s="6" t="str">
        <f>IF($A382="","",INDEX(Project_Tracker!$T$2:$T$101,INT((ROW()-6)/17)+1))</f>
        <v/>
      </c>
      <c r="E382" s="18">
        <f t="shared" si="25"/>
        <v>3</v>
      </c>
      <c r="F382" s="23" t="str">
        <f>IF($A382="","",INDEX('Logic &amp; Lists'!$I$4:$I$20,$E382))</f>
        <v/>
      </c>
      <c r="G382" s="18" t="str">
        <f>IF($A382="","",INDEX('Logic &amp; Lists'!$J$4:$J$20,$E382))</f>
        <v/>
      </c>
      <c r="H382" s="6" t="str">
        <f t="shared" si="26"/>
        <v/>
      </c>
      <c r="I382" s="18" t="str">
        <f t="shared" ca="1" si="27"/>
        <v/>
      </c>
      <c r="J382" s="5" t="str">
        <f t="shared" si="28"/>
        <v/>
      </c>
      <c r="K382" s="25"/>
      <c r="L382" s="5" t="str">
        <f t="shared" si="29"/>
        <v/>
      </c>
      <c r="M382" s="7"/>
      <c r="N382" s="7"/>
      <c r="O382" s="7"/>
      <c r="P382" s="20" t="str">
        <f>IF($A382="","",INDEX(Project_Tracker!$I$2:$I$101,INT((ROW()-6)/17)+1))</f>
        <v/>
      </c>
      <c r="Q382" s="20" t="str">
        <f>IF($A382="","",INDEX(Project_Tracker!$K$2:$K$101,INT((ROW()-6)/17)+1))</f>
        <v/>
      </c>
    </row>
    <row r="383" spans="1:17" x14ac:dyDescent="0.2">
      <c r="A383" s="20" t="str">
        <f>IF(INDEX(Project_Tracker!$AL$2:$AL$101,INT((ROW()-6)/17)+1)="","",INDEX(Project_Tracker!$AL$2:$AL$101,INT((ROW()-6)/17)+1))</f>
        <v/>
      </c>
      <c r="B383" s="21" t="str">
        <f>IF($A383="","",INDEX(Project_Tracker!$AM$2:$AM$101,INT((ROW()-6)/17)+1))</f>
        <v/>
      </c>
      <c r="C383" s="20" t="str">
        <f>IF($A383="","",INDEX(Project_Tracker!$C$2:$C$101,INT((ROW()-6)/17)+1))</f>
        <v/>
      </c>
      <c r="D383" s="6" t="str">
        <f>IF($A383="","",INDEX(Project_Tracker!$T$2:$T$101,INT((ROW()-6)/17)+1))</f>
        <v/>
      </c>
      <c r="E383" s="18">
        <f t="shared" si="25"/>
        <v>4</v>
      </c>
      <c r="F383" s="23" t="str">
        <f>IF($A383="","",INDEX('Logic &amp; Lists'!$I$4:$I$20,$E383))</f>
        <v/>
      </c>
      <c r="G383" s="18" t="str">
        <f>IF($A383="","",INDEX('Logic &amp; Lists'!$J$4:$J$20,$E383))</f>
        <v/>
      </c>
      <c r="H383" s="6" t="str">
        <f t="shared" si="26"/>
        <v/>
      </c>
      <c r="I383" s="18" t="str">
        <f t="shared" ca="1" si="27"/>
        <v/>
      </c>
      <c r="J383" s="5" t="str">
        <f t="shared" si="28"/>
        <v/>
      </c>
      <c r="K383" s="25"/>
      <c r="L383" s="5" t="str">
        <f t="shared" si="29"/>
        <v/>
      </c>
      <c r="M383" s="7"/>
      <c r="N383" s="7"/>
      <c r="O383" s="7"/>
      <c r="P383" s="20" t="str">
        <f>IF($A383="","",INDEX(Project_Tracker!$I$2:$I$101,INT((ROW()-6)/17)+1))</f>
        <v/>
      </c>
      <c r="Q383" s="20" t="str">
        <f>IF($A383="","",INDEX(Project_Tracker!$K$2:$K$101,INT((ROW()-6)/17)+1))</f>
        <v/>
      </c>
    </row>
    <row r="384" spans="1:17" x14ac:dyDescent="0.2">
      <c r="A384" s="20" t="str">
        <f>IF(INDEX(Project_Tracker!$AL$2:$AL$101,INT((ROW()-6)/17)+1)="","",INDEX(Project_Tracker!$AL$2:$AL$101,INT((ROW()-6)/17)+1))</f>
        <v/>
      </c>
      <c r="B384" s="21" t="str">
        <f>IF($A384="","",INDEX(Project_Tracker!$AM$2:$AM$101,INT((ROW()-6)/17)+1))</f>
        <v/>
      </c>
      <c r="C384" s="20" t="str">
        <f>IF($A384="","",INDEX(Project_Tracker!$C$2:$C$101,INT((ROW()-6)/17)+1))</f>
        <v/>
      </c>
      <c r="D384" s="6" t="str">
        <f>IF($A384="","",INDEX(Project_Tracker!$T$2:$T$101,INT((ROW()-6)/17)+1))</f>
        <v/>
      </c>
      <c r="E384" s="18">
        <f t="shared" si="25"/>
        <v>5</v>
      </c>
      <c r="F384" s="23" t="str">
        <f>IF($A384="","",INDEX('Logic &amp; Lists'!$I$4:$I$20,$E384))</f>
        <v/>
      </c>
      <c r="G384" s="18" t="str">
        <f>IF($A384="","",INDEX('Logic &amp; Lists'!$J$4:$J$20,$E384))</f>
        <v/>
      </c>
      <c r="H384" s="6" t="str">
        <f t="shared" si="26"/>
        <v/>
      </c>
      <c r="I384" s="18" t="str">
        <f t="shared" ca="1" si="27"/>
        <v/>
      </c>
      <c r="J384" s="5" t="str">
        <f t="shared" si="28"/>
        <v/>
      </c>
      <c r="K384" s="25"/>
      <c r="L384" s="5" t="str">
        <f t="shared" si="29"/>
        <v/>
      </c>
      <c r="M384" s="7"/>
      <c r="N384" s="7"/>
      <c r="O384" s="7"/>
      <c r="P384" s="20" t="str">
        <f>IF($A384="","",INDEX(Project_Tracker!$I$2:$I$101,INT((ROW()-6)/17)+1))</f>
        <v/>
      </c>
      <c r="Q384" s="20" t="str">
        <f>IF($A384="","",INDEX(Project_Tracker!$K$2:$K$101,INT((ROW()-6)/17)+1))</f>
        <v/>
      </c>
    </row>
    <row r="385" spans="1:17" x14ac:dyDescent="0.2">
      <c r="A385" s="20" t="str">
        <f>IF(INDEX(Project_Tracker!$AL$2:$AL$101,INT((ROW()-6)/17)+1)="","",INDEX(Project_Tracker!$AL$2:$AL$101,INT((ROW()-6)/17)+1))</f>
        <v/>
      </c>
      <c r="B385" s="21" t="str">
        <f>IF($A385="","",INDEX(Project_Tracker!$AM$2:$AM$101,INT((ROW()-6)/17)+1))</f>
        <v/>
      </c>
      <c r="C385" s="20" t="str">
        <f>IF($A385="","",INDEX(Project_Tracker!$C$2:$C$101,INT((ROW()-6)/17)+1))</f>
        <v/>
      </c>
      <c r="D385" s="6" t="str">
        <f>IF($A385="","",INDEX(Project_Tracker!$T$2:$T$101,INT((ROW()-6)/17)+1))</f>
        <v/>
      </c>
      <c r="E385" s="18">
        <f t="shared" si="25"/>
        <v>6</v>
      </c>
      <c r="F385" s="23" t="str">
        <f>IF($A385="","",INDEX('Logic &amp; Lists'!$I$4:$I$20,$E385))</f>
        <v/>
      </c>
      <c r="G385" s="18" t="str">
        <f>IF($A385="","",INDEX('Logic &amp; Lists'!$J$4:$J$20,$E385))</f>
        <v/>
      </c>
      <c r="H385" s="6" t="str">
        <f t="shared" si="26"/>
        <v/>
      </c>
      <c r="I385" s="18" t="str">
        <f t="shared" ca="1" si="27"/>
        <v/>
      </c>
      <c r="J385" s="5" t="str">
        <f t="shared" si="28"/>
        <v/>
      </c>
      <c r="K385" s="25"/>
      <c r="L385" s="5" t="str">
        <f t="shared" si="29"/>
        <v/>
      </c>
      <c r="M385" s="7"/>
      <c r="N385" s="7"/>
      <c r="O385" s="7"/>
      <c r="P385" s="20" t="str">
        <f>IF($A385="","",INDEX(Project_Tracker!$I$2:$I$101,INT((ROW()-6)/17)+1))</f>
        <v/>
      </c>
      <c r="Q385" s="20" t="str">
        <f>IF($A385="","",INDEX(Project_Tracker!$K$2:$K$101,INT((ROW()-6)/17)+1))</f>
        <v/>
      </c>
    </row>
    <row r="386" spans="1:17" x14ac:dyDescent="0.2">
      <c r="A386" s="20" t="str">
        <f>IF(INDEX(Project_Tracker!$AL$2:$AL$101,INT((ROW()-6)/17)+1)="","",INDEX(Project_Tracker!$AL$2:$AL$101,INT((ROW()-6)/17)+1))</f>
        <v/>
      </c>
      <c r="B386" s="21" t="str">
        <f>IF($A386="","",INDEX(Project_Tracker!$AM$2:$AM$101,INT((ROW()-6)/17)+1))</f>
        <v/>
      </c>
      <c r="C386" s="20" t="str">
        <f>IF($A386="","",INDEX(Project_Tracker!$C$2:$C$101,INT((ROW()-6)/17)+1))</f>
        <v/>
      </c>
      <c r="D386" s="6" t="str">
        <f>IF($A386="","",INDEX(Project_Tracker!$T$2:$T$101,INT((ROW()-6)/17)+1))</f>
        <v/>
      </c>
      <c r="E386" s="18">
        <f t="shared" si="25"/>
        <v>7</v>
      </c>
      <c r="F386" s="23" t="str">
        <f>IF($A386="","",INDEX('Logic &amp; Lists'!$I$4:$I$20,$E386))</f>
        <v/>
      </c>
      <c r="G386" s="18" t="str">
        <f>IF($A386="","",INDEX('Logic &amp; Lists'!$J$4:$J$20,$E386))</f>
        <v/>
      </c>
      <c r="H386" s="6" t="str">
        <f t="shared" si="26"/>
        <v/>
      </c>
      <c r="I386" s="18" t="str">
        <f t="shared" ca="1" si="27"/>
        <v/>
      </c>
      <c r="J386" s="5" t="str">
        <f t="shared" si="28"/>
        <v/>
      </c>
      <c r="K386" s="25"/>
      <c r="L386" s="5" t="str">
        <f t="shared" si="29"/>
        <v/>
      </c>
      <c r="M386" s="7"/>
      <c r="N386" s="7"/>
      <c r="O386" s="7"/>
      <c r="P386" s="20" t="str">
        <f>IF($A386="","",INDEX(Project_Tracker!$I$2:$I$101,INT((ROW()-6)/17)+1))</f>
        <v/>
      </c>
      <c r="Q386" s="20" t="str">
        <f>IF($A386="","",INDEX(Project_Tracker!$K$2:$K$101,INT((ROW()-6)/17)+1))</f>
        <v/>
      </c>
    </row>
    <row r="387" spans="1:17" x14ac:dyDescent="0.2">
      <c r="A387" s="20" t="str">
        <f>IF(INDEX(Project_Tracker!$AL$2:$AL$101,INT((ROW()-6)/17)+1)="","",INDEX(Project_Tracker!$AL$2:$AL$101,INT((ROW()-6)/17)+1))</f>
        <v/>
      </c>
      <c r="B387" s="21" t="str">
        <f>IF($A387="","",INDEX(Project_Tracker!$AM$2:$AM$101,INT((ROW()-6)/17)+1))</f>
        <v/>
      </c>
      <c r="C387" s="20" t="str">
        <f>IF($A387="","",INDEX(Project_Tracker!$C$2:$C$101,INT((ROW()-6)/17)+1))</f>
        <v/>
      </c>
      <c r="D387" s="6" t="str">
        <f>IF($A387="","",INDEX(Project_Tracker!$T$2:$T$101,INT((ROW()-6)/17)+1))</f>
        <v/>
      </c>
      <c r="E387" s="18">
        <f t="shared" si="25"/>
        <v>8</v>
      </c>
      <c r="F387" s="23" t="str">
        <f>IF($A387="","",INDEX('Logic &amp; Lists'!$I$4:$I$20,$E387))</f>
        <v/>
      </c>
      <c r="G387" s="18" t="str">
        <f>IF($A387="","",INDEX('Logic &amp; Lists'!$J$4:$J$20,$E387))</f>
        <v/>
      </c>
      <c r="H387" s="6" t="str">
        <f t="shared" si="26"/>
        <v/>
      </c>
      <c r="I387" s="18" t="str">
        <f t="shared" ca="1" si="27"/>
        <v/>
      </c>
      <c r="J387" s="5" t="str">
        <f t="shared" si="28"/>
        <v/>
      </c>
      <c r="K387" s="25"/>
      <c r="L387" s="5" t="str">
        <f t="shared" si="29"/>
        <v/>
      </c>
      <c r="M387" s="7"/>
      <c r="N387" s="7"/>
      <c r="O387" s="7"/>
      <c r="P387" s="20" t="str">
        <f>IF($A387="","",INDEX(Project_Tracker!$I$2:$I$101,INT((ROW()-6)/17)+1))</f>
        <v/>
      </c>
      <c r="Q387" s="20" t="str">
        <f>IF($A387="","",INDEX(Project_Tracker!$K$2:$K$101,INT((ROW()-6)/17)+1))</f>
        <v/>
      </c>
    </row>
    <row r="388" spans="1:17" x14ac:dyDescent="0.2">
      <c r="A388" s="20" t="str">
        <f>IF(INDEX(Project_Tracker!$AL$2:$AL$101,INT((ROW()-6)/17)+1)="","",INDEX(Project_Tracker!$AL$2:$AL$101,INT((ROW()-6)/17)+1))</f>
        <v/>
      </c>
      <c r="B388" s="21" t="str">
        <f>IF($A388="","",INDEX(Project_Tracker!$AM$2:$AM$101,INT((ROW()-6)/17)+1))</f>
        <v/>
      </c>
      <c r="C388" s="20" t="str">
        <f>IF($A388="","",INDEX(Project_Tracker!$C$2:$C$101,INT((ROW()-6)/17)+1))</f>
        <v/>
      </c>
      <c r="D388" s="6" t="str">
        <f>IF($A388="","",INDEX(Project_Tracker!$T$2:$T$101,INT((ROW()-6)/17)+1))</f>
        <v/>
      </c>
      <c r="E388" s="18">
        <f t="shared" si="25"/>
        <v>9</v>
      </c>
      <c r="F388" s="23" t="str">
        <f>IF($A388="","",INDEX('Logic &amp; Lists'!$I$4:$I$20,$E388))</f>
        <v/>
      </c>
      <c r="G388" s="18" t="str">
        <f>IF($A388="","",INDEX('Logic &amp; Lists'!$J$4:$J$20,$E388))</f>
        <v/>
      </c>
      <c r="H388" s="6" t="str">
        <f t="shared" si="26"/>
        <v/>
      </c>
      <c r="I388" s="18" t="str">
        <f t="shared" ca="1" si="27"/>
        <v/>
      </c>
      <c r="J388" s="5" t="str">
        <f t="shared" si="28"/>
        <v/>
      </c>
      <c r="K388" s="25"/>
      <c r="L388" s="5" t="str">
        <f t="shared" si="29"/>
        <v/>
      </c>
      <c r="M388" s="7"/>
      <c r="N388" s="7"/>
      <c r="O388" s="7"/>
      <c r="P388" s="20" t="str">
        <f>IF($A388="","",INDEX(Project_Tracker!$I$2:$I$101,INT((ROW()-6)/17)+1))</f>
        <v/>
      </c>
      <c r="Q388" s="20" t="str">
        <f>IF($A388="","",INDEX(Project_Tracker!$K$2:$K$101,INT((ROW()-6)/17)+1))</f>
        <v/>
      </c>
    </row>
    <row r="389" spans="1:17" x14ac:dyDescent="0.2">
      <c r="A389" s="20" t="str">
        <f>IF(INDEX(Project_Tracker!$AL$2:$AL$101,INT((ROW()-6)/17)+1)="","",INDEX(Project_Tracker!$AL$2:$AL$101,INT((ROW()-6)/17)+1))</f>
        <v/>
      </c>
      <c r="B389" s="21" t="str">
        <f>IF($A389="","",INDEX(Project_Tracker!$AM$2:$AM$101,INT((ROW()-6)/17)+1))</f>
        <v/>
      </c>
      <c r="C389" s="20" t="str">
        <f>IF($A389="","",INDEX(Project_Tracker!$C$2:$C$101,INT((ROW()-6)/17)+1))</f>
        <v/>
      </c>
      <c r="D389" s="6" t="str">
        <f>IF($A389="","",INDEX(Project_Tracker!$T$2:$T$101,INT((ROW()-6)/17)+1))</f>
        <v/>
      </c>
      <c r="E389" s="18">
        <f t="shared" si="25"/>
        <v>10</v>
      </c>
      <c r="F389" s="23" t="str">
        <f>IF($A389="","",INDEX('Logic &amp; Lists'!$I$4:$I$20,$E389))</f>
        <v/>
      </c>
      <c r="G389" s="18" t="str">
        <f>IF($A389="","",INDEX('Logic &amp; Lists'!$J$4:$J$20,$E389))</f>
        <v/>
      </c>
      <c r="H389" s="6" t="str">
        <f t="shared" si="26"/>
        <v/>
      </c>
      <c r="I389" s="18" t="str">
        <f t="shared" ca="1" si="27"/>
        <v/>
      </c>
      <c r="J389" s="5" t="str">
        <f t="shared" si="28"/>
        <v/>
      </c>
      <c r="K389" s="25"/>
      <c r="L389" s="5" t="str">
        <f t="shared" si="29"/>
        <v/>
      </c>
      <c r="M389" s="7"/>
      <c r="N389" s="7"/>
      <c r="O389" s="7"/>
      <c r="P389" s="20" t="str">
        <f>IF($A389="","",INDEX(Project_Tracker!$I$2:$I$101,INT((ROW()-6)/17)+1))</f>
        <v/>
      </c>
      <c r="Q389" s="20" t="str">
        <f>IF($A389="","",INDEX(Project_Tracker!$K$2:$K$101,INT((ROW()-6)/17)+1))</f>
        <v/>
      </c>
    </row>
    <row r="390" spans="1:17" x14ac:dyDescent="0.2">
      <c r="A390" s="20" t="str">
        <f>IF(INDEX(Project_Tracker!$AL$2:$AL$101,INT((ROW()-6)/17)+1)="","",INDEX(Project_Tracker!$AL$2:$AL$101,INT((ROW()-6)/17)+1))</f>
        <v/>
      </c>
      <c r="B390" s="21" t="str">
        <f>IF($A390="","",INDEX(Project_Tracker!$AM$2:$AM$101,INT((ROW()-6)/17)+1))</f>
        <v/>
      </c>
      <c r="C390" s="20" t="str">
        <f>IF($A390="","",INDEX(Project_Tracker!$C$2:$C$101,INT((ROW()-6)/17)+1))</f>
        <v/>
      </c>
      <c r="D390" s="6" t="str">
        <f>IF($A390="","",INDEX(Project_Tracker!$T$2:$T$101,INT((ROW()-6)/17)+1))</f>
        <v/>
      </c>
      <c r="E390" s="18">
        <f t="shared" ref="E390:E453" si="30">MOD(ROW()-6,17)+1</f>
        <v>11</v>
      </c>
      <c r="F390" s="23" t="str">
        <f>IF($A390="","",INDEX('Logic &amp; Lists'!$I$4:$I$20,$E390))</f>
        <v/>
      </c>
      <c r="G390" s="18" t="str">
        <f>IF($A390="","",INDEX('Logic &amp; Lists'!$J$4:$J$20,$E390))</f>
        <v/>
      </c>
      <c r="H390" s="6" t="str">
        <f t="shared" ref="H390:H453" si="31">IF($D390="","",$D390-$G390)</f>
        <v/>
      </c>
      <c r="I390" s="18" t="str">
        <f t="shared" ref="I390:I453" ca="1" si="32">IF($H390="","",$H390-TODAY())</f>
        <v/>
      </c>
      <c r="J390" s="5" t="str">
        <f t="shared" ref="J390:J453" si="33">IF($A390="","",IF($K390&lt;&gt;"","ORDERED",IF($I390&lt;0,"OVERDUE",IF($I390&lt;=7,"URGENT",IF($I390&lt;=14,"PREPARE","OK")))))</f>
        <v/>
      </c>
      <c r="K390" s="25"/>
      <c r="L390" s="5" t="str">
        <f t="shared" ref="L390:L453" si="34">IF($A390="","",IF($K390="",$J390,IF($K390&lt;=$H390,"Ordered On Time","Ordered Late")))</f>
        <v/>
      </c>
      <c r="M390" s="7"/>
      <c r="N390" s="7"/>
      <c r="O390" s="7"/>
      <c r="P390" s="20" t="str">
        <f>IF($A390="","",INDEX(Project_Tracker!$I$2:$I$101,INT((ROW()-6)/17)+1))</f>
        <v/>
      </c>
      <c r="Q390" s="20" t="str">
        <f>IF($A390="","",INDEX(Project_Tracker!$K$2:$K$101,INT((ROW()-6)/17)+1))</f>
        <v/>
      </c>
    </row>
    <row r="391" spans="1:17" x14ac:dyDescent="0.2">
      <c r="A391" s="20" t="str">
        <f>IF(INDEX(Project_Tracker!$AL$2:$AL$101,INT((ROW()-6)/17)+1)="","",INDEX(Project_Tracker!$AL$2:$AL$101,INT((ROW()-6)/17)+1))</f>
        <v/>
      </c>
      <c r="B391" s="21" t="str">
        <f>IF($A391="","",INDEX(Project_Tracker!$AM$2:$AM$101,INT((ROW()-6)/17)+1))</f>
        <v/>
      </c>
      <c r="C391" s="20" t="str">
        <f>IF($A391="","",INDEX(Project_Tracker!$C$2:$C$101,INT((ROW()-6)/17)+1))</f>
        <v/>
      </c>
      <c r="D391" s="6" t="str">
        <f>IF($A391="","",INDEX(Project_Tracker!$T$2:$T$101,INT((ROW()-6)/17)+1))</f>
        <v/>
      </c>
      <c r="E391" s="18">
        <f t="shared" si="30"/>
        <v>12</v>
      </c>
      <c r="F391" s="23" t="str">
        <f>IF($A391="","",INDEX('Logic &amp; Lists'!$I$4:$I$20,$E391))</f>
        <v/>
      </c>
      <c r="G391" s="18" t="str">
        <f>IF($A391="","",INDEX('Logic &amp; Lists'!$J$4:$J$20,$E391))</f>
        <v/>
      </c>
      <c r="H391" s="6" t="str">
        <f t="shared" si="31"/>
        <v/>
      </c>
      <c r="I391" s="18" t="str">
        <f t="shared" ca="1" si="32"/>
        <v/>
      </c>
      <c r="J391" s="5" t="str">
        <f t="shared" si="33"/>
        <v/>
      </c>
      <c r="K391" s="25"/>
      <c r="L391" s="5" t="str">
        <f t="shared" si="34"/>
        <v/>
      </c>
      <c r="M391" s="7"/>
      <c r="N391" s="7"/>
      <c r="O391" s="7"/>
      <c r="P391" s="20" t="str">
        <f>IF($A391="","",INDEX(Project_Tracker!$I$2:$I$101,INT((ROW()-6)/17)+1))</f>
        <v/>
      </c>
      <c r="Q391" s="20" t="str">
        <f>IF($A391="","",INDEX(Project_Tracker!$K$2:$K$101,INT((ROW()-6)/17)+1))</f>
        <v/>
      </c>
    </row>
    <row r="392" spans="1:17" x14ac:dyDescent="0.2">
      <c r="A392" s="20" t="str">
        <f>IF(INDEX(Project_Tracker!$AL$2:$AL$101,INT((ROW()-6)/17)+1)="","",INDEX(Project_Tracker!$AL$2:$AL$101,INT((ROW()-6)/17)+1))</f>
        <v/>
      </c>
      <c r="B392" s="21" t="str">
        <f>IF($A392="","",INDEX(Project_Tracker!$AM$2:$AM$101,INT((ROW()-6)/17)+1))</f>
        <v/>
      </c>
      <c r="C392" s="20" t="str">
        <f>IF($A392="","",INDEX(Project_Tracker!$C$2:$C$101,INT((ROW()-6)/17)+1))</f>
        <v/>
      </c>
      <c r="D392" s="6" t="str">
        <f>IF($A392="","",INDEX(Project_Tracker!$T$2:$T$101,INT((ROW()-6)/17)+1))</f>
        <v/>
      </c>
      <c r="E392" s="18">
        <f t="shared" si="30"/>
        <v>13</v>
      </c>
      <c r="F392" s="23" t="str">
        <f>IF($A392="","",INDEX('Logic &amp; Lists'!$I$4:$I$20,$E392))</f>
        <v/>
      </c>
      <c r="G392" s="18" t="str">
        <f>IF($A392="","",INDEX('Logic &amp; Lists'!$J$4:$J$20,$E392))</f>
        <v/>
      </c>
      <c r="H392" s="6" t="str">
        <f t="shared" si="31"/>
        <v/>
      </c>
      <c r="I392" s="18" t="str">
        <f t="shared" ca="1" si="32"/>
        <v/>
      </c>
      <c r="J392" s="5" t="str">
        <f t="shared" si="33"/>
        <v/>
      </c>
      <c r="K392" s="25"/>
      <c r="L392" s="5" t="str">
        <f t="shared" si="34"/>
        <v/>
      </c>
      <c r="M392" s="7"/>
      <c r="N392" s="7"/>
      <c r="O392" s="7"/>
      <c r="P392" s="20" t="str">
        <f>IF($A392="","",INDEX(Project_Tracker!$I$2:$I$101,INT((ROW()-6)/17)+1))</f>
        <v/>
      </c>
      <c r="Q392" s="20" t="str">
        <f>IF($A392="","",INDEX(Project_Tracker!$K$2:$K$101,INT((ROW()-6)/17)+1))</f>
        <v/>
      </c>
    </row>
    <row r="393" spans="1:17" x14ac:dyDescent="0.2">
      <c r="A393" s="20" t="str">
        <f>IF(INDEX(Project_Tracker!$AL$2:$AL$101,INT((ROW()-6)/17)+1)="","",INDEX(Project_Tracker!$AL$2:$AL$101,INT((ROW()-6)/17)+1))</f>
        <v/>
      </c>
      <c r="B393" s="21" t="str">
        <f>IF($A393="","",INDEX(Project_Tracker!$AM$2:$AM$101,INT((ROW()-6)/17)+1))</f>
        <v/>
      </c>
      <c r="C393" s="20" t="str">
        <f>IF($A393="","",INDEX(Project_Tracker!$C$2:$C$101,INT((ROW()-6)/17)+1))</f>
        <v/>
      </c>
      <c r="D393" s="6" t="str">
        <f>IF($A393="","",INDEX(Project_Tracker!$T$2:$T$101,INT((ROW()-6)/17)+1))</f>
        <v/>
      </c>
      <c r="E393" s="18">
        <f t="shared" si="30"/>
        <v>14</v>
      </c>
      <c r="F393" s="23" t="str">
        <f>IF($A393="","",INDEX('Logic &amp; Lists'!$I$4:$I$20,$E393))</f>
        <v/>
      </c>
      <c r="G393" s="18" t="str">
        <f>IF($A393="","",INDEX('Logic &amp; Lists'!$J$4:$J$20,$E393))</f>
        <v/>
      </c>
      <c r="H393" s="6" t="str">
        <f t="shared" si="31"/>
        <v/>
      </c>
      <c r="I393" s="18" t="str">
        <f t="shared" ca="1" si="32"/>
        <v/>
      </c>
      <c r="J393" s="5" t="str">
        <f t="shared" si="33"/>
        <v/>
      </c>
      <c r="K393" s="25"/>
      <c r="L393" s="5" t="str">
        <f t="shared" si="34"/>
        <v/>
      </c>
      <c r="M393" s="7"/>
      <c r="N393" s="7"/>
      <c r="O393" s="7"/>
      <c r="P393" s="20" t="str">
        <f>IF($A393="","",INDEX(Project_Tracker!$I$2:$I$101,INT((ROW()-6)/17)+1))</f>
        <v/>
      </c>
      <c r="Q393" s="20" t="str">
        <f>IF($A393="","",INDEX(Project_Tracker!$K$2:$K$101,INT((ROW()-6)/17)+1))</f>
        <v/>
      </c>
    </row>
    <row r="394" spans="1:17" x14ac:dyDescent="0.2">
      <c r="A394" s="20" t="str">
        <f>IF(INDEX(Project_Tracker!$AL$2:$AL$101,INT((ROW()-6)/17)+1)="","",INDEX(Project_Tracker!$AL$2:$AL$101,INT((ROW()-6)/17)+1))</f>
        <v/>
      </c>
      <c r="B394" s="21" t="str">
        <f>IF($A394="","",INDEX(Project_Tracker!$AM$2:$AM$101,INT((ROW()-6)/17)+1))</f>
        <v/>
      </c>
      <c r="C394" s="20" t="str">
        <f>IF($A394="","",INDEX(Project_Tracker!$C$2:$C$101,INT((ROW()-6)/17)+1))</f>
        <v/>
      </c>
      <c r="D394" s="6" t="str">
        <f>IF($A394="","",INDEX(Project_Tracker!$T$2:$T$101,INT((ROW()-6)/17)+1))</f>
        <v/>
      </c>
      <c r="E394" s="18">
        <f t="shared" si="30"/>
        <v>15</v>
      </c>
      <c r="F394" s="23" t="str">
        <f>IF($A394="","",INDEX('Logic &amp; Lists'!$I$4:$I$20,$E394))</f>
        <v/>
      </c>
      <c r="G394" s="18" t="str">
        <f>IF($A394="","",INDEX('Logic &amp; Lists'!$J$4:$J$20,$E394))</f>
        <v/>
      </c>
      <c r="H394" s="6" t="str">
        <f t="shared" si="31"/>
        <v/>
      </c>
      <c r="I394" s="18" t="str">
        <f t="shared" ca="1" si="32"/>
        <v/>
      </c>
      <c r="J394" s="5" t="str">
        <f t="shared" si="33"/>
        <v/>
      </c>
      <c r="K394" s="25"/>
      <c r="L394" s="5" t="str">
        <f t="shared" si="34"/>
        <v/>
      </c>
      <c r="M394" s="7"/>
      <c r="N394" s="7"/>
      <c r="O394" s="7"/>
      <c r="P394" s="20" t="str">
        <f>IF($A394="","",INDEX(Project_Tracker!$I$2:$I$101,INT((ROW()-6)/17)+1))</f>
        <v/>
      </c>
      <c r="Q394" s="20" t="str">
        <f>IF($A394="","",INDEX(Project_Tracker!$K$2:$K$101,INT((ROW()-6)/17)+1))</f>
        <v/>
      </c>
    </row>
    <row r="395" spans="1:17" x14ac:dyDescent="0.2">
      <c r="A395" s="20" t="str">
        <f>IF(INDEX(Project_Tracker!$AL$2:$AL$101,INT((ROW()-6)/17)+1)="","",INDEX(Project_Tracker!$AL$2:$AL$101,INT((ROW()-6)/17)+1))</f>
        <v/>
      </c>
      <c r="B395" s="21" t="str">
        <f>IF($A395="","",INDEX(Project_Tracker!$AM$2:$AM$101,INT((ROW()-6)/17)+1))</f>
        <v/>
      </c>
      <c r="C395" s="20" t="str">
        <f>IF($A395="","",INDEX(Project_Tracker!$C$2:$C$101,INT((ROW()-6)/17)+1))</f>
        <v/>
      </c>
      <c r="D395" s="6" t="str">
        <f>IF($A395="","",INDEX(Project_Tracker!$T$2:$T$101,INT((ROW()-6)/17)+1))</f>
        <v/>
      </c>
      <c r="E395" s="18">
        <f t="shared" si="30"/>
        <v>16</v>
      </c>
      <c r="F395" s="23" t="str">
        <f>IF($A395="","",INDEX('Logic &amp; Lists'!$I$4:$I$20,$E395))</f>
        <v/>
      </c>
      <c r="G395" s="18" t="str">
        <f>IF($A395="","",INDEX('Logic &amp; Lists'!$J$4:$J$20,$E395))</f>
        <v/>
      </c>
      <c r="H395" s="6" t="str">
        <f t="shared" si="31"/>
        <v/>
      </c>
      <c r="I395" s="18" t="str">
        <f t="shared" ca="1" si="32"/>
        <v/>
      </c>
      <c r="J395" s="5" t="str">
        <f t="shared" si="33"/>
        <v/>
      </c>
      <c r="K395" s="25"/>
      <c r="L395" s="5" t="str">
        <f t="shared" si="34"/>
        <v/>
      </c>
      <c r="M395" s="7"/>
      <c r="N395" s="7"/>
      <c r="O395" s="7"/>
      <c r="P395" s="20" t="str">
        <f>IF($A395="","",INDEX(Project_Tracker!$I$2:$I$101,INT((ROW()-6)/17)+1))</f>
        <v/>
      </c>
      <c r="Q395" s="20" t="str">
        <f>IF($A395="","",INDEX(Project_Tracker!$K$2:$K$101,INT((ROW()-6)/17)+1))</f>
        <v/>
      </c>
    </row>
    <row r="396" spans="1:17" x14ac:dyDescent="0.2">
      <c r="A396" s="20" t="str">
        <f>IF(INDEX(Project_Tracker!$AL$2:$AL$101,INT((ROW()-6)/17)+1)="","",INDEX(Project_Tracker!$AL$2:$AL$101,INT((ROW()-6)/17)+1))</f>
        <v/>
      </c>
      <c r="B396" s="21" t="str">
        <f>IF($A396="","",INDEX(Project_Tracker!$AM$2:$AM$101,INT((ROW()-6)/17)+1))</f>
        <v/>
      </c>
      <c r="C396" s="20" t="str">
        <f>IF($A396="","",INDEX(Project_Tracker!$C$2:$C$101,INT((ROW()-6)/17)+1))</f>
        <v/>
      </c>
      <c r="D396" s="6" t="str">
        <f>IF($A396="","",INDEX(Project_Tracker!$T$2:$T$101,INT((ROW()-6)/17)+1))</f>
        <v/>
      </c>
      <c r="E396" s="18">
        <f t="shared" si="30"/>
        <v>17</v>
      </c>
      <c r="F396" s="23" t="str">
        <f>IF($A396="","",INDEX('Logic &amp; Lists'!$I$4:$I$20,$E396))</f>
        <v/>
      </c>
      <c r="G396" s="18" t="str">
        <f>IF($A396="","",INDEX('Logic &amp; Lists'!$J$4:$J$20,$E396))</f>
        <v/>
      </c>
      <c r="H396" s="6" t="str">
        <f t="shared" si="31"/>
        <v/>
      </c>
      <c r="I396" s="18" t="str">
        <f t="shared" ca="1" si="32"/>
        <v/>
      </c>
      <c r="J396" s="5" t="str">
        <f t="shared" si="33"/>
        <v/>
      </c>
      <c r="K396" s="25"/>
      <c r="L396" s="5" t="str">
        <f t="shared" si="34"/>
        <v/>
      </c>
      <c r="M396" s="7"/>
      <c r="N396" s="7"/>
      <c r="O396" s="7"/>
      <c r="P396" s="20" t="str">
        <f>IF($A396="","",INDEX(Project_Tracker!$I$2:$I$101,INT((ROW()-6)/17)+1))</f>
        <v/>
      </c>
      <c r="Q396" s="20" t="str">
        <f>IF($A396="","",INDEX(Project_Tracker!$K$2:$K$101,INT((ROW()-6)/17)+1))</f>
        <v/>
      </c>
    </row>
    <row r="397" spans="1:17" x14ac:dyDescent="0.2">
      <c r="A397" s="20" t="str">
        <f>IF(INDEX(Project_Tracker!$AL$2:$AL$101,INT((ROW()-6)/17)+1)="","",INDEX(Project_Tracker!$AL$2:$AL$101,INT((ROW()-6)/17)+1))</f>
        <v/>
      </c>
      <c r="B397" s="21" t="str">
        <f>IF($A397="","",INDEX(Project_Tracker!$AM$2:$AM$101,INT((ROW()-6)/17)+1))</f>
        <v/>
      </c>
      <c r="C397" s="20" t="str">
        <f>IF($A397="","",INDEX(Project_Tracker!$C$2:$C$101,INT((ROW()-6)/17)+1))</f>
        <v/>
      </c>
      <c r="D397" s="6" t="str">
        <f>IF($A397="","",INDEX(Project_Tracker!$T$2:$T$101,INT((ROW()-6)/17)+1))</f>
        <v/>
      </c>
      <c r="E397" s="18">
        <f t="shared" si="30"/>
        <v>1</v>
      </c>
      <c r="F397" s="23" t="str">
        <f>IF($A397="","",INDEX('Logic &amp; Lists'!$I$4:$I$20,$E397))</f>
        <v/>
      </c>
      <c r="G397" s="18" t="str">
        <f>IF($A397="","",INDEX('Logic &amp; Lists'!$J$4:$J$20,$E397))</f>
        <v/>
      </c>
      <c r="H397" s="6" t="str">
        <f t="shared" si="31"/>
        <v/>
      </c>
      <c r="I397" s="18" t="str">
        <f t="shared" ca="1" si="32"/>
        <v/>
      </c>
      <c r="J397" s="5" t="str">
        <f t="shared" si="33"/>
        <v/>
      </c>
      <c r="K397" s="25"/>
      <c r="L397" s="5" t="str">
        <f t="shared" si="34"/>
        <v/>
      </c>
      <c r="M397" s="7"/>
      <c r="N397" s="7"/>
      <c r="O397" s="7"/>
      <c r="P397" s="20" t="str">
        <f>IF($A397="","",INDEX(Project_Tracker!$I$2:$I$101,INT((ROW()-6)/17)+1))</f>
        <v/>
      </c>
      <c r="Q397" s="20" t="str">
        <f>IF($A397="","",INDEX(Project_Tracker!$K$2:$K$101,INT((ROW()-6)/17)+1))</f>
        <v/>
      </c>
    </row>
    <row r="398" spans="1:17" x14ac:dyDescent="0.2">
      <c r="A398" s="20" t="str">
        <f>IF(INDEX(Project_Tracker!$AL$2:$AL$101,INT((ROW()-6)/17)+1)="","",INDEX(Project_Tracker!$AL$2:$AL$101,INT((ROW()-6)/17)+1))</f>
        <v/>
      </c>
      <c r="B398" s="21" t="str">
        <f>IF($A398="","",INDEX(Project_Tracker!$AM$2:$AM$101,INT((ROW()-6)/17)+1))</f>
        <v/>
      </c>
      <c r="C398" s="20" t="str">
        <f>IF($A398="","",INDEX(Project_Tracker!$C$2:$C$101,INT((ROW()-6)/17)+1))</f>
        <v/>
      </c>
      <c r="D398" s="6" t="str">
        <f>IF($A398="","",INDEX(Project_Tracker!$T$2:$T$101,INT((ROW()-6)/17)+1))</f>
        <v/>
      </c>
      <c r="E398" s="18">
        <f t="shared" si="30"/>
        <v>2</v>
      </c>
      <c r="F398" s="23" t="str">
        <f>IF($A398="","",INDEX('Logic &amp; Lists'!$I$4:$I$20,$E398))</f>
        <v/>
      </c>
      <c r="G398" s="18" t="str">
        <f>IF($A398="","",INDEX('Logic &amp; Lists'!$J$4:$J$20,$E398))</f>
        <v/>
      </c>
      <c r="H398" s="6" t="str">
        <f t="shared" si="31"/>
        <v/>
      </c>
      <c r="I398" s="18" t="str">
        <f t="shared" ca="1" si="32"/>
        <v/>
      </c>
      <c r="J398" s="5" t="str">
        <f t="shared" si="33"/>
        <v/>
      </c>
      <c r="K398" s="25"/>
      <c r="L398" s="5" t="str">
        <f t="shared" si="34"/>
        <v/>
      </c>
      <c r="M398" s="7"/>
      <c r="N398" s="7"/>
      <c r="O398" s="7"/>
      <c r="P398" s="20" t="str">
        <f>IF($A398="","",INDEX(Project_Tracker!$I$2:$I$101,INT((ROW()-6)/17)+1))</f>
        <v/>
      </c>
      <c r="Q398" s="20" t="str">
        <f>IF($A398="","",INDEX(Project_Tracker!$K$2:$K$101,INT((ROW()-6)/17)+1))</f>
        <v/>
      </c>
    </row>
    <row r="399" spans="1:17" x14ac:dyDescent="0.2">
      <c r="A399" s="20" t="str">
        <f>IF(INDEX(Project_Tracker!$AL$2:$AL$101,INT((ROW()-6)/17)+1)="","",INDEX(Project_Tracker!$AL$2:$AL$101,INT((ROW()-6)/17)+1))</f>
        <v/>
      </c>
      <c r="B399" s="21" t="str">
        <f>IF($A399="","",INDEX(Project_Tracker!$AM$2:$AM$101,INT((ROW()-6)/17)+1))</f>
        <v/>
      </c>
      <c r="C399" s="20" t="str">
        <f>IF($A399="","",INDEX(Project_Tracker!$C$2:$C$101,INT((ROW()-6)/17)+1))</f>
        <v/>
      </c>
      <c r="D399" s="6" t="str">
        <f>IF($A399="","",INDEX(Project_Tracker!$T$2:$T$101,INT((ROW()-6)/17)+1))</f>
        <v/>
      </c>
      <c r="E399" s="18">
        <f t="shared" si="30"/>
        <v>3</v>
      </c>
      <c r="F399" s="23" t="str">
        <f>IF($A399="","",INDEX('Logic &amp; Lists'!$I$4:$I$20,$E399))</f>
        <v/>
      </c>
      <c r="G399" s="18" t="str">
        <f>IF($A399="","",INDEX('Logic &amp; Lists'!$J$4:$J$20,$E399))</f>
        <v/>
      </c>
      <c r="H399" s="6" t="str">
        <f t="shared" si="31"/>
        <v/>
      </c>
      <c r="I399" s="18" t="str">
        <f t="shared" ca="1" si="32"/>
        <v/>
      </c>
      <c r="J399" s="5" t="str">
        <f t="shared" si="33"/>
        <v/>
      </c>
      <c r="K399" s="25"/>
      <c r="L399" s="5" t="str">
        <f t="shared" si="34"/>
        <v/>
      </c>
      <c r="M399" s="7"/>
      <c r="N399" s="7"/>
      <c r="O399" s="7"/>
      <c r="P399" s="20" t="str">
        <f>IF($A399="","",INDEX(Project_Tracker!$I$2:$I$101,INT((ROW()-6)/17)+1))</f>
        <v/>
      </c>
      <c r="Q399" s="20" t="str">
        <f>IF($A399="","",INDEX(Project_Tracker!$K$2:$K$101,INT((ROW()-6)/17)+1))</f>
        <v/>
      </c>
    </row>
    <row r="400" spans="1:17" x14ac:dyDescent="0.2">
      <c r="A400" s="20" t="str">
        <f>IF(INDEX(Project_Tracker!$AL$2:$AL$101,INT((ROW()-6)/17)+1)="","",INDEX(Project_Tracker!$AL$2:$AL$101,INT((ROW()-6)/17)+1))</f>
        <v/>
      </c>
      <c r="B400" s="21" t="str">
        <f>IF($A400="","",INDEX(Project_Tracker!$AM$2:$AM$101,INT((ROW()-6)/17)+1))</f>
        <v/>
      </c>
      <c r="C400" s="20" t="str">
        <f>IF($A400="","",INDEX(Project_Tracker!$C$2:$C$101,INT((ROW()-6)/17)+1))</f>
        <v/>
      </c>
      <c r="D400" s="6" t="str">
        <f>IF($A400="","",INDEX(Project_Tracker!$T$2:$T$101,INT((ROW()-6)/17)+1))</f>
        <v/>
      </c>
      <c r="E400" s="18">
        <f t="shared" si="30"/>
        <v>4</v>
      </c>
      <c r="F400" s="23" t="str">
        <f>IF($A400="","",INDEX('Logic &amp; Lists'!$I$4:$I$20,$E400))</f>
        <v/>
      </c>
      <c r="G400" s="18" t="str">
        <f>IF($A400="","",INDEX('Logic &amp; Lists'!$J$4:$J$20,$E400))</f>
        <v/>
      </c>
      <c r="H400" s="6" t="str">
        <f t="shared" si="31"/>
        <v/>
      </c>
      <c r="I400" s="18" t="str">
        <f t="shared" ca="1" si="32"/>
        <v/>
      </c>
      <c r="J400" s="5" t="str">
        <f t="shared" si="33"/>
        <v/>
      </c>
      <c r="K400" s="25"/>
      <c r="L400" s="5" t="str">
        <f t="shared" si="34"/>
        <v/>
      </c>
      <c r="M400" s="7"/>
      <c r="N400" s="7"/>
      <c r="O400" s="7"/>
      <c r="P400" s="20" t="str">
        <f>IF($A400="","",INDEX(Project_Tracker!$I$2:$I$101,INT((ROW()-6)/17)+1))</f>
        <v/>
      </c>
      <c r="Q400" s="20" t="str">
        <f>IF($A400="","",INDEX(Project_Tracker!$K$2:$K$101,INT((ROW()-6)/17)+1))</f>
        <v/>
      </c>
    </row>
    <row r="401" spans="1:17" x14ac:dyDescent="0.2">
      <c r="A401" s="20" t="str">
        <f>IF(INDEX(Project_Tracker!$AL$2:$AL$101,INT((ROW()-6)/17)+1)="","",INDEX(Project_Tracker!$AL$2:$AL$101,INT((ROW()-6)/17)+1))</f>
        <v/>
      </c>
      <c r="B401" s="21" t="str">
        <f>IF($A401="","",INDEX(Project_Tracker!$AM$2:$AM$101,INT((ROW()-6)/17)+1))</f>
        <v/>
      </c>
      <c r="C401" s="20" t="str">
        <f>IF($A401="","",INDEX(Project_Tracker!$C$2:$C$101,INT((ROW()-6)/17)+1))</f>
        <v/>
      </c>
      <c r="D401" s="6" t="str">
        <f>IF($A401="","",INDEX(Project_Tracker!$T$2:$T$101,INT((ROW()-6)/17)+1))</f>
        <v/>
      </c>
      <c r="E401" s="18">
        <f t="shared" si="30"/>
        <v>5</v>
      </c>
      <c r="F401" s="23" t="str">
        <f>IF($A401="","",INDEX('Logic &amp; Lists'!$I$4:$I$20,$E401))</f>
        <v/>
      </c>
      <c r="G401" s="18" t="str">
        <f>IF($A401="","",INDEX('Logic &amp; Lists'!$J$4:$J$20,$E401))</f>
        <v/>
      </c>
      <c r="H401" s="6" t="str">
        <f t="shared" si="31"/>
        <v/>
      </c>
      <c r="I401" s="18" t="str">
        <f t="shared" ca="1" si="32"/>
        <v/>
      </c>
      <c r="J401" s="5" t="str">
        <f t="shared" si="33"/>
        <v/>
      </c>
      <c r="K401" s="25"/>
      <c r="L401" s="5" t="str">
        <f t="shared" si="34"/>
        <v/>
      </c>
      <c r="M401" s="7"/>
      <c r="N401" s="7"/>
      <c r="O401" s="7"/>
      <c r="P401" s="20" t="str">
        <f>IF($A401="","",INDEX(Project_Tracker!$I$2:$I$101,INT((ROW()-6)/17)+1))</f>
        <v/>
      </c>
      <c r="Q401" s="20" t="str">
        <f>IF($A401="","",INDEX(Project_Tracker!$K$2:$K$101,INT((ROW()-6)/17)+1))</f>
        <v/>
      </c>
    </row>
    <row r="402" spans="1:17" x14ac:dyDescent="0.2">
      <c r="A402" s="20" t="str">
        <f>IF(INDEX(Project_Tracker!$AL$2:$AL$101,INT((ROW()-6)/17)+1)="","",INDEX(Project_Tracker!$AL$2:$AL$101,INT((ROW()-6)/17)+1))</f>
        <v/>
      </c>
      <c r="B402" s="21" t="str">
        <f>IF($A402="","",INDEX(Project_Tracker!$AM$2:$AM$101,INT((ROW()-6)/17)+1))</f>
        <v/>
      </c>
      <c r="C402" s="20" t="str">
        <f>IF($A402="","",INDEX(Project_Tracker!$C$2:$C$101,INT((ROW()-6)/17)+1))</f>
        <v/>
      </c>
      <c r="D402" s="6" t="str">
        <f>IF($A402="","",INDEX(Project_Tracker!$T$2:$T$101,INT((ROW()-6)/17)+1))</f>
        <v/>
      </c>
      <c r="E402" s="18">
        <f t="shared" si="30"/>
        <v>6</v>
      </c>
      <c r="F402" s="23" t="str">
        <f>IF($A402="","",INDEX('Logic &amp; Lists'!$I$4:$I$20,$E402))</f>
        <v/>
      </c>
      <c r="G402" s="18" t="str">
        <f>IF($A402="","",INDEX('Logic &amp; Lists'!$J$4:$J$20,$E402))</f>
        <v/>
      </c>
      <c r="H402" s="6" t="str">
        <f t="shared" si="31"/>
        <v/>
      </c>
      <c r="I402" s="18" t="str">
        <f t="shared" ca="1" si="32"/>
        <v/>
      </c>
      <c r="J402" s="5" t="str">
        <f t="shared" si="33"/>
        <v/>
      </c>
      <c r="K402" s="25"/>
      <c r="L402" s="5" t="str">
        <f t="shared" si="34"/>
        <v/>
      </c>
      <c r="M402" s="7"/>
      <c r="N402" s="7"/>
      <c r="O402" s="7"/>
      <c r="P402" s="20" t="str">
        <f>IF($A402="","",INDEX(Project_Tracker!$I$2:$I$101,INT((ROW()-6)/17)+1))</f>
        <v/>
      </c>
      <c r="Q402" s="20" t="str">
        <f>IF($A402="","",INDEX(Project_Tracker!$K$2:$K$101,INT((ROW()-6)/17)+1))</f>
        <v/>
      </c>
    </row>
    <row r="403" spans="1:17" x14ac:dyDescent="0.2">
      <c r="A403" s="20" t="str">
        <f>IF(INDEX(Project_Tracker!$AL$2:$AL$101,INT((ROW()-6)/17)+1)="","",INDEX(Project_Tracker!$AL$2:$AL$101,INT((ROW()-6)/17)+1))</f>
        <v/>
      </c>
      <c r="B403" s="21" t="str">
        <f>IF($A403="","",INDEX(Project_Tracker!$AM$2:$AM$101,INT((ROW()-6)/17)+1))</f>
        <v/>
      </c>
      <c r="C403" s="20" t="str">
        <f>IF($A403="","",INDEX(Project_Tracker!$C$2:$C$101,INT((ROW()-6)/17)+1))</f>
        <v/>
      </c>
      <c r="D403" s="6" t="str">
        <f>IF($A403="","",INDEX(Project_Tracker!$T$2:$T$101,INT((ROW()-6)/17)+1))</f>
        <v/>
      </c>
      <c r="E403" s="18">
        <f t="shared" si="30"/>
        <v>7</v>
      </c>
      <c r="F403" s="23" t="str">
        <f>IF($A403="","",INDEX('Logic &amp; Lists'!$I$4:$I$20,$E403))</f>
        <v/>
      </c>
      <c r="G403" s="18" t="str">
        <f>IF($A403="","",INDEX('Logic &amp; Lists'!$J$4:$J$20,$E403))</f>
        <v/>
      </c>
      <c r="H403" s="6" t="str">
        <f t="shared" si="31"/>
        <v/>
      </c>
      <c r="I403" s="18" t="str">
        <f t="shared" ca="1" si="32"/>
        <v/>
      </c>
      <c r="J403" s="5" t="str">
        <f t="shared" si="33"/>
        <v/>
      </c>
      <c r="K403" s="25"/>
      <c r="L403" s="5" t="str">
        <f t="shared" si="34"/>
        <v/>
      </c>
      <c r="M403" s="7"/>
      <c r="N403" s="7"/>
      <c r="O403" s="7"/>
      <c r="P403" s="20" t="str">
        <f>IF($A403="","",INDEX(Project_Tracker!$I$2:$I$101,INT((ROW()-6)/17)+1))</f>
        <v/>
      </c>
      <c r="Q403" s="20" t="str">
        <f>IF($A403="","",INDEX(Project_Tracker!$K$2:$K$101,INT((ROW()-6)/17)+1))</f>
        <v/>
      </c>
    </row>
    <row r="404" spans="1:17" x14ac:dyDescent="0.2">
      <c r="A404" s="20" t="str">
        <f>IF(INDEX(Project_Tracker!$AL$2:$AL$101,INT((ROW()-6)/17)+1)="","",INDEX(Project_Tracker!$AL$2:$AL$101,INT((ROW()-6)/17)+1))</f>
        <v/>
      </c>
      <c r="B404" s="21" t="str">
        <f>IF($A404="","",INDEX(Project_Tracker!$AM$2:$AM$101,INT((ROW()-6)/17)+1))</f>
        <v/>
      </c>
      <c r="C404" s="20" t="str">
        <f>IF($A404="","",INDEX(Project_Tracker!$C$2:$C$101,INT((ROW()-6)/17)+1))</f>
        <v/>
      </c>
      <c r="D404" s="6" t="str">
        <f>IF($A404="","",INDEX(Project_Tracker!$T$2:$T$101,INT((ROW()-6)/17)+1))</f>
        <v/>
      </c>
      <c r="E404" s="18">
        <f t="shared" si="30"/>
        <v>8</v>
      </c>
      <c r="F404" s="23" t="str">
        <f>IF($A404="","",INDEX('Logic &amp; Lists'!$I$4:$I$20,$E404))</f>
        <v/>
      </c>
      <c r="G404" s="18" t="str">
        <f>IF($A404="","",INDEX('Logic &amp; Lists'!$J$4:$J$20,$E404))</f>
        <v/>
      </c>
      <c r="H404" s="6" t="str">
        <f t="shared" si="31"/>
        <v/>
      </c>
      <c r="I404" s="18" t="str">
        <f t="shared" ca="1" si="32"/>
        <v/>
      </c>
      <c r="J404" s="5" t="str">
        <f t="shared" si="33"/>
        <v/>
      </c>
      <c r="K404" s="25"/>
      <c r="L404" s="5" t="str">
        <f t="shared" si="34"/>
        <v/>
      </c>
      <c r="M404" s="7"/>
      <c r="N404" s="7"/>
      <c r="O404" s="7"/>
      <c r="P404" s="20" t="str">
        <f>IF($A404="","",INDEX(Project_Tracker!$I$2:$I$101,INT((ROW()-6)/17)+1))</f>
        <v/>
      </c>
      <c r="Q404" s="20" t="str">
        <f>IF($A404="","",INDEX(Project_Tracker!$K$2:$K$101,INT((ROW()-6)/17)+1))</f>
        <v/>
      </c>
    </row>
    <row r="405" spans="1:17" x14ac:dyDescent="0.2">
      <c r="A405" s="20" t="str">
        <f>IF(INDEX(Project_Tracker!$AL$2:$AL$101,INT((ROW()-6)/17)+1)="","",INDEX(Project_Tracker!$AL$2:$AL$101,INT((ROW()-6)/17)+1))</f>
        <v/>
      </c>
      <c r="B405" s="21" t="str">
        <f>IF($A405="","",INDEX(Project_Tracker!$AM$2:$AM$101,INT((ROW()-6)/17)+1))</f>
        <v/>
      </c>
      <c r="C405" s="20" t="str">
        <f>IF($A405="","",INDEX(Project_Tracker!$C$2:$C$101,INT((ROW()-6)/17)+1))</f>
        <v/>
      </c>
      <c r="D405" s="6" t="str">
        <f>IF($A405="","",INDEX(Project_Tracker!$T$2:$T$101,INT((ROW()-6)/17)+1))</f>
        <v/>
      </c>
      <c r="E405" s="18">
        <f t="shared" si="30"/>
        <v>9</v>
      </c>
      <c r="F405" s="23" t="str">
        <f>IF($A405="","",INDEX('Logic &amp; Lists'!$I$4:$I$20,$E405))</f>
        <v/>
      </c>
      <c r="G405" s="18" t="str">
        <f>IF($A405="","",INDEX('Logic &amp; Lists'!$J$4:$J$20,$E405))</f>
        <v/>
      </c>
      <c r="H405" s="6" t="str">
        <f t="shared" si="31"/>
        <v/>
      </c>
      <c r="I405" s="18" t="str">
        <f t="shared" ca="1" si="32"/>
        <v/>
      </c>
      <c r="J405" s="5" t="str">
        <f t="shared" si="33"/>
        <v/>
      </c>
      <c r="K405" s="25"/>
      <c r="L405" s="5" t="str">
        <f t="shared" si="34"/>
        <v/>
      </c>
      <c r="M405" s="7"/>
      <c r="N405" s="7"/>
      <c r="O405" s="7"/>
      <c r="P405" s="20" t="str">
        <f>IF($A405="","",INDEX(Project_Tracker!$I$2:$I$101,INT((ROW()-6)/17)+1))</f>
        <v/>
      </c>
      <c r="Q405" s="20" t="str">
        <f>IF($A405="","",INDEX(Project_Tracker!$K$2:$K$101,INT((ROW()-6)/17)+1))</f>
        <v/>
      </c>
    </row>
    <row r="406" spans="1:17" x14ac:dyDescent="0.2">
      <c r="A406" s="20" t="str">
        <f>IF(INDEX(Project_Tracker!$AL$2:$AL$101,INT((ROW()-6)/17)+1)="","",INDEX(Project_Tracker!$AL$2:$AL$101,INT((ROW()-6)/17)+1))</f>
        <v/>
      </c>
      <c r="B406" s="21" t="str">
        <f>IF($A406="","",INDEX(Project_Tracker!$AM$2:$AM$101,INT((ROW()-6)/17)+1))</f>
        <v/>
      </c>
      <c r="C406" s="20" t="str">
        <f>IF($A406="","",INDEX(Project_Tracker!$C$2:$C$101,INT((ROW()-6)/17)+1))</f>
        <v/>
      </c>
      <c r="D406" s="6" t="str">
        <f>IF($A406="","",INDEX(Project_Tracker!$T$2:$T$101,INT((ROW()-6)/17)+1))</f>
        <v/>
      </c>
      <c r="E406" s="18">
        <f t="shared" si="30"/>
        <v>10</v>
      </c>
      <c r="F406" s="23" t="str">
        <f>IF($A406="","",INDEX('Logic &amp; Lists'!$I$4:$I$20,$E406))</f>
        <v/>
      </c>
      <c r="G406" s="18" t="str">
        <f>IF($A406="","",INDEX('Logic &amp; Lists'!$J$4:$J$20,$E406))</f>
        <v/>
      </c>
      <c r="H406" s="6" t="str">
        <f t="shared" si="31"/>
        <v/>
      </c>
      <c r="I406" s="18" t="str">
        <f t="shared" ca="1" si="32"/>
        <v/>
      </c>
      <c r="J406" s="5" t="str">
        <f t="shared" si="33"/>
        <v/>
      </c>
      <c r="K406" s="25"/>
      <c r="L406" s="5" t="str">
        <f t="shared" si="34"/>
        <v/>
      </c>
      <c r="M406" s="7"/>
      <c r="N406" s="7"/>
      <c r="O406" s="7"/>
      <c r="P406" s="20" t="str">
        <f>IF($A406="","",INDEX(Project_Tracker!$I$2:$I$101,INT((ROW()-6)/17)+1))</f>
        <v/>
      </c>
      <c r="Q406" s="20" t="str">
        <f>IF($A406="","",INDEX(Project_Tracker!$K$2:$K$101,INT((ROW()-6)/17)+1))</f>
        <v/>
      </c>
    </row>
    <row r="407" spans="1:17" x14ac:dyDescent="0.2">
      <c r="A407" s="20" t="str">
        <f>IF(INDEX(Project_Tracker!$AL$2:$AL$101,INT((ROW()-6)/17)+1)="","",INDEX(Project_Tracker!$AL$2:$AL$101,INT((ROW()-6)/17)+1))</f>
        <v/>
      </c>
      <c r="B407" s="21" t="str">
        <f>IF($A407="","",INDEX(Project_Tracker!$AM$2:$AM$101,INT((ROW()-6)/17)+1))</f>
        <v/>
      </c>
      <c r="C407" s="20" t="str">
        <f>IF($A407="","",INDEX(Project_Tracker!$C$2:$C$101,INT((ROW()-6)/17)+1))</f>
        <v/>
      </c>
      <c r="D407" s="6" t="str">
        <f>IF($A407="","",INDEX(Project_Tracker!$T$2:$T$101,INT((ROW()-6)/17)+1))</f>
        <v/>
      </c>
      <c r="E407" s="18">
        <f t="shared" si="30"/>
        <v>11</v>
      </c>
      <c r="F407" s="23" t="str">
        <f>IF($A407="","",INDEX('Logic &amp; Lists'!$I$4:$I$20,$E407))</f>
        <v/>
      </c>
      <c r="G407" s="18" t="str">
        <f>IF($A407="","",INDEX('Logic &amp; Lists'!$J$4:$J$20,$E407))</f>
        <v/>
      </c>
      <c r="H407" s="6" t="str">
        <f t="shared" si="31"/>
        <v/>
      </c>
      <c r="I407" s="18" t="str">
        <f t="shared" ca="1" si="32"/>
        <v/>
      </c>
      <c r="J407" s="5" t="str">
        <f t="shared" si="33"/>
        <v/>
      </c>
      <c r="K407" s="25"/>
      <c r="L407" s="5" t="str">
        <f t="shared" si="34"/>
        <v/>
      </c>
      <c r="M407" s="7"/>
      <c r="N407" s="7"/>
      <c r="O407" s="7"/>
      <c r="P407" s="20" t="str">
        <f>IF($A407="","",INDEX(Project_Tracker!$I$2:$I$101,INT((ROW()-6)/17)+1))</f>
        <v/>
      </c>
      <c r="Q407" s="20" t="str">
        <f>IF($A407="","",INDEX(Project_Tracker!$K$2:$K$101,INT((ROW()-6)/17)+1))</f>
        <v/>
      </c>
    </row>
    <row r="408" spans="1:17" x14ac:dyDescent="0.2">
      <c r="A408" s="20" t="str">
        <f>IF(INDEX(Project_Tracker!$AL$2:$AL$101,INT((ROW()-6)/17)+1)="","",INDEX(Project_Tracker!$AL$2:$AL$101,INT((ROW()-6)/17)+1))</f>
        <v/>
      </c>
      <c r="B408" s="21" t="str">
        <f>IF($A408="","",INDEX(Project_Tracker!$AM$2:$AM$101,INT((ROW()-6)/17)+1))</f>
        <v/>
      </c>
      <c r="C408" s="20" t="str">
        <f>IF($A408="","",INDEX(Project_Tracker!$C$2:$C$101,INT((ROW()-6)/17)+1))</f>
        <v/>
      </c>
      <c r="D408" s="6" t="str">
        <f>IF($A408="","",INDEX(Project_Tracker!$T$2:$T$101,INT((ROW()-6)/17)+1))</f>
        <v/>
      </c>
      <c r="E408" s="18">
        <f t="shared" si="30"/>
        <v>12</v>
      </c>
      <c r="F408" s="23" t="str">
        <f>IF($A408="","",INDEX('Logic &amp; Lists'!$I$4:$I$20,$E408))</f>
        <v/>
      </c>
      <c r="G408" s="18" t="str">
        <f>IF($A408="","",INDEX('Logic &amp; Lists'!$J$4:$J$20,$E408))</f>
        <v/>
      </c>
      <c r="H408" s="6" t="str">
        <f t="shared" si="31"/>
        <v/>
      </c>
      <c r="I408" s="18" t="str">
        <f t="shared" ca="1" si="32"/>
        <v/>
      </c>
      <c r="J408" s="5" t="str">
        <f t="shared" si="33"/>
        <v/>
      </c>
      <c r="K408" s="25"/>
      <c r="L408" s="5" t="str">
        <f t="shared" si="34"/>
        <v/>
      </c>
      <c r="M408" s="7"/>
      <c r="N408" s="7"/>
      <c r="O408" s="7"/>
      <c r="P408" s="20" t="str">
        <f>IF($A408="","",INDEX(Project_Tracker!$I$2:$I$101,INT((ROW()-6)/17)+1))</f>
        <v/>
      </c>
      <c r="Q408" s="20" t="str">
        <f>IF($A408="","",INDEX(Project_Tracker!$K$2:$K$101,INT((ROW()-6)/17)+1))</f>
        <v/>
      </c>
    </row>
    <row r="409" spans="1:17" x14ac:dyDescent="0.2">
      <c r="A409" s="20" t="str">
        <f>IF(INDEX(Project_Tracker!$AL$2:$AL$101,INT((ROW()-6)/17)+1)="","",INDEX(Project_Tracker!$AL$2:$AL$101,INT((ROW()-6)/17)+1))</f>
        <v/>
      </c>
      <c r="B409" s="21" t="str">
        <f>IF($A409="","",INDEX(Project_Tracker!$AM$2:$AM$101,INT((ROW()-6)/17)+1))</f>
        <v/>
      </c>
      <c r="C409" s="20" t="str">
        <f>IF($A409="","",INDEX(Project_Tracker!$C$2:$C$101,INT((ROW()-6)/17)+1))</f>
        <v/>
      </c>
      <c r="D409" s="6" t="str">
        <f>IF($A409="","",INDEX(Project_Tracker!$T$2:$T$101,INT((ROW()-6)/17)+1))</f>
        <v/>
      </c>
      <c r="E409" s="18">
        <f t="shared" si="30"/>
        <v>13</v>
      </c>
      <c r="F409" s="23" t="str">
        <f>IF($A409="","",INDEX('Logic &amp; Lists'!$I$4:$I$20,$E409))</f>
        <v/>
      </c>
      <c r="G409" s="18" t="str">
        <f>IF($A409="","",INDEX('Logic &amp; Lists'!$J$4:$J$20,$E409))</f>
        <v/>
      </c>
      <c r="H409" s="6" t="str">
        <f t="shared" si="31"/>
        <v/>
      </c>
      <c r="I409" s="18" t="str">
        <f t="shared" ca="1" si="32"/>
        <v/>
      </c>
      <c r="J409" s="5" t="str">
        <f t="shared" si="33"/>
        <v/>
      </c>
      <c r="K409" s="25"/>
      <c r="L409" s="5" t="str">
        <f t="shared" si="34"/>
        <v/>
      </c>
      <c r="M409" s="7"/>
      <c r="N409" s="7"/>
      <c r="O409" s="7"/>
      <c r="P409" s="20" t="str">
        <f>IF($A409="","",INDEX(Project_Tracker!$I$2:$I$101,INT((ROW()-6)/17)+1))</f>
        <v/>
      </c>
      <c r="Q409" s="20" t="str">
        <f>IF($A409="","",INDEX(Project_Tracker!$K$2:$K$101,INT((ROW()-6)/17)+1))</f>
        <v/>
      </c>
    </row>
    <row r="410" spans="1:17" x14ac:dyDescent="0.2">
      <c r="A410" s="20" t="str">
        <f>IF(INDEX(Project_Tracker!$AL$2:$AL$101,INT((ROW()-6)/17)+1)="","",INDEX(Project_Tracker!$AL$2:$AL$101,INT((ROW()-6)/17)+1))</f>
        <v/>
      </c>
      <c r="B410" s="21" t="str">
        <f>IF($A410="","",INDEX(Project_Tracker!$AM$2:$AM$101,INT((ROW()-6)/17)+1))</f>
        <v/>
      </c>
      <c r="C410" s="20" t="str">
        <f>IF($A410="","",INDEX(Project_Tracker!$C$2:$C$101,INT((ROW()-6)/17)+1))</f>
        <v/>
      </c>
      <c r="D410" s="6" t="str">
        <f>IF($A410="","",INDEX(Project_Tracker!$T$2:$T$101,INT((ROW()-6)/17)+1))</f>
        <v/>
      </c>
      <c r="E410" s="18">
        <f t="shared" si="30"/>
        <v>14</v>
      </c>
      <c r="F410" s="23" t="str">
        <f>IF($A410="","",INDEX('Logic &amp; Lists'!$I$4:$I$20,$E410))</f>
        <v/>
      </c>
      <c r="G410" s="18" t="str">
        <f>IF($A410="","",INDEX('Logic &amp; Lists'!$J$4:$J$20,$E410))</f>
        <v/>
      </c>
      <c r="H410" s="6" t="str">
        <f t="shared" si="31"/>
        <v/>
      </c>
      <c r="I410" s="18" t="str">
        <f t="shared" ca="1" si="32"/>
        <v/>
      </c>
      <c r="J410" s="5" t="str">
        <f t="shared" si="33"/>
        <v/>
      </c>
      <c r="K410" s="25"/>
      <c r="L410" s="5" t="str">
        <f t="shared" si="34"/>
        <v/>
      </c>
      <c r="M410" s="7"/>
      <c r="N410" s="7"/>
      <c r="O410" s="7"/>
      <c r="P410" s="20" t="str">
        <f>IF($A410="","",INDEX(Project_Tracker!$I$2:$I$101,INT((ROW()-6)/17)+1))</f>
        <v/>
      </c>
      <c r="Q410" s="20" t="str">
        <f>IF($A410="","",INDEX(Project_Tracker!$K$2:$K$101,INT((ROW()-6)/17)+1))</f>
        <v/>
      </c>
    </row>
    <row r="411" spans="1:17" x14ac:dyDescent="0.2">
      <c r="A411" s="20" t="str">
        <f>IF(INDEX(Project_Tracker!$AL$2:$AL$101,INT((ROW()-6)/17)+1)="","",INDEX(Project_Tracker!$AL$2:$AL$101,INT((ROW()-6)/17)+1))</f>
        <v/>
      </c>
      <c r="B411" s="21" t="str">
        <f>IF($A411="","",INDEX(Project_Tracker!$AM$2:$AM$101,INT((ROW()-6)/17)+1))</f>
        <v/>
      </c>
      <c r="C411" s="20" t="str">
        <f>IF($A411="","",INDEX(Project_Tracker!$C$2:$C$101,INT((ROW()-6)/17)+1))</f>
        <v/>
      </c>
      <c r="D411" s="6" t="str">
        <f>IF($A411="","",INDEX(Project_Tracker!$T$2:$T$101,INT((ROW()-6)/17)+1))</f>
        <v/>
      </c>
      <c r="E411" s="18">
        <f t="shared" si="30"/>
        <v>15</v>
      </c>
      <c r="F411" s="23" t="str">
        <f>IF($A411="","",INDEX('Logic &amp; Lists'!$I$4:$I$20,$E411))</f>
        <v/>
      </c>
      <c r="G411" s="18" t="str">
        <f>IF($A411="","",INDEX('Logic &amp; Lists'!$J$4:$J$20,$E411))</f>
        <v/>
      </c>
      <c r="H411" s="6" t="str">
        <f t="shared" si="31"/>
        <v/>
      </c>
      <c r="I411" s="18" t="str">
        <f t="shared" ca="1" si="32"/>
        <v/>
      </c>
      <c r="J411" s="5" t="str">
        <f t="shared" si="33"/>
        <v/>
      </c>
      <c r="K411" s="25"/>
      <c r="L411" s="5" t="str">
        <f t="shared" si="34"/>
        <v/>
      </c>
      <c r="M411" s="7"/>
      <c r="N411" s="7"/>
      <c r="O411" s="7"/>
      <c r="P411" s="20" t="str">
        <f>IF($A411="","",INDEX(Project_Tracker!$I$2:$I$101,INT((ROW()-6)/17)+1))</f>
        <v/>
      </c>
      <c r="Q411" s="20" t="str">
        <f>IF($A411="","",INDEX(Project_Tracker!$K$2:$K$101,INT((ROW()-6)/17)+1))</f>
        <v/>
      </c>
    </row>
    <row r="412" spans="1:17" x14ac:dyDescent="0.2">
      <c r="A412" s="20" t="str">
        <f>IF(INDEX(Project_Tracker!$AL$2:$AL$101,INT((ROW()-6)/17)+1)="","",INDEX(Project_Tracker!$AL$2:$AL$101,INT((ROW()-6)/17)+1))</f>
        <v/>
      </c>
      <c r="B412" s="21" t="str">
        <f>IF($A412="","",INDEX(Project_Tracker!$AM$2:$AM$101,INT((ROW()-6)/17)+1))</f>
        <v/>
      </c>
      <c r="C412" s="20" t="str">
        <f>IF($A412="","",INDEX(Project_Tracker!$C$2:$C$101,INT((ROW()-6)/17)+1))</f>
        <v/>
      </c>
      <c r="D412" s="6" t="str">
        <f>IF($A412="","",INDEX(Project_Tracker!$T$2:$T$101,INT((ROW()-6)/17)+1))</f>
        <v/>
      </c>
      <c r="E412" s="18">
        <f t="shared" si="30"/>
        <v>16</v>
      </c>
      <c r="F412" s="23" t="str">
        <f>IF($A412="","",INDEX('Logic &amp; Lists'!$I$4:$I$20,$E412))</f>
        <v/>
      </c>
      <c r="G412" s="18" t="str">
        <f>IF($A412="","",INDEX('Logic &amp; Lists'!$J$4:$J$20,$E412))</f>
        <v/>
      </c>
      <c r="H412" s="6" t="str">
        <f t="shared" si="31"/>
        <v/>
      </c>
      <c r="I412" s="18" t="str">
        <f t="shared" ca="1" si="32"/>
        <v/>
      </c>
      <c r="J412" s="5" t="str">
        <f t="shared" si="33"/>
        <v/>
      </c>
      <c r="K412" s="25"/>
      <c r="L412" s="5" t="str">
        <f t="shared" si="34"/>
        <v/>
      </c>
      <c r="M412" s="7"/>
      <c r="N412" s="7"/>
      <c r="O412" s="7"/>
      <c r="P412" s="20" t="str">
        <f>IF($A412="","",INDEX(Project_Tracker!$I$2:$I$101,INT((ROW()-6)/17)+1))</f>
        <v/>
      </c>
      <c r="Q412" s="20" t="str">
        <f>IF($A412="","",INDEX(Project_Tracker!$K$2:$K$101,INT((ROW()-6)/17)+1))</f>
        <v/>
      </c>
    </row>
    <row r="413" spans="1:17" x14ac:dyDescent="0.2">
      <c r="A413" s="20" t="str">
        <f>IF(INDEX(Project_Tracker!$AL$2:$AL$101,INT((ROW()-6)/17)+1)="","",INDEX(Project_Tracker!$AL$2:$AL$101,INT((ROW()-6)/17)+1))</f>
        <v/>
      </c>
      <c r="B413" s="21" t="str">
        <f>IF($A413="","",INDEX(Project_Tracker!$AM$2:$AM$101,INT((ROW()-6)/17)+1))</f>
        <v/>
      </c>
      <c r="C413" s="20" t="str">
        <f>IF($A413="","",INDEX(Project_Tracker!$C$2:$C$101,INT((ROW()-6)/17)+1))</f>
        <v/>
      </c>
      <c r="D413" s="6" t="str">
        <f>IF($A413="","",INDEX(Project_Tracker!$T$2:$T$101,INT((ROW()-6)/17)+1))</f>
        <v/>
      </c>
      <c r="E413" s="18">
        <f t="shared" si="30"/>
        <v>17</v>
      </c>
      <c r="F413" s="23" t="str">
        <f>IF($A413="","",INDEX('Logic &amp; Lists'!$I$4:$I$20,$E413))</f>
        <v/>
      </c>
      <c r="G413" s="18" t="str">
        <f>IF($A413="","",INDEX('Logic &amp; Lists'!$J$4:$J$20,$E413))</f>
        <v/>
      </c>
      <c r="H413" s="6" t="str">
        <f t="shared" si="31"/>
        <v/>
      </c>
      <c r="I413" s="18" t="str">
        <f t="shared" ca="1" si="32"/>
        <v/>
      </c>
      <c r="J413" s="5" t="str">
        <f t="shared" si="33"/>
        <v/>
      </c>
      <c r="K413" s="25"/>
      <c r="L413" s="5" t="str">
        <f t="shared" si="34"/>
        <v/>
      </c>
      <c r="M413" s="7"/>
      <c r="N413" s="7"/>
      <c r="O413" s="7"/>
      <c r="P413" s="20" t="str">
        <f>IF($A413="","",INDEX(Project_Tracker!$I$2:$I$101,INT((ROW()-6)/17)+1))</f>
        <v/>
      </c>
      <c r="Q413" s="20" t="str">
        <f>IF($A413="","",INDEX(Project_Tracker!$K$2:$K$101,INT((ROW()-6)/17)+1))</f>
        <v/>
      </c>
    </row>
    <row r="414" spans="1:17" x14ac:dyDescent="0.2">
      <c r="A414" s="20" t="str">
        <f>IF(INDEX(Project_Tracker!$AL$2:$AL$101,INT((ROW()-6)/17)+1)="","",INDEX(Project_Tracker!$AL$2:$AL$101,INT((ROW()-6)/17)+1))</f>
        <v/>
      </c>
      <c r="B414" s="21" t="str">
        <f>IF($A414="","",INDEX(Project_Tracker!$AM$2:$AM$101,INT((ROW()-6)/17)+1))</f>
        <v/>
      </c>
      <c r="C414" s="20" t="str">
        <f>IF($A414="","",INDEX(Project_Tracker!$C$2:$C$101,INT((ROW()-6)/17)+1))</f>
        <v/>
      </c>
      <c r="D414" s="6" t="str">
        <f>IF($A414="","",INDEX(Project_Tracker!$T$2:$T$101,INT((ROW()-6)/17)+1))</f>
        <v/>
      </c>
      <c r="E414" s="18">
        <f t="shared" si="30"/>
        <v>1</v>
      </c>
      <c r="F414" s="23" t="str">
        <f>IF($A414="","",INDEX('Logic &amp; Lists'!$I$4:$I$20,$E414))</f>
        <v/>
      </c>
      <c r="G414" s="18" t="str">
        <f>IF($A414="","",INDEX('Logic &amp; Lists'!$J$4:$J$20,$E414))</f>
        <v/>
      </c>
      <c r="H414" s="6" t="str">
        <f t="shared" si="31"/>
        <v/>
      </c>
      <c r="I414" s="18" t="str">
        <f t="shared" ca="1" si="32"/>
        <v/>
      </c>
      <c r="J414" s="5" t="str">
        <f t="shared" si="33"/>
        <v/>
      </c>
      <c r="K414" s="25"/>
      <c r="L414" s="5" t="str">
        <f t="shared" si="34"/>
        <v/>
      </c>
      <c r="M414" s="7"/>
      <c r="N414" s="7"/>
      <c r="O414" s="7"/>
      <c r="P414" s="20" t="str">
        <f>IF($A414="","",INDEX(Project_Tracker!$I$2:$I$101,INT((ROW()-6)/17)+1))</f>
        <v/>
      </c>
      <c r="Q414" s="20" t="str">
        <f>IF($A414="","",INDEX(Project_Tracker!$K$2:$K$101,INT((ROW()-6)/17)+1))</f>
        <v/>
      </c>
    </row>
    <row r="415" spans="1:17" x14ac:dyDescent="0.2">
      <c r="A415" s="20" t="str">
        <f>IF(INDEX(Project_Tracker!$AL$2:$AL$101,INT((ROW()-6)/17)+1)="","",INDEX(Project_Tracker!$AL$2:$AL$101,INT((ROW()-6)/17)+1))</f>
        <v/>
      </c>
      <c r="B415" s="21" t="str">
        <f>IF($A415="","",INDEX(Project_Tracker!$AM$2:$AM$101,INT((ROW()-6)/17)+1))</f>
        <v/>
      </c>
      <c r="C415" s="20" t="str">
        <f>IF($A415="","",INDEX(Project_Tracker!$C$2:$C$101,INT((ROW()-6)/17)+1))</f>
        <v/>
      </c>
      <c r="D415" s="6" t="str">
        <f>IF($A415="","",INDEX(Project_Tracker!$T$2:$T$101,INT((ROW()-6)/17)+1))</f>
        <v/>
      </c>
      <c r="E415" s="18">
        <f t="shared" si="30"/>
        <v>2</v>
      </c>
      <c r="F415" s="23" t="str">
        <f>IF($A415="","",INDEX('Logic &amp; Lists'!$I$4:$I$20,$E415))</f>
        <v/>
      </c>
      <c r="G415" s="18" t="str">
        <f>IF($A415="","",INDEX('Logic &amp; Lists'!$J$4:$J$20,$E415))</f>
        <v/>
      </c>
      <c r="H415" s="6" t="str">
        <f t="shared" si="31"/>
        <v/>
      </c>
      <c r="I415" s="18" t="str">
        <f t="shared" ca="1" si="32"/>
        <v/>
      </c>
      <c r="J415" s="5" t="str">
        <f t="shared" si="33"/>
        <v/>
      </c>
      <c r="K415" s="25"/>
      <c r="L415" s="5" t="str">
        <f t="shared" si="34"/>
        <v/>
      </c>
      <c r="M415" s="7"/>
      <c r="N415" s="7"/>
      <c r="O415" s="7"/>
      <c r="P415" s="20" t="str">
        <f>IF($A415="","",INDEX(Project_Tracker!$I$2:$I$101,INT((ROW()-6)/17)+1))</f>
        <v/>
      </c>
      <c r="Q415" s="20" t="str">
        <f>IF($A415="","",INDEX(Project_Tracker!$K$2:$K$101,INT((ROW()-6)/17)+1))</f>
        <v/>
      </c>
    </row>
    <row r="416" spans="1:17" x14ac:dyDescent="0.2">
      <c r="A416" s="20" t="str">
        <f>IF(INDEX(Project_Tracker!$AL$2:$AL$101,INT((ROW()-6)/17)+1)="","",INDEX(Project_Tracker!$AL$2:$AL$101,INT((ROW()-6)/17)+1))</f>
        <v/>
      </c>
      <c r="B416" s="21" t="str">
        <f>IF($A416="","",INDEX(Project_Tracker!$AM$2:$AM$101,INT((ROW()-6)/17)+1))</f>
        <v/>
      </c>
      <c r="C416" s="20" t="str">
        <f>IF($A416="","",INDEX(Project_Tracker!$C$2:$C$101,INT((ROW()-6)/17)+1))</f>
        <v/>
      </c>
      <c r="D416" s="6" t="str">
        <f>IF($A416="","",INDEX(Project_Tracker!$T$2:$T$101,INT((ROW()-6)/17)+1))</f>
        <v/>
      </c>
      <c r="E416" s="18">
        <f t="shared" si="30"/>
        <v>3</v>
      </c>
      <c r="F416" s="23" t="str">
        <f>IF($A416="","",INDEX('Logic &amp; Lists'!$I$4:$I$20,$E416))</f>
        <v/>
      </c>
      <c r="G416" s="18" t="str">
        <f>IF($A416="","",INDEX('Logic &amp; Lists'!$J$4:$J$20,$E416))</f>
        <v/>
      </c>
      <c r="H416" s="6" t="str">
        <f t="shared" si="31"/>
        <v/>
      </c>
      <c r="I416" s="18" t="str">
        <f t="shared" ca="1" si="32"/>
        <v/>
      </c>
      <c r="J416" s="5" t="str">
        <f t="shared" si="33"/>
        <v/>
      </c>
      <c r="K416" s="25"/>
      <c r="L416" s="5" t="str">
        <f t="shared" si="34"/>
        <v/>
      </c>
      <c r="M416" s="7"/>
      <c r="N416" s="7"/>
      <c r="O416" s="7"/>
      <c r="P416" s="20" t="str">
        <f>IF($A416="","",INDEX(Project_Tracker!$I$2:$I$101,INT((ROW()-6)/17)+1))</f>
        <v/>
      </c>
      <c r="Q416" s="20" t="str">
        <f>IF($A416="","",INDEX(Project_Tracker!$K$2:$K$101,INT((ROW()-6)/17)+1))</f>
        <v/>
      </c>
    </row>
    <row r="417" spans="1:17" x14ac:dyDescent="0.2">
      <c r="A417" s="20" t="str">
        <f>IF(INDEX(Project_Tracker!$AL$2:$AL$101,INT((ROW()-6)/17)+1)="","",INDEX(Project_Tracker!$AL$2:$AL$101,INT((ROW()-6)/17)+1))</f>
        <v/>
      </c>
      <c r="B417" s="21" t="str">
        <f>IF($A417="","",INDEX(Project_Tracker!$AM$2:$AM$101,INT((ROW()-6)/17)+1))</f>
        <v/>
      </c>
      <c r="C417" s="20" t="str">
        <f>IF($A417="","",INDEX(Project_Tracker!$C$2:$C$101,INT((ROW()-6)/17)+1))</f>
        <v/>
      </c>
      <c r="D417" s="6" t="str">
        <f>IF($A417="","",INDEX(Project_Tracker!$T$2:$T$101,INT((ROW()-6)/17)+1))</f>
        <v/>
      </c>
      <c r="E417" s="18">
        <f t="shared" si="30"/>
        <v>4</v>
      </c>
      <c r="F417" s="23" t="str">
        <f>IF($A417="","",INDEX('Logic &amp; Lists'!$I$4:$I$20,$E417))</f>
        <v/>
      </c>
      <c r="G417" s="18" t="str">
        <f>IF($A417="","",INDEX('Logic &amp; Lists'!$J$4:$J$20,$E417))</f>
        <v/>
      </c>
      <c r="H417" s="6" t="str">
        <f t="shared" si="31"/>
        <v/>
      </c>
      <c r="I417" s="18" t="str">
        <f t="shared" ca="1" si="32"/>
        <v/>
      </c>
      <c r="J417" s="5" t="str">
        <f t="shared" si="33"/>
        <v/>
      </c>
      <c r="K417" s="25"/>
      <c r="L417" s="5" t="str">
        <f t="shared" si="34"/>
        <v/>
      </c>
      <c r="M417" s="7"/>
      <c r="N417" s="7"/>
      <c r="O417" s="7"/>
      <c r="P417" s="20" t="str">
        <f>IF($A417="","",INDEX(Project_Tracker!$I$2:$I$101,INT((ROW()-6)/17)+1))</f>
        <v/>
      </c>
      <c r="Q417" s="20" t="str">
        <f>IF($A417="","",INDEX(Project_Tracker!$K$2:$K$101,INT((ROW()-6)/17)+1))</f>
        <v/>
      </c>
    </row>
    <row r="418" spans="1:17" x14ac:dyDescent="0.2">
      <c r="A418" s="20" t="str">
        <f>IF(INDEX(Project_Tracker!$AL$2:$AL$101,INT((ROW()-6)/17)+1)="","",INDEX(Project_Tracker!$AL$2:$AL$101,INT((ROW()-6)/17)+1))</f>
        <v/>
      </c>
      <c r="B418" s="21" t="str">
        <f>IF($A418="","",INDEX(Project_Tracker!$AM$2:$AM$101,INT((ROW()-6)/17)+1))</f>
        <v/>
      </c>
      <c r="C418" s="20" t="str">
        <f>IF($A418="","",INDEX(Project_Tracker!$C$2:$C$101,INT((ROW()-6)/17)+1))</f>
        <v/>
      </c>
      <c r="D418" s="6" t="str">
        <f>IF($A418="","",INDEX(Project_Tracker!$T$2:$T$101,INT((ROW()-6)/17)+1))</f>
        <v/>
      </c>
      <c r="E418" s="18">
        <f t="shared" si="30"/>
        <v>5</v>
      </c>
      <c r="F418" s="23" t="str">
        <f>IF($A418="","",INDEX('Logic &amp; Lists'!$I$4:$I$20,$E418))</f>
        <v/>
      </c>
      <c r="G418" s="18" t="str">
        <f>IF($A418="","",INDEX('Logic &amp; Lists'!$J$4:$J$20,$E418))</f>
        <v/>
      </c>
      <c r="H418" s="6" t="str">
        <f t="shared" si="31"/>
        <v/>
      </c>
      <c r="I418" s="18" t="str">
        <f t="shared" ca="1" si="32"/>
        <v/>
      </c>
      <c r="J418" s="5" t="str">
        <f t="shared" si="33"/>
        <v/>
      </c>
      <c r="K418" s="25"/>
      <c r="L418" s="5" t="str">
        <f t="shared" si="34"/>
        <v/>
      </c>
      <c r="M418" s="7"/>
      <c r="N418" s="7"/>
      <c r="O418" s="7"/>
      <c r="P418" s="20" t="str">
        <f>IF($A418="","",INDEX(Project_Tracker!$I$2:$I$101,INT((ROW()-6)/17)+1))</f>
        <v/>
      </c>
      <c r="Q418" s="20" t="str">
        <f>IF($A418="","",INDEX(Project_Tracker!$K$2:$K$101,INT((ROW()-6)/17)+1))</f>
        <v/>
      </c>
    </row>
    <row r="419" spans="1:17" x14ac:dyDescent="0.2">
      <c r="A419" s="20" t="str">
        <f>IF(INDEX(Project_Tracker!$AL$2:$AL$101,INT((ROW()-6)/17)+1)="","",INDEX(Project_Tracker!$AL$2:$AL$101,INT((ROW()-6)/17)+1))</f>
        <v/>
      </c>
      <c r="B419" s="21" t="str">
        <f>IF($A419="","",INDEX(Project_Tracker!$AM$2:$AM$101,INT((ROW()-6)/17)+1))</f>
        <v/>
      </c>
      <c r="C419" s="20" t="str">
        <f>IF($A419="","",INDEX(Project_Tracker!$C$2:$C$101,INT((ROW()-6)/17)+1))</f>
        <v/>
      </c>
      <c r="D419" s="6" t="str">
        <f>IF($A419="","",INDEX(Project_Tracker!$T$2:$T$101,INT((ROW()-6)/17)+1))</f>
        <v/>
      </c>
      <c r="E419" s="18">
        <f t="shared" si="30"/>
        <v>6</v>
      </c>
      <c r="F419" s="23" t="str">
        <f>IF($A419="","",INDEX('Logic &amp; Lists'!$I$4:$I$20,$E419))</f>
        <v/>
      </c>
      <c r="G419" s="18" t="str">
        <f>IF($A419="","",INDEX('Logic &amp; Lists'!$J$4:$J$20,$E419))</f>
        <v/>
      </c>
      <c r="H419" s="6" t="str">
        <f t="shared" si="31"/>
        <v/>
      </c>
      <c r="I419" s="18" t="str">
        <f t="shared" ca="1" si="32"/>
        <v/>
      </c>
      <c r="J419" s="5" t="str">
        <f t="shared" si="33"/>
        <v/>
      </c>
      <c r="K419" s="25"/>
      <c r="L419" s="5" t="str">
        <f t="shared" si="34"/>
        <v/>
      </c>
      <c r="M419" s="7"/>
      <c r="N419" s="7"/>
      <c r="O419" s="7"/>
      <c r="P419" s="20" t="str">
        <f>IF($A419="","",INDEX(Project_Tracker!$I$2:$I$101,INT((ROW()-6)/17)+1))</f>
        <v/>
      </c>
      <c r="Q419" s="20" t="str">
        <f>IF($A419="","",INDEX(Project_Tracker!$K$2:$K$101,INT((ROW()-6)/17)+1))</f>
        <v/>
      </c>
    </row>
    <row r="420" spans="1:17" x14ac:dyDescent="0.2">
      <c r="A420" s="20" t="str">
        <f>IF(INDEX(Project_Tracker!$AL$2:$AL$101,INT((ROW()-6)/17)+1)="","",INDEX(Project_Tracker!$AL$2:$AL$101,INT((ROW()-6)/17)+1))</f>
        <v/>
      </c>
      <c r="B420" s="21" t="str">
        <f>IF($A420="","",INDEX(Project_Tracker!$AM$2:$AM$101,INT((ROW()-6)/17)+1))</f>
        <v/>
      </c>
      <c r="C420" s="20" t="str">
        <f>IF($A420="","",INDEX(Project_Tracker!$C$2:$C$101,INT((ROW()-6)/17)+1))</f>
        <v/>
      </c>
      <c r="D420" s="6" t="str">
        <f>IF($A420="","",INDEX(Project_Tracker!$T$2:$T$101,INT((ROW()-6)/17)+1))</f>
        <v/>
      </c>
      <c r="E420" s="18">
        <f t="shared" si="30"/>
        <v>7</v>
      </c>
      <c r="F420" s="23" t="str">
        <f>IF($A420="","",INDEX('Logic &amp; Lists'!$I$4:$I$20,$E420))</f>
        <v/>
      </c>
      <c r="G420" s="18" t="str">
        <f>IF($A420="","",INDEX('Logic &amp; Lists'!$J$4:$J$20,$E420))</f>
        <v/>
      </c>
      <c r="H420" s="6" t="str">
        <f t="shared" si="31"/>
        <v/>
      </c>
      <c r="I420" s="18" t="str">
        <f t="shared" ca="1" si="32"/>
        <v/>
      </c>
      <c r="J420" s="5" t="str">
        <f t="shared" si="33"/>
        <v/>
      </c>
      <c r="K420" s="25"/>
      <c r="L420" s="5" t="str">
        <f t="shared" si="34"/>
        <v/>
      </c>
      <c r="M420" s="7"/>
      <c r="N420" s="7"/>
      <c r="O420" s="7"/>
      <c r="P420" s="20" t="str">
        <f>IF($A420="","",INDEX(Project_Tracker!$I$2:$I$101,INT((ROW()-6)/17)+1))</f>
        <v/>
      </c>
      <c r="Q420" s="20" t="str">
        <f>IF($A420="","",INDEX(Project_Tracker!$K$2:$K$101,INT((ROW()-6)/17)+1))</f>
        <v/>
      </c>
    </row>
    <row r="421" spans="1:17" x14ac:dyDescent="0.2">
      <c r="A421" s="20" t="str">
        <f>IF(INDEX(Project_Tracker!$AL$2:$AL$101,INT((ROW()-6)/17)+1)="","",INDEX(Project_Tracker!$AL$2:$AL$101,INT((ROW()-6)/17)+1))</f>
        <v/>
      </c>
      <c r="B421" s="21" t="str">
        <f>IF($A421="","",INDEX(Project_Tracker!$AM$2:$AM$101,INT((ROW()-6)/17)+1))</f>
        <v/>
      </c>
      <c r="C421" s="20" t="str">
        <f>IF($A421="","",INDEX(Project_Tracker!$C$2:$C$101,INT((ROW()-6)/17)+1))</f>
        <v/>
      </c>
      <c r="D421" s="6" t="str">
        <f>IF($A421="","",INDEX(Project_Tracker!$T$2:$T$101,INT((ROW()-6)/17)+1))</f>
        <v/>
      </c>
      <c r="E421" s="18">
        <f t="shared" si="30"/>
        <v>8</v>
      </c>
      <c r="F421" s="23" t="str">
        <f>IF($A421="","",INDEX('Logic &amp; Lists'!$I$4:$I$20,$E421))</f>
        <v/>
      </c>
      <c r="G421" s="18" t="str">
        <f>IF($A421="","",INDEX('Logic &amp; Lists'!$J$4:$J$20,$E421))</f>
        <v/>
      </c>
      <c r="H421" s="6" t="str">
        <f t="shared" si="31"/>
        <v/>
      </c>
      <c r="I421" s="18" t="str">
        <f t="shared" ca="1" si="32"/>
        <v/>
      </c>
      <c r="J421" s="5" t="str">
        <f t="shared" si="33"/>
        <v/>
      </c>
      <c r="K421" s="25"/>
      <c r="L421" s="5" t="str">
        <f t="shared" si="34"/>
        <v/>
      </c>
      <c r="M421" s="7"/>
      <c r="N421" s="7"/>
      <c r="O421" s="7"/>
      <c r="P421" s="20" t="str">
        <f>IF($A421="","",INDEX(Project_Tracker!$I$2:$I$101,INT((ROW()-6)/17)+1))</f>
        <v/>
      </c>
      <c r="Q421" s="20" t="str">
        <f>IF($A421="","",INDEX(Project_Tracker!$K$2:$K$101,INT((ROW()-6)/17)+1))</f>
        <v/>
      </c>
    </row>
    <row r="422" spans="1:17" x14ac:dyDescent="0.2">
      <c r="A422" s="20" t="str">
        <f>IF(INDEX(Project_Tracker!$AL$2:$AL$101,INT((ROW()-6)/17)+1)="","",INDEX(Project_Tracker!$AL$2:$AL$101,INT((ROW()-6)/17)+1))</f>
        <v/>
      </c>
      <c r="B422" s="21" t="str">
        <f>IF($A422="","",INDEX(Project_Tracker!$AM$2:$AM$101,INT((ROW()-6)/17)+1))</f>
        <v/>
      </c>
      <c r="C422" s="20" t="str">
        <f>IF($A422="","",INDEX(Project_Tracker!$C$2:$C$101,INT((ROW()-6)/17)+1))</f>
        <v/>
      </c>
      <c r="D422" s="6" t="str">
        <f>IF($A422="","",INDEX(Project_Tracker!$T$2:$T$101,INT((ROW()-6)/17)+1))</f>
        <v/>
      </c>
      <c r="E422" s="18">
        <f t="shared" si="30"/>
        <v>9</v>
      </c>
      <c r="F422" s="23" t="str">
        <f>IF($A422="","",INDEX('Logic &amp; Lists'!$I$4:$I$20,$E422))</f>
        <v/>
      </c>
      <c r="G422" s="18" t="str">
        <f>IF($A422="","",INDEX('Logic &amp; Lists'!$J$4:$J$20,$E422))</f>
        <v/>
      </c>
      <c r="H422" s="6" t="str">
        <f t="shared" si="31"/>
        <v/>
      </c>
      <c r="I422" s="18" t="str">
        <f t="shared" ca="1" si="32"/>
        <v/>
      </c>
      <c r="J422" s="5" t="str">
        <f t="shared" si="33"/>
        <v/>
      </c>
      <c r="K422" s="25"/>
      <c r="L422" s="5" t="str">
        <f t="shared" si="34"/>
        <v/>
      </c>
      <c r="M422" s="7"/>
      <c r="N422" s="7"/>
      <c r="O422" s="7"/>
      <c r="P422" s="20" t="str">
        <f>IF($A422="","",INDEX(Project_Tracker!$I$2:$I$101,INT((ROW()-6)/17)+1))</f>
        <v/>
      </c>
      <c r="Q422" s="20" t="str">
        <f>IF($A422="","",INDEX(Project_Tracker!$K$2:$K$101,INT((ROW()-6)/17)+1))</f>
        <v/>
      </c>
    </row>
    <row r="423" spans="1:17" x14ac:dyDescent="0.2">
      <c r="A423" s="20" t="str">
        <f>IF(INDEX(Project_Tracker!$AL$2:$AL$101,INT((ROW()-6)/17)+1)="","",INDEX(Project_Tracker!$AL$2:$AL$101,INT((ROW()-6)/17)+1))</f>
        <v/>
      </c>
      <c r="B423" s="21" t="str">
        <f>IF($A423="","",INDEX(Project_Tracker!$AM$2:$AM$101,INT((ROW()-6)/17)+1))</f>
        <v/>
      </c>
      <c r="C423" s="20" t="str">
        <f>IF($A423="","",INDEX(Project_Tracker!$C$2:$C$101,INT((ROW()-6)/17)+1))</f>
        <v/>
      </c>
      <c r="D423" s="6" t="str">
        <f>IF($A423="","",INDEX(Project_Tracker!$T$2:$T$101,INT((ROW()-6)/17)+1))</f>
        <v/>
      </c>
      <c r="E423" s="18">
        <f t="shared" si="30"/>
        <v>10</v>
      </c>
      <c r="F423" s="23" t="str">
        <f>IF($A423="","",INDEX('Logic &amp; Lists'!$I$4:$I$20,$E423))</f>
        <v/>
      </c>
      <c r="G423" s="18" t="str">
        <f>IF($A423="","",INDEX('Logic &amp; Lists'!$J$4:$J$20,$E423))</f>
        <v/>
      </c>
      <c r="H423" s="6" t="str">
        <f t="shared" si="31"/>
        <v/>
      </c>
      <c r="I423" s="18" t="str">
        <f t="shared" ca="1" si="32"/>
        <v/>
      </c>
      <c r="J423" s="5" t="str">
        <f t="shared" si="33"/>
        <v/>
      </c>
      <c r="K423" s="25"/>
      <c r="L423" s="5" t="str">
        <f t="shared" si="34"/>
        <v/>
      </c>
      <c r="M423" s="7"/>
      <c r="N423" s="7"/>
      <c r="O423" s="7"/>
      <c r="P423" s="20" t="str">
        <f>IF($A423="","",INDEX(Project_Tracker!$I$2:$I$101,INT((ROW()-6)/17)+1))</f>
        <v/>
      </c>
      <c r="Q423" s="20" t="str">
        <f>IF($A423="","",INDEX(Project_Tracker!$K$2:$K$101,INT((ROW()-6)/17)+1))</f>
        <v/>
      </c>
    </row>
    <row r="424" spans="1:17" x14ac:dyDescent="0.2">
      <c r="A424" s="20" t="str">
        <f>IF(INDEX(Project_Tracker!$AL$2:$AL$101,INT((ROW()-6)/17)+1)="","",INDEX(Project_Tracker!$AL$2:$AL$101,INT((ROW()-6)/17)+1))</f>
        <v/>
      </c>
      <c r="B424" s="21" t="str">
        <f>IF($A424="","",INDEX(Project_Tracker!$AM$2:$AM$101,INT((ROW()-6)/17)+1))</f>
        <v/>
      </c>
      <c r="C424" s="20" t="str">
        <f>IF($A424="","",INDEX(Project_Tracker!$C$2:$C$101,INT((ROW()-6)/17)+1))</f>
        <v/>
      </c>
      <c r="D424" s="6" t="str">
        <f>IF($A424="","",INDEX(Project_Tracker!$T$2:$T$101,INT((ROW()-6)/17)+1))</f>
        <v/>
      </c>
      <c r="E424" s="18">
        <f t="shared" si="30"/>
        <v>11</v>
      </c>
      <c r="F424" s="23" t="str">
        <f>IF($A424="","",INDEX('Logic &amp; Lists'!$I$4:$I$20,$E424))</f>
        <v/>
      </c>
      <c r="G424" s="18" t="str">
        <f>IF($A424="","",INDEX('Logic &amp; Lists'!$J$4:$J$20,$E424))</f>
        <v/>
      </c>
      <c r="H424" s="6" t="str">
        <f t="shared" si="31"/>
        <v/>
      </c>
      <c r="I424" s="18" t="str">
        <f t="shared" ca="1" si="32"/>
        <v/>
      </c>
      <c r="J424" s="5" t="str">
        <f t="shared" si="33"/>
        <v/>
      </c>
      <c r="K424" s="25"/>
      <c r="L424" s="5" t="str">
        <f t="shared" si="34"/>
        <v/>
      </c>
      <c r="M424" s="7"/>
      <c r="N424" s="7"/>
      <c r="O424" s="7"/>
      <c r="P424" s="20" t="str">
        <f>IF($A424="","",INDEX(Project_Tracker!$I$2:$I$101,INT((ROW()-6)/17)+1))</f>
        <v/>
      </c>
      <c r="Q424" s="20" t="str">
        <f>IF($A424="","",INDEX(Project_Tracker!$K$2:$K$101,INT((ROW()-6)/17)+1))</f>
        <v/>
      </c>
    </row>
    <row r="425" spans="1:17" x14ac:dyDescent="0.2">
      <c r="A425" s="20" t="str">
        <f>IF(INDEX(Project_Tracker!$AL$2:$AL$101,INT((ROW()-6)/17)+1)="","",INDEX(Project_Tracker!$AL$2:$AL$101,INT((ROW()-6)/17)+1))</f>
        <v/>
      </c>
      <c r="B425" s="21" t="str">
        <f>IF($A425="","",INDEX(Project_Tracker!$AM$2:$AM$101,INT((ROW()-6)/17)+1))</f>
        <v/>
      </c>
      <c r="C425" s="20" t="str">
        <f>IF($A425="","",INDEX(Project_Tracker!$C$2:$C$101,INT((ROW()-6)/17)+1))</f>
        <v/>
      </c>
      <c r="D425" s="6" t="str">
        <f>IF($A425="","",INDEX(Project_Tracker!$T$2:$T$101,INT((ROW()-6)/17)+1))</f>
        <v/>
      </c>
      <c r="E425" s="18">
        <f t="shared" si="30"/>
        <v>12</v>
      </c>
      <c r="F425" s="23" t="str">
        <f>IF($A425="","",INDEX('Logic &amp; Lists'!$I$4:$I$20,$E425))</f>
        <v/>
      </c>
      <c r="G425" s="18" t="str">
        <f>IF($A425="","",INDEX('Logic &amp; Lists'!$J$4:$J$20,$E425))</f>
        <v/>
      </c>
      <c r="H425" s="6" t="str">
        <f t="shared" si="31"/>
        <v/>
      </c>
      <c r="I425" s="18" t="str">
        <f t="shared" ca="1" si="32"/>
        <v/>
      </c>
      <c r="J425" s="5" t="str">
        <f t="shared" si="33"/>
        <v/>
      </c>
      <c r="K425" s="25"/>
      <c r="L425" s="5" t="str">
        <f t="shared" si="34"/>
        <v/>
      </c>
      <c r="M425" s="7"/>
      <c r="N425" s="7"/>
      <c r="O425" s="7"/>
      <c r="P425" s="20" t="str">
        <f>IF($A425="","",INDEX(Project_Tracker!$I$2:$I$101,INT((ROW()-6)/17)+1))</f>
        <v/>
      </c>
      <c r="Q425" s="20" t="str">
        <f>IF($A425="","",INDEX(Project_Tracker!$K$2:$K$101,INT((ROW()-6)/17)+1))</f>
        <v/>
      </c>
    </row>
    <row r="426" spans="1:17" x14ac:dyDescent="0.2">
      <c r="A426" s="20" t="str">
        <f>IF(INDEX(Project_Tracker!$AL$2:$AL$101,INT((ROW()-6)/17)+1)="","",INDEX(Project_Tracker!$AL$2:$AL$101,INT((ROW()-6)/17)+1))</f>
        <v/>
      </c>
      <c r="B426" s="21" t="str">
        <f>IF($A426="","",INDEX(Project_Tracker!$AM$2:$AM$101,INT((ROW()-6)/17)+1))</f>
        <v/>
      </c>
      <c r="C426" s="20" t="str">
        <f>IF($A426="","",INDEX(Project_Tracker!$C$2:$C$101,INT((ROW()-6)/17)+1))</f>
        <v/>
      </c>
      <c r="D426" s="6" t="str">
        <f>IF($A426="","",INDEX(Project_Tracker!$T$2:$T$101,INT((ROW()-6)/17)+1))</f>
        <v/>
      </c>
      <c r="E426" s="18">
        <f t="shared" si="30"/>
        <v>13</v>
      </c>
      <c r="F426" s="23" t="str">
        <f>IF($A426="","",INDEX('Logic &amp; Lists'!$I$4:$I$20,$E426))</f>
        <v/>
      </c>
      <c r="G426" s="18" t="str">
        <f>IF($A426="","",INDEX('Logic &amp; Lists'!$J$4:$J$20,$E426))</f>
        <v/>
      </c>
      <c r="H426" s="6" t="str">
        <f t="shared" si="31"/>
        <v/>
      </c>
      <c r="I426" s="18" t="str">
        <f t="shared" ca="1" si="32"/>
        <v/>
      </c>
      <c r="J426" s="5" t="str">
        <f t="shared" si="33"/>
        <v/>
      </c>
      <c r="K426" s="25"/>
      <c r="L426" s="5" t="str">
        <f t="shared" si="34"/>
        <v/>
      </c>
      <c r="M426" s="7"/>
      <c r="N426" s="7"/>
      <c r="O426" s="7"/>
      <c r="P426" s="20" t="str">
        <f>IF($A426="","",INDEX(Project_Tracker!$I$2:$I$101,INT((ROW()-6)/17)+1))</f>
        <v/>
      </c>
      <c r="Q426" s="20" t="str">
        <f>IF($A426="","",INDEX(Project_Tracker!$K$2:$K$101,INT((ROW()-6)/17)+1))</f>
        <v/>
      </c>
    </row>
    <row r="427" spans="1:17" x14ac:dyDescent="0.2">
      <c r="A427" s="20" t="str">
        <f>IF(INDEX(Project_Tracker!$AL$2:$AL$101,INT((ROW()-6)/17)+1)="","",INDEX(Project_Tracker!$AL$2:$AL$101,INT((ROW()-6)/17)+1))</f>
        <v/>
      </c>
      <c r="B427" s="21" t="str">
        <f>IF($A427="","",INDEX(Project_Tracker!$AM$2:$AM$101,INT((ROW()-6)/17)+1))</f>
        <v/>
      </c>
      <c r="C427" s="20" t="str">
        <f>IF($A427="","",INDEX(Project_Tracker!$C$2:$C$101,INT((ROW()-6)/17)+1))</f>
        <v/>
      </c>
      <c r="D427" s="6" t="str">
        <f>IF($A427="","",INDEX(Project_Tracker!$T$2:$T$101,INT((ROW()-6)/17)+1))</f>
        <v/>
      </c>
      <c r="E427" s="18">
        <f t="shared" si="30"/>
        <v>14</v>
      </c>
      <c r="F427" s="23" t="str">
        <f>IF($A427="","",INDEX('Logic &amp; Lists'!$I$4:$I$20,$E427))</f>
        <v/>
      </c>
      <c r="G427" s="18" t="str">
        <f>IF($A427="","",INDEX('Logic &amp; Lists'!$J$4:$J$20,$E427))</f>
        <v/>
      </c>
      <c r="H427" s="6" t="str">
        <f t="shared" si="31"/>
        <v/>
      </c>
      <c r="I427" s="18" t="str">
        <f t="shared" ca="1" si="32"/>
        <v/>
      </c>
      <c r="J427" s="5" t="str">
        <f t="shared" si="33"/>
        <v/>
      </c>
      <c r="K427" s="25"/>
      <c r="L427" s="5" t="str">
        <f t="shared" si="34"/>
        <v/>
      </c>
      <c r="M427" s="7"/>
      <c r="N427" s="7"/>
      <c r="O427" s="7"/>
      <c r="P427" s="20" t="str">
        <f>IF($A427="","",INDEX(Project_Tracker!$I$2:$I$101,INT((ROW()-6)/17)+1))</f>
        <v/>
      </c>
      <c r="Q427" s="20" t="str">
        <f>IF($A427="","",INDEX(Project_Tracker!$K$2:$K$101,INT((ROW()-6)/17)+1))</f>
        <v/>
      </c>
    </row>
    <row r="428" spans="1:17" x14ac:dyDescent="0.2">
      <c r="A428" s="20" t="str">
        <f>IF(INDEX(Project_Tracker!$AL$2:$AL$101,INT((ROW()-6)/17)+1)="","",INDEX(Project_Tracker!$AL$2:$AL$101,INT((ROW()-6)/17)+1))</f>
        <v/>
      </c>
      <c r="B428" s="21" t="str">
        <f>IF($A428="","",INDEX(Project_Tracker!$AM$2:$AM$101,INT((ROW()-6)/17)+1))</f>
        <v/>
      </c>
      <c r="C428" s="20" t="str">
        <f>IF($A428="","",INDEX(Project_Tracker!$C$2:$C$101,INT((ROW()-6)/17)+1))</f>
        <v/>
      </c>
      <c r="D428" s="6" t="str">
        <f>IF($A428="","",INDEX(Project_Tracker!$T$2:$T$101,INT((ROW()-6)/17)+1))</f>
        <v/>
      </c>
      <c r="E428" s="18">
        <f t="shared" si="30"/>
        <v>15</v>
      </c>
      <c r="F428" s="23" t="str">
        <f>IF($A428="","",INDEX('Logic &amp; Lists'!$I$4:$I$20,$E428))</f>
        <v/>
      </c>
      <c r="G428" s="18" t="str">
        <f>IF($A428="","",INDEX('Logic &amp; Lists'!$J$4:$J$20,$E428))</f>
        <v/>
      </c>
      <c r="H428" s="6" t="str">
        <f t="shared" si="31"/>
        <v/>
      </c>
      <c r="I428" s="18" t="str">
        <f t="shared" ca="1" si="32"/>
        <v/>
      </c>
      <c r="J428" s="5" t="str">
        <f t="shared" si="33"/>
        <v/>
      </c>
      <c r="K428" s="25"/>
      <c r="L428" s="5" t="str">
        <f t="shared" si="34"/>
        <v/>
      </c>
      <c r="M428" s="7"/>
      <c r="N428" s="7"/>
      <c r="O428" s="7"/>
      <c r="P428" s="20" t="str">
        <f>IF($A428="","",INDEX(Project_Tracker!$I$2:$I$101,INT((ROW()-6)/17)+1))</f>
        <v/>
      </c>
      <c r="Q428" s="20" t="str">
        <f>IF($A428="","",INDEX(Project_Tracker!$K$2:$K$101,INT((ROW()-6)/17)+1))</f>
        <v/>
      </c>
    </row>
    <row r="429" spans="1:17" x14ac:dyDescent="0.2">
      <c r="A429" s="20" t="str">
        <f>IF(INDEX(Project_Tracker!$AL$2:$AL$101,INT((ROW()-6)/17)+1)="","",INDEX(Project_Tracker!$AL$2:$AL$101,INT((ROW()-6)/17)+1))</f>
        <v/>
      </c>
      <c r="B429" s="21" t="str">
        <f>IF($A429="","",INDEX(Project_Tracker!$AM$2:$AM$101,INT((ROW()-6)/17)+1))</f>
        <v/>
      </c>
      <c r="C429" s="20" t="str">
        <f>IF($A429="","",INDEX(Project_Tracker!$C$2:$C$101,INT((ROW()-6)/17)+1))</f>
        <v/>
      </c>
      <c r="D429" s="6" t="str">
        <f>IF($A429="","",INDEX(Project_Tracker!$T$2:$T$101,INT((ROW()-6)/17)+1))</f>
        <v/>
      </c>
      <c r="E429" s="18">
        <f t="shared" si="30"/>
        <v>16</v>
      </c>
      <c r="F429" s="23" t="str">
        <f>IF($A429="","",INDEX('Logic &amp; Lists'!$I$4:$I$20,$E429))</f>
        <v/>
      </c>
      <c r="G429" s="18" t="str">
        <f>IF($A429="","",INDEX('Logic &amp; Lists'!$J$4:$J$20,$E429))</f>
        <v/>
      </c>
      <c r="H429" s="6" t="str">
        <f t="shared" si="31"/>
        <v/>
      </c>
      <c r="I429" s="18" t="str">
        <f t="shared" ca="1" si="32"/>
        <v/>
      </c>
      <c r="J429" s="5" t="str">
        <f t="shared" si="33"/>
        <v/>
      </c>
      <c r="K429" s="25"/>
      <c r="L429" s="5" t="str">
        <f t="shared" si="34"/>
        <v/>
      </c>
      <c r="M429" s="7"/>
      <c r="N429" s="7"/>
      <c r="O429" s="7"/>
      <c r="P429" s="20" t="str">
        <f>IF($A429="","",INDEX(Project_Tracker!$I$2:$I$101,INT((ROW()-6)/17)+1))</f>
        <v/>
      </c>
      <c r="Q429" s="20" t="str">
        <f>IF($A429="","",INDEX(Project_Tracker!$K$2:$K$101,INT((ROW()-6)/17)+1))</f>
        <v/>
      </c>
    </row>
    <row r="430" spans="1:17" x14ac:dyDescent="0.2">
      <c r="A430" s="20" t="str">
        <f>IF(INDEX(Project_Tracker!$AL$2:$AL$101,INT((ROW()-6)/17)+1)="","",INDEX(Project_Tracker!$AL$2:$AL$101,INT((ROW()-6)/17)+1))</f>
        <v/>
      </c>
      <c r="B430" s="21" t="str">
        <f>IF($A430="","",INDEX(Project_Tracker!$AM$2:$AM$101,INT((ROW()-6)/17)+1))</f>
        <v/>
      </c>
      <c r="C430" s="20" t="str">
        <f>IF($A430="","",INDEX(Project_Tracker!$C$2:$C$101,INT((ROW()-6)/17)+1))</f>
        <v/>
      </c>
      <c r="D430" s="6" t="str">
        <f>IF($A430="","",INDEX(Project_Tracker!$T$2:$T$101,INT((ROW()-6)/17)+1))</f>
        <v/>
      </c>
      <c r="E430" s="18">
        <f t="shared" si="30"/>
        <v>17</v>
      </c>
      <c r="F430" s="23" t="str">
        <f>IF($A430="","",INDEX('Logic &amp; Lists'!$I$4:$I$20,$E430))</f>
        <v/>
      </c>
      <c r="G430" s="18" t="str">
        <f>IF($A430="","",INDEX('Logic &amp; Lists'!$J$4:$J$20,$E430))</f>
        <v/>
      </c>
      <c r="H430" s="6" t="str">
        <f t="shared" si="31"/>
        <v/>
      </c>
      <c r="I430" s="18" t="str">
        <f t="shared" ca="1" si="32"/>
        <v/>
      </c>
      <c r="J430" s="5" t="str">
        <f t="shared" si="33"/>
        <v/>
      </c>
      <c r="K430" s="25"/>
      <c r="L430" s="5" t="str">
        <f t="shared" si="34"/>
        <v/>
      </c>
      <c r="M430" s="7"/>
      <c r="N430" s="7"/>
      <c r="O430" s="7"/>
      <c r="P430" s="20" t="str">
        <f>IF($A430="","",INDEX(Project_Tracker!$I$2:$I$101,INT((ROW()-6)/17)+1))</f>
        <v/>
      </c>
      <c r="Q430" s="20" t="str">
        <f>IF($A430="","",INDEX(Project_Tracker!$K$2:$K$101,INT((ROW()-6)/17)+1))</f>
        <v/>
      </c>
    </row>
    <row r="431" spans="1:17" x14ac:dyDescent="0.2">
      <c r="A431" s="20" t="str">
        <f>IF(INDEX(Project_Tracker!$AL$2:$AL$101,INT((ROW()-6)/17)+1)="","",INDEX(Project_Tracker!$AL$2:$AL$101,INT((ROW()-6)/17)+1))</f>
        <v/>
      </c>
      <c r="B431" s="21" t="str">
        <f>IF($A431="","",INDEX(Project_Tracker!$AM$2:$AM$101,INT((ROW()-6)/17)+1))</f>
        <v/>
      </c>
      <c r="C431" s="20" t="str">
        <f>IF($A431="","",INDEX(Project_Tracker!$C$2:$C$101,INT((ROW()-6)/17)+1))</f>
        <v/>
      </c>
      <c r="D431" s="6" t="str">
        <f>IF($A431="","",INDEX(Project_Tracker!$T$2:$T$101,INT((ROW()-6)/17)+1))</f>
        <v/>
      </c>
      <c r="E431" s="18">
        <f t="shared" si="30"/>
        <v>1</v>
      </c>
      <c r="F431" s="23" t="str">
        <f>IF($A431="","",INDEX('Logic &amp; Lists'!$I$4:$I$20,$E431))</f>
        <v/>
      </c>
      <c r="G431" s="18" t="str">
        <f>IF($A431="","",INDEX('Logic &amp; Lists'!$J$4:$J$20,$E431))</f>
        <v/>
      </c>
      <c r="H431" s="6" t="str">
        <f t="shared" si="31"/>
        <v/>
      </c>
      <c r="I431" s="18" t="str">
        <f t="shared" ca="1" si="32"/>
        <v/>
      </c>
      <c r="J431" s="5" t="str">
        <f t="shared" si="33"/>
        <v/>
      </c>
      <c r="K431" s="25"/>
      <c r="L431" s="5" t="str">
        <f t="shared" si="34"/>
        <v/>
      </c>
      <c r="M431" s="7"/>
      <c r="N431" s="7"/>
      <c r="O431" s="7"/>
      <c r="P431" s="20" t="str">
        <f>IF($A431="","",INDEX(Project_Tracker!$I$2:$I$101,INT((ROW()-6)/17)+1))</f>
        <v/>
      </c>
      <c r="Q431" s="20" t="str">
        <f>IF($A431="","",INDEX(Project_Tracker!$K$2:$K$101,INT((ROW()-6)/17)+1))</f>
        <v/>
      </c>
    </row>
    <row r="432" spans="1:17" x14ac:dyDescent="0.2">
      <c r="A432" s="20" t="str">
        <f>IF(INDEX(Project_Tracker!$AL$2:$AL$101,INT((ROW()-6)/17)+1)="","",INDEX(Project_Tracker!$AL$2:$AL$101,INT((ROW()-6)/17)+1))</f>
        <v/>
      </c>
      <c r="B432" s="21" t="str">
        <f>IF($A432="","",INDEX(Project_Tracker!$AM$2:$AM$101,INT((ROW()-6)/17)+1))</f>
        <v/>
      </c>
      <c r="C432" s="20" t="str">
        <f>IF($A432="","",INDEX(Project_Tracker!$C$2:$C$101,INT((ROW()-6)/17)+1))</f>
        <v/>
      </c>
      <c r="D432" s="6" t="str">
        <f>IF($A432="","",INDEX(Project_Tracker!$T$2:$T$101,INT((ROW()-6)/17)+1))</f>
        <v/>
      </c>
      <c r="E432" s="18">
        <f t="shared" si="30"/>
        <v>2</v>
      </c>
      <c r="F432" s="23" t="str">
        <f>IF($A432="","",INDEX('Logic &amp; Lists'!$I$4:$I$20,$E432))</f>
        <v/>
      </c>
      <c r="G432" s="18" t="str">
        <f>IF($A432="","",INDEX('Logic &amp; Lists'!$J$4:$J$20,$E432))</f>
        <v/>
      </c>
      <c r="H432" s="6" t="str">
        <f t="shared" si="31"/>
        <v/>
      </c>
      <c r="I432" s="18" t="str">
        <f t="shared" ca="1" si="32"/>
        <v/>
      </c>
      <c r="J432" s="5" t="str">
        <f t="shared" si="33"/>
        <v/>
      </c>
      <c r="K432" s="25"/>
      <c r="L432" s="5" t="str">
        <f t="shared" si="34"/>
        <v/>
      </c>
      <c r="M432" s="7"/>
      <c r="N432" s="7"/>
      <c r="O432" s="7"/>
      <c r="P432" s="20" t="str">
        <f>IF($A432="","",INDEX(Project_Tracker!$I$2:$I$101,INT((ROW()-6)/17)+1))</f>
        <v/>
      </c>
      <c r="Q432" s="20" t="str">
        <f>IF($A432="","",INDEX(Project_Tracker!$K$2:$K$101,INT((ROW()-6)/17)+1))</f>
        <v/>
      </c>
    </row>
    <row r="433" spans="1:17" x14ac:dyDescent="0.2">
      <c r="A433" s="20" t="str">
        <f>IF(INDEX(Project_Tracker!$AL$2:$AL$101,INT((ROW()-6)/17)+1)="","",INDEX(Project_Tracker!$AL$2:$AL$101,INT((ROW()-6)/17)+1))</f>
        <v/>
      </c>
      <c r="B433" s="21" t="str">
        <f>IF($A433="","",INDEX(Project_Tracker!$AM$2:$AM$101,INT((ROW()-6)/17)+1))</f>
        <v/>
      </c>
      <c r="C433" s="20" t="str">
        <f>IF($A433="","",INDEX(Project_Tracker!$C$2:$C$101,INT((ROW()-6)/17)+1))</f>
        <v/>
      </c>
      <c r="D433" s="6" t="str">
        <f>IF($A433="","",INDEX(Project_Tracker!$T$2:$T$101,INT((ROW()-6)/17)+1))</f>
        <v/>
      </c>
      <c r="E433" s="18">
        <f t="shared" si="30"/>
        <v>3</v>
      </c>
      <c r="F433" s="23" t="str">
        <f>IF($A433="","",INDEX('Logic &amp; Lists'!$I$4:$I$20,$E433))</f>
        <v/>
      </c>
      <c r="G433" s="18" t="str">
        <f>IF($A433="","",INDEX('Logic &amp; Lists'!$J$4:$J$20,$E433))</f>
        <v/>
      </c>
      <c r="H433" s="6" t="str">
        <f t="shared" si="31"/>
        <v/>
      </c>
      <c r="I433" s="18" t="str">
        <f t="shared" ca="1" si="32"/>
        <v/>
      </c>
      <c r="J433" s="5" t="str">
        <f t="shared" si="33"/>
        <v/>
      </c>
      <c r="K433" s="25"/>
      <c r="L433" s="5" t="str">
        <f t="shared" si="34"/>
        <v/>
      </c>
      <c r="M433" s="7"/>
      <c r="N433" s="7"/>
      <c r="O433" s="7"/>
      <c r="P433" s="20" t="str">
        <f>IF($A433="","",INDEX(Project_Tracker!$I$2:$I$101,INT((ROW()-6)/17)+1))</f>
        <v/>
      </c>
      <c r="Q433" s="20" t="str">
        <f>IF($A433="","",INDEX(Project_Tracker!$K$2:$K$101,INT((ROW()-6)/17)+1))</f>
        <v/>
      </c>
    </row>
    <row r="434" spans="1:17" x14ac:dyDescent="0.2">
      <c r="A434" s="20" t="str">
        <f>IF(INDEX(Project_Tracker!$AL$2:$AL$101,INT((ROW()-6)/17)+1)="","",INDEX(Project_Tracker!$AL$2:$AL$101,INT((ROW()-6)/17)+1))</f>
        <v/>
      </c>
      <c r="B434" s="21" t="str">
        <f>IF($A434="","",INDEX(Project_Tracker!$AM$2:$AM$101,INT((ROW()-6)/17)+1))</f>
        <v/>
      </c>
      <c r="C434" s="20" t="str">
        <f>IF($A434="","",INDEX(Project_Tracker!$C$2:$C$101,INT((ROW()-6)/17)+1))</f>
        <v/>
      </c>
      <c r="D434" s="6" t="str">
        <f>IF($A434="","",INDEX(Project_Tracker!$T$2:$T$101,INT((ROW()-6)/17)+1))</f>
        <v/>
      </c>
      <c r="E434" s="18">
        <f t="shared" si="30"/>
        <v>4</v>
      </c>
      <c r="F434" s="23" t="str">
        <f>IF($A434="","",INDEX('Logic &amp; Lists'!$I$4:$I$20,$E434))</f>
        <v/>
      </c>
      <c r="G434" s="18" t="str">
        <f>IF($A434="","",INDEX('Logic &amp; Lists'!$J$4:$J$20,$E434))</f>
        <v/>
      </c>
      <c r="H434" s="6" t="str">
        <f t="shared" si="31"/>
        <v/>
      </c>
      <c r="I434" s="18" t="str">
        <f t="shared" ca="1" si="32"/>
        <v/>
      </c>
      <c r="J434" s="5" t="str">
        <f t="shared" si="33"/>
        <v/>
      </c>
      <c r="K434" s="25"/>
      <c r="L434" s="5" t="str">
        <f t="shared" si="34"/>
        <v/>
      </c>
      <c r="M434" s="7"/>
      <c r="N434" s="7"/>
      <c r="O434" s="7"/>
      <c r="P434" s="20" t="str">
        <f>IF($A434="","",INDEX(Project_Tracker!$I$2:$I$101,INT((ROW()-6)/17)+1))</f>
        <v/>
      </c>
      <c r="Q434" s="20" t="str">
        <f>IF($A434="","",INDEX(Project_Tracker!$K$2:$K$101,INT((ROW()-6)/17)+1))</f>
        <v/>
      </c>
    </row>
    <row r="435" spans="1:17" x14ac:dyDescent="0.2">
      <c r="A435" s="20" t="str">
        <f>IF(INDEX(Project_Tracker!$AL$2:$AL$101,INT((ROW()-6)/17)+1)="","",INDEX(Project_Tracker!$AL$2:$AL$101,INT((ROW()-6)/17)+1))</f>
        <v/>
      </c>
      <c r="B435" s="21" t="str">
        <f>IF($A435="","",INDEX(Project_Tracker!$AM$2:$AM$101,INT((ROW()-6)/17)+1))</f>
        <v/>
      </c>
      <c r="C435" s="20" t="str">
        <f>IF($A435="","",INDEX(Project_Tracker!$C$2:$C$101,INT((ROW()-6)/17)+1))</f>
        <v/>
      </c>
      <c r="D435" s="6" t="str">
        <f>IF($A435="","",INDEX(Project_Tracker!$T$2:$T$101,INT((ROW()-6)/17)+1))</f>
        <v/>
      </c>
      <c r="E435" s="18">
        <f t="shared" si="30"/>
        <v>5</v>
      </c>
      <c r="F435" s="23" t="str">
        <f>IF($A435="","",INDEX('Logic &amp; Lists'!$I$4:$I$20,$E435))</f>
        <v/>
      </c>
      <c r="G435" s="18" t="str">
        <f>IF($A435="","",INDEX('Logic &amp; Lists'!$J$4:$J$20,$E435))</f>
        <v/>
      </c>
      <c r="H435" s="6" t="str">
        <f t="shared" si="31"/>
        <v/>
      </c>
      <c r="I435" s="18" t="str">
        <f t="shared" ca="1" si="32"/>
        <v/>
      </c>
      <c r="J435" s="5" t="str">
        <f t="shared" si="33"/>
        <v/>
      </c>
      <c r="K435" s="25"/>
      <c r="L435" s="5" t="str">
        <f t="shared" si="34"/>
        <v/>
      </c>
      <c r="M435" s="7"/>
      <c r="N435" s="7"/>
      <c r="O435" s="7"/>
      <c r="P435" s="20" t="str">
        <f>IF($A435="","",INDEX(Project_Tracker!$I$2:$I$101,INT((ROW()-6)/17)+1))</f>
        <v/>
      </c>
      <c r="Q435" s="20" t="str">
        <f>IF($A435="","",INDEX(Project_Tracker!$K$2:$K$101,INT((ROW()-6)/17)+1))</f>
        <v/>
      </c>
    </row>
    <row r="436" spans="1:17" x14ac:dyDescent="0.2">
      <c r="A436" s="20" t="str">
        <f>IF(INDEX(Project_Tracker!$AL$2:$AL$101,INT((ROW()-6)/17)+1)="","",INDEX(Project_Tracker!$AL$2:$AL$101,INT((ROW()-6)/17)+1))</f>
        <v/>
      </c>
      <c r="B436" s="21" t="str">
        <f>IF($A436="","",INDEX(Project_Tracker!$AM$2:$AM$101,INT((ROW()-6)/17)+1))</f>
        <v/>
      </c>
      <c r="C436" s="20" t="str">
        <f>IF($A436="","",INDEX(Project_Tracker!$C$2:$C$101,INT((ROW()-6)/17)+1))</f>
        <v/>
      </c>
      <c r="D436" s="6" t="str">
        <f>IF($A436="","",INDEX(Project_Tracker!$T$2:$T$101,INT((ROW()-6)/17)+1))</f>
        <v/>
      </c>
      <c r="E436" s="18">
        <f t="shared" si="30"/>
        <v>6</v>
      </c>
      <c r="F436" s="23" t="str">
        <f>IF($A436="","",INDEX('Logic &amp; Lists'!$I$4:$I$20,$E436))</f>
        <v/>
      </c>
      <c r="G436" s="18" t="str">
        <f>IF($A436="","",INDEX('Logic &amp; Lists'!$J$4:$J$20,$E436))</f>
        <v/>
      </c>
      <c r="H436" s="6" t="str">
        <f t="shared" si="31"/>
        <v/>
      </c>
      <c r="I436" s="18" t="str">
        <f t="shared" ca="1" si="32"/>
        <v/>
      </c>
      <c r="J436" s="5" t="str">
        <f t="shared" si="33"/>
        <v/>
      </c>
      <c r="K436" s="25"/>
      <c r="L436" s="5" t="str">
        <f t="shared" si="34"/>
        <v/>
      </c>
      <c r="M436" s="7"/>
      <c r="N436" s="7"/>
      <c r="O436" s="7"/>
      <c r="P436" s="20" t="str">
        <f>IF($A436="","",INDEX(Project_Tracker!$I$2:$I$101,INT((ROW()-6)/17)+1))</f>
        <v/>
      </c>
      <c r="Q436" s="20" t="str">
        <f>IF($A436="","",INDEX(Project_Tracker!$K$2:$K$101,INT((ROW()-6)/17)+1))</f>
        <v/>
      </c>
    </row>
    <row r="437" spans="1:17" x14ac:dyDescent="0.2">
      <c r="A437" s="20" t="str">
        <f>IF(INDEX(Project_Tracker!$AL$2:$AL$101,INT((ROW()-6)/17)+1)="","",INDEX(Project_Tracker!$AL$2:$AL$101,INT((ROW()-6)/17)+1))</f>
        <v/>
      </c>
      <c r="B437" s="21" t="str">
        <f>IF($A437="","",INDEX(Project_Tracker!$AM$2:$AM$101,INT((ROW()-6)/17)+1))</f>
        <v/>
      </c>
      <c r="C437" s="20" t="str">
        <f>IF($A437="","",INDEX(Project_Tracker!$C$2:$C$101,INT((ROW()-6)/17)+1))</f>
        <v/>
      </c>
      <c r="D437" s="6" t="str">
        <f>IF($A437="","",INDEX(Project_Tracker!$T$2:$T$101,INT((ROW()-6)/17)+1))</f>
        <v/>
      </c>
      <c r="E437" s="18">
        <f t="shared" si="30"/>
        <v>7</v>
      </c>
      <c r="F437" s="23" t="str">
        <f>IF($A437="","",INDEX('Logic &amp; Lists'!$I$4:$I$20,$E437))</f>
        <v/>
      </c>
      <c r="G437" s="18" t="str">
        <f>IF($A437="","",INDEX('Logic &amp; Lists'!$J$4:$J$20,$E437))</f>
        <v/>
      </c>
      <c r="H437" s="6" t="str">
        <f t="shared" si="31"/>
        <v/>
      </c>
      <c r="I437" s="18" t="str">
        <f t="shared" ca="1" si="32"/>
        <v/>
      </c>
      <c r="J437" s="5" t="str">
        <f t="shared" si="33"/>
        <v/>
      </c>
      <c r="K437" s="25"/>
      <c r="L437" s="5" t="str">
        <f t="shared" si="34"/>
        <v/>
      </c>
      <c r="M437" s="7"/>
      <c r="N437" s="7"/>
      <c r="O437" s="7"/>
      <c r="P437" s="20" t="str">
        <f>IF($A437="","",INDEX(Project_Tracker!$I$2:$I$101,INT((ROW()-6)/17)+1))</f>
        <v/>
      </c>
      <c r="Q437" s="20" t="str">
        <f>IF($A437="","",INDEX(Project_Tracker!$K$2:$K$101,INT((ROW()-6)/17)+1))</f>
        <v/>
      </c>
    </row>
    <row r="438" spans="1:17" x14ac:dyDescent="0.2">
      <c r="A438" s="20" t="str">
        <f>IF(INDEX(Project_Tracker!$AL$2:$AL$101,INT((ROW()-6)/17)+1)="","",INDEX(Project_Tracker!$AL$2:$AL$101,INT((ROW()-6)/17)+1))</f>
        <v/>
      </c>
      <c r="B438" s="21" t="str">
        <f>IF($A438="","",INDEX(Project_Tracker!$AM$2:$AM$101,INT((ROW()-6)/17)+1))</f>
        <v/>
      </c>
      <c r="C438" s="20" t="str">
        <f>IF($A438="","",INDEX(Project_Tracker!$C$2:$C$101,INT((ROW()-6)/17)+1))</f>
        <v/>
      </c>
      <c r="D438" s="6" t="str">
        <f>IF($A438="","",INDEX(Project_Tracker!$T$2:$T$101,INT((ROW()-6)/17)+1))</f>
        <v/>
      </c>
      <c r="E438" s="18">
        <f t="shared" si="30"/>
        <v>8</v>
      </c>
      <c r="F438" s="23" t="str">
        <f>IF($A438="","",INDEX('Logic &amp; Lists'!$I$4:$I$20,$E438))</f>
        <v/>
      </c>
      <c r="G438" s="18" t="str">
        <f>IF($A438="","",INDEX('Logic &amp; Lists'!$J$4:$J$20,$E438))</f>
        <v/>
      </c>
      <c r="H438" s="6" t="str">
        <f t="shared" si="31"/>
        <v/>
      </c>
      <c r="I438" s="18" t="str">
        <f t="shared" ca="1" si="32"/>
        <v/>
      </c>
      <c r="J438" s="5" t="str">
        <f t="shared" si="33"/>
        <v/>
      </c>
      <c r="K438" s="25"/>
      <c r="L438" s="5" t="str">
        <f t="shared" si="34"/>
        <v/>
      </c>
      <c r="M438" s="7"/>
      <c r="N438" s="7"/>
      <c r="O438" s="7"/>
      <c r="P438" s="20" t="str">
        <f>IF($A438="","",INDEX(Project_Tracker!$I$2:$I$101,INT((ROW()-6)/17)+1))</f>
        <v/>
      </c>
      <c r="Q438" s="20" t="str">
        <f>IF($A438="","",INDEX(Project_Tracker!$K$2:$K$101,INT((ROW()-6)/17)+1))</f>
        <v/>
      </c>
    </row>
    <row r="439" spans="1:17" x14ac:dyDescent="0.2">
      <c r="A439" s="20" t="str">
        <f>IF(INDEX(Project_Tracker!$AL$2:$AL$101,INT((ROW()-6)/17)+1)="","",INDEX(Project_Tracker!$AL$2:$AL$101,INT((ROW()-6)/17)+1))</f>
        <v/>
      </c>
      <c r="B439" s="21" t="str">
        <f>IF($A439="","",INDEX(Project_Tracker!$AM$2:$AM$101,INT((ROW()-6)/17)+1))</f>
        <v/>
      </c>
      <c r="C439" s="20" t="str">
        <f>IF($A439="","",INDEX(Project_Tracker!$C$2:$C$101,INT((ROW()-6)/17)+1))</f>
        <v/>
      </c>
      <c r="D439" s="6" t="str">
        <f>IF($A439="","",INDEX(Project_Tracker!$T$2:$T$101,INT((ROW()-6)/17)+1))</f>
        <v/>
      </c>
      <c r="E439" s="18">
        <f t="shared" si="30"/>
        <v>9</v>
      </c>
      <c r="F439" s="23" t="str">
        <f>IF($A439="","",INDEX('Logic &amp; Lists'!$I$4:$I$20,$E439))</f>
        <v/>
      </c>
      <c r="G439" s="18" t="str">
        <f>IF($A439="","",INDEX('Logic &amp; Lists'!$J$4:$J$20,$E439))</f>
        <v/>
      </c>
      <c r="H439" s="6" t="str">
        <f t="shared" si="31"/>
        <v/>
      </c>
      <c r="I439" s="18" t="str">
        <f t="shared" ca="1" si="32"/>
        <v/>
      </c>
      <c r="J439" s="5" t="str">
        <f t="shared" si="33"/>
        <v/>
      </c>
      <c r="K439" s="25"/>
      <c r="L439" s="5" t="str">
        <f t="shared" si="34"/>
        <v/>
      </c>
      <c r="M439" s="7"/>
      <c r="N439" s="7"/>
      <c r="O439" s="7"/>
      <c r="P439" s="20" t="str">
        <f>IF($A439="","",INDEX(Project_Tracker!$I$2:$I$101,INT((ROW()-6)/17)+1))</f>
        <v/>
      </c>
      <c r="Q439" s="20" t="str">
        <f>IF($A439="","",INDEX(Project_Tracker!$K$2:$K$101,INT((ROW()-6)/17)+1))</f>
        <v/>
      </c>
    </row>
    <row r="440" spans="1:17" x14ac:dyDescent="0.2">
      <c r="A440" s="20" t="str">
        <f>IF(INDEX(Project_Tracker!$AL$2:$AL$101,INT((ROW()-6)/17)+1)="","",INDEX(Project_Tracker!$AL$2:$AL$101,INT((ROW()-6)/17)+1))</f>
        <v/>
      </c>
      <c r="B440" s="21" t="str">
        <f>IF($A440="","",INDEX(Project_Tracker!$AM$2:$AM$101,INT((ROW()-6)/17)+1))</f>
        <v/>
      </c>
      <c r="C440" s="20" t="str">
        <f>IF($A440="","",INDEX(Project_Tracker!$C$2:$C$101,INT((ROW()-6)/17)+1))</f>
        <v/>
      </c>
      <c r="D440" s="6" t="str">
        <f>IF($A440="","",INDEX(Project_Tracker!$T$2:$T$101,INT((ROW()-6)/17)+1))</f>
        <v/>
      </c>
      <c r="E440" s="18">
        <f t="shared" si="30"/>
        <v>10</v>
      </c>
      <c r="F440" s="23" t="str">
        <f>IF($A440="","",INDEX('Logic &amp; Lists'!$I$4:$I$20,$E440))</f>
        <v/>
      </c>
      <c r="G440" s="18" t="str">
        <f>IF($A440="","",INDEX('Logic &amp; Lists'!$J$4:$J$20,$E440))</f>
        <v/>
      </c>
      <c r="H440" s="6" t="str">
        <f t="shared" si="31"/>
        <v/>
      </c>
      <c r="I440" s="18" t="str">
        <f t="shared" ca="1" si="32"/>
        <v/>
      </c>
      <c r="J440" s="5" t="str">
        <f t="shared" si="33"/>
        <v/>
      </c>
      <c r="K440" s="25"/>
      <c r="L440" s="5" t="str">
        <f t="shared" si="34"/>
        <v/>
      </c>
      <c r="M440" s="7"/>
      <c r="N440" s="7"/>
      <c r="O440" s="7"/>
      <c r="P440" s="20" t="str">
        <f>IF($A440="","",INDEX(Project_Tracker!$I$2:$I$101,INT((ROW()-6)/17)+1))</f>
        <v/>
      </c>
      <c r="Q440" s="20" t="str">
        <f>IF($A440="","",INDEX(Project_Tracker!$K$2:$K$101,INT((ROW()-6)/17)+1))</f>
        <v/>
      </c>
    </row>
    <row r="441" spans="1:17" x14ac:dyDescent="0.2">
      <c r="A441" s="20" t="str">
        <f>IF(INDEX(Project_Tracker!$AL$2:$AL$101,INT((ROW()-6)/17)+1)="","",INDEX(Project_Tracker!$AL$2:$AL$101,INT((ROW()-6)/17)+1))</f>
        <v/>
      </c>
      <c r="B441" s="21" t="str">
        <f>IF($A441="","",INDEX(Project_Tracker!$AM$2:$AM$101,INT((ROW()-6)/17)+1))</f>
        <v/>
      </c>
      <c r="C441" s="20" t="str">
        <f>IF($A441="","",INDEX(Project_Tracker!$C$2:$C$101,INT((ROW()-6)/17)+1))</f>
        <v/>
      </c>
      <c r="D441" s="6" t="str">
        <f>IF($A441="","",INDEX(Project_Tracker!$T$2:$T$101,INT((ROW()-6)/17)+1))</f>
        <v/>
      </c>
      <c r="E441" s="18">
        <f t="shared" si="30"/>
        <v>11</v>
      </c>
      <c r="F441" s="23" t="str">
        <f>IF($A441="","",INDEX('Logic &amp; Lists'!$I$4:$I$20,$E441))</f>
        <v/>
      </c>
      <c r="G441" s="18" t="str">
        <f>IF($A441="","",INDEX('Logic &amp; Lists'!$J$4:$J$20,$E441))</f>
        <v/>
      </c>
      <c r="H441" s="6" t="str">
        <f t="shared" si="31"/>
        <v/>
      </c>
      <c r="I441" s="18" t="str">
        <f t="shared" ca="1" si="32"/>
        <v/>
      </c>
      <c r="J441" s="5" t="str">
        <f t="shared" si="33"/>
        <v/>
      </c>
      <c r="K441" s="25"/>
      <c r="L441" s="5" t="str">
        <f t="shared" si="34"/>
        <v/>
      </c>
      <c r="M441" s="7"/>
      <c r="N441" s="7"/>
      <c r="O441" s="7"/>
      <c r="P441" s="20" t="str">
        <f>IF($A441="","",INDEX(Project_Tracker!$I$2:$I$101,INT((ROW()-6)/17)+1))</f>
        <v/>
      </c>
      <c r="Q441" s="20" t="str">
        <f>IF($A441="","",INDEX(Project_Tracker!$K$2:$K$101,INT((ROW()-6)/17)+1))</f>
        <v/>
      </c>
    </row>
    <row r="442" spans="1:17" x14ac:dyDescent="0.2">
      <c r="A442" s="20" t="str">
        <f>IF(INDEX(Project_Tracker!$AL$2:$AL$101,INT((ROW()-6)/17)+1)="","",INDEX(Project_Tracker!$AL$2:$AL$101,INT((ROW()-6)/17)+1))</f>
        <v/>
      </c>
      <c r="B442" s="21" t="str">
        <f>IF($A442="","",INDEX(Project_Tracker!$AM$2:$AM$101,INT((ROW()-6)/17)+1))</f>
        <v/>
      </c>
      <c r="C442" s="20" t="str">
        <f>IF($A442="","",INDEX(Project_Tracker!$C$2:$C$101,INT((ROW()-6)/17)+1))</f>
        <v/>
      </c>
      <c r="D442" s="6" t="str">
        <f>IF($A442="","",INDEX(Project_Tracker!$T$2:$T$101,INT((ROW()-6)/17)+1))</f>
        <v/>
      </c>
      <c r="E442" s="18">
        <f t="shared" si="30"/>
        <v>12</v>
      </c>
      <c r="F442" s="23" t="str">
        <f>IF($A442="","",INDEX('Logic &amp; Lists'!$I$4:$I$20,$E442))</f>
        <v/>
      </c>
      <c r="G442" s="18" t="str">
        <f>IF($A442="","",INDEX('Logic &amp; Lists'!$J$4:$J$20,$E442))</f>
        <v/>
      </c>
      <c r="H442" s="6" t="str">
        <f t="shared" si="31"/>
        <v/>
      </c>
      <c r="I442" s="18" t="str">
        <f t="shared" ca="1" si="32"/>
        <v/>
      </c>
      <c r="J442" s="5" t="str">
        <f t="shared" si="33"/>
        <v/>
      </c>
      <c r="K442" s="25"/>
      <c r="L442" s="5" t="str">
        <f t="shared" si="34"/>
        <v/>
      </c>
      <c r="M442" s="7"/>
      <c r="N442" s="7"/>
      <c r="O442" s="7"/>
      <c r="P442" s="20" t="str">
        <f>IF($A442="","",INDEX(Project_Tracker!$I$2:$I$101,INT((ROW()-6)/17)+1))</f>
        <v/>
      </c>
      <c r="Q442" s="20" t="str">
        <f>IF($A442="","",INDEX(Project_Tracker!$K$2:$K$101,INT((ROW()-6)/17)+1))</f>
        <v/>
      </c>
    </row>
    <row r="443" spans="1:17" x14ac:dyDescent="0.2">
      <c r="A443" s="20" t="str">
        <f>IF(INDEX(Project_Tracker!$AL$2:$AL$101,INT((ROW()-6)/17)+1)="","",INDEX(Project_Tracker!$AL$2:$AL$101,INT((ROW()-6)/17)+1))</f>
        <v/>
      </c>
      <c r="B443" s="21" t="str">
        <f>IF($A443="","",INDEX(Project_Tracker!$AM$2:$AM$101,INT((ROW()-6)/17)+1))</f>
        <v/>
      </c>
      <c r="C443" s="20" t="str">
        <f>IF($A443="","",INDEX(Project_Tracker!$C$2:$C$101,INT((ROW()-6)/17)+1))</f>
        <v/>
      </c>
      <c r="D443" s="6" t="str">
        <f>IF($A443="","",INDEX(Project_Tracker!$T$2:$T$101,INT((ROW()-6)/17)+1))</f>
        <v/>
      </c>
      <c r="E443" s="18">
        <f t="shared" si="30"/>
        <v>13</v>
      </c>
      <c r="F443" s="23" t="str">
        <f>IF($A443="","",INDEX('Logic &amp; Lists'!$I$4:$I$20,$E443))</f>
        <v/>
      </c>
      <c r="G443" s="18" t="str">
        <f>IF($A443="","",INDEX('Logic &amp; Lists'!$J$4:$J$20,$E443))</f>
        <v/>
      </c>
      <c r="H443" s="6" t="str">
        <f t="shared" si="31"/>
        <v/>
      </c>
      <c r="I443" s="18" t="str">
        <f t="shared" ca="1" si="32"/>
        <v/>
      </c>
      <c r="J443" s="5" t="str">
        <f t="shared" si="33"/>
        <v/>
      </c>
      <c r="K443" s="25"/>
      <c r="L443" s="5" t="str">
        <f t="shared" si="34"/>
        <v/>
      </c>
      <c r="M443" s="7"/>
      <c r="N443" s="7"/>
      <c r="O443" s="7"/>
      <c r="P443" s="20" t="str">
        <f>IF($A443="","",INDEX(Project_Tracker!$I$2:$I$101,INT((ROW()-6)/17)+1))</f>
        <v/>
      </c>
      <c r="Q443" s="20" t="str">
        <f>IF($A443="","",INDEX(Project_Tracker!$K$2:$K$101,INT((ROW()-6)/17)+1))</f>
        <v/>
      </c>
    </row>
    <row r="444" spans="1:17" x14ac:dyDescent="0.2">
      <c r="A444" s="20" t="str">
        <f>IF(INDEX(Project_Tracker!$AL$2:$AL$101,INT((ROW()-6)/17)+1)="","",INDEX(Project_Tracker!$AL$2:$AL$101,INT((ROW()-6)/17)+1))</f>
        <v/>
      </c>
      <c r="B444" s="21" t="str">
        <f>IF($A444="","",INDEX(Project_Tracker!$AM$2:$AM$101,INT((ROW()-6)/17)+1))</f>
        <v/>
      </c>
      <c r="C444" s="20" t="str">
        <f>IF($A444="","",INDEX(Project_Tracker!$C$2:$C$101,INT((ROW()-6)/17)+1))</f>
        <v/>
      </c>
      <c r="D444" s="6" t="str">
        <f>IF($A444="","",INDEX(Project_Tracker!$T$2:$T$101,INT((ROW()-6)/17)+1))</f>
        <v/>
      </c>
      <c r="E444" s="18">
        <f t="shared" si="30"/>
        <v>14</v>
      </c>
      <c r="F444" s="23" t="str">
        <f>IF($A444="","",INDEX('Logic &amp; Lists'!$I$4:$I$20,$E444))</f>
        <v/>
      </c>
      <c r="G444" s="18" t="str">
        <f>IF($A444="","",INDEX('Logic &amp; Lists'!$J$4:$J$20,$E444))</f>
        <v/>
      </c>
      <c r="H444" s="6" t="str">
        <f t="shared" si="31"/>
        <v/>
      </c>
      <c r="I444" s="18" t="str">
        <f t="shared" ca="1" si="32"/>
        <v/>
      </c>
      <c r="J444" s="5" t="str">
        <f t="shared" si="33"/>
        <v/>
      </c>
      <c r="K444" s="25"/>
      <c r="L444" s="5" t="str">
        <f t="shared" si="34"/>
        <v/>
      </c>
      <c r="M444" s="7"/>
      <c r="N444" s="7"/>
      <c r="O444" s="7"/>
      <c r="P444" s="20" t="str">
        <f>IF($A444="","",INDEX(Project_Tracker!$I$2:$I$101,INT((ROW()-6)/17)+1))</f>
        <v/>
      </c>
      <c r="Q444" s="20" t="str">
        <f>IF($A444="","",INDEX(Project_Tracker!$K$2:$K$101,INT((ROW()-6)/17)+1))</f>
        <v/>
      </c>
    </row>
    <row r="445" spans="1:17" x14ac:dyDescent="0.2">
      <c r="A445" s="20" t="str">
        <f>IF(INDEX(Project_Tracker!$AL$2:$AL$101,INT((ROW()-6)/17)+1)="","",INDEX(Project_Tracker!$AL$2:$AL$101,INT((ROW()-6)/17)+1))</f>
        <v/>
      </c>
      <c r="B445" s="21" t="str">
        <f>IF($A445="","",INDEX(Project_Tracker!$AM$2:$AM$101,INT((ROW()-6)/17)+1))</f>
        <v/>
      </c>
      <c r="C445" s="20" t="str">
        <f>IF($A445="","",INDEX(Project_Tracker!$C$2:$C$101,INT((ROW()-6)/17)+1))</f>
        <v/>
      </c>
      <c r="D445" s="6" t="str">
        <f>IF($A445="","",INDEX(Project_Tracker!$T$2:$T$101,INT((ROW()-6)/17)+1))</f>
        <v/>
      </c>
      <c r="E445" s="18">
        <f t="shared" si="30"/>
        <v>15</v>
      </c>
      <c r="F445" s="23" t="str">
        <f>IF($A445="","",INDEX('Logic &amp; Lists'!$I$4:$I$20,$E445))</f>
        <v/>
      </c>
      <c r="G445" s="18" t="str">
        <f>IF($A445="","",INDEX('Logic &amp; Lists'!$J$4:$J$20,$E445))</f>
        <v/>
      </c>
      <c r="H445" s="6" t="str">
        <f t="shared" si="31"/>
        <v/>
      </c>
      <c r="I445" s="18" t="str">
        <f t="shared" ca="1" si="32"/>
        <v/>
      </c>
      <c r="J445" s="5" t="str">
        <f t="shared" si="33"/>
        <v/>
      </c>
      <c r="K445" s="25"/>
      <c r="L445" s="5" t="str">
        <f t="shared" si="34"/>
        <v/>
      </c>
      <c r="M445" s="7"/>
      <c r="N445" s="7"/>
      <c r="O445" s="7"/>
      <c r="P445" s="20" t="str">
        <f>IF($A445="","",INDEX(Project_Tracker!$I$2:$I$101,INT((ROW()-6)/17)+1))</f>
        <v/>
      </c>
      <c r="Q445" s="20" t="str">
        <f>IF($A445="","",INDEX(Project_Tracker!$K$2:$K$101,INT((ROW()-6)/17)+1))</f>
        <v/>
      </c>
    </row>
    <row r="446" spans="1:17" x14ac:dyDescent="0.2">
      <c r="A446" s="20" t="str">
        <f>IF(INDEX(Project_Tracker!$AL$2:$AL$101,INT((ROW()-6)/17)+1)="","",INDEX(Project_Tracker!$AL$2:$AL$101,INT((ROW()-6)/17)+1))</f>
        <v/>
      </c>
      <c r="B446" s="21" t="str">
        <f>IF($A446="","",INDEX(Project_Tracker!$AM$2:$AM$101,INT((ROW()-6)/17)+1))</f>
        <v/>
      </c>
      <c r="C446" s="20" t="str">
        <f>IF($A446="","",INDEX(Project_Tracker!$C$2:$C$101,INT((ROW()-6)/17)+1))</f>
        <v/>
      </c>
      <c r="D446" s="6" t="str">
        <f>IF($A446="","",INDEX(Project_Tracker!$T$2:$T$101,INT((ROW()-6)/17)+1))</f>
        <v/>
      </c>
      <c r="E446" s="18">
        <f t="shared" si="30"/>
        <v>16</v>
      </c>
      <c r="F446" s="23" t="str">
        <f>IF($A446="","",INDEX('Logic &amp; Lists'!$I$4:$I$20,$E446))</f>
        <v/>
      </c>
      <c r="G446" s="18" t="str">
        <f>IF($A446="","",INDEX('Logic &amp; Lists'!$J$4:$J$20,$E446))</f>
        <v/>
      </c>
      <c r="H446" s="6" t="str">
        <f t="shared" si="31"/>
        <v/>
      </c>
      <c r="I446" s="18" t="str">
        <f t="shared" ca="1" si="32"/>
        <v/>
      </c>
      <c r="J446" s="5" t="str">
        <f t="shared" si="33"/>
        <v/>
      </c>
      <c r="K446" s="25"/>
      <c r="L446" s="5" t="str">
        <f t="shared" si="34"/>
        <v/>
      </c>
      <c r="M446" s="7"/>
      <c r="N446" s="7"/>
      <c r="O446" s="7"/>
      <c r="P446" s="20" t="str">
        <f>IF($A446="","",INDEX(Project_Tracker!$I$2:$I$101,INT((ROW()-6)/17)+1))</f>
        <v/>
      </c>
      <c r="Q446" s="20" t="str">
        <f>IF($A446="","",INDEX(Project_Tracker!$K$2:$K$101,INT((ROW()-6)/17)+1))</f>
        <v/>
      </c>
    </row>
    <row r="447" spans="1:17" x14ac:dyDescent="0.2">
      <c r="A447" s="20" t="str">
        <f>IF(INDEX(Project_Tracker!$AL$2:$AL$101,INT((ROW()-6)/17)+1)="","",INDEX(Project_Tracker!$AL$2:$AL$101,INT((ROW()-6)/17)+1))</f>
        <v/>
      </c>
      <c r="B447" s="21" t="str">
        <f>IF($A447="","",INDEX(Project_Tracker!$AM$2:$AM$101,INT((ROW()-6)/17)+1))</f>
        <v/>
      </c>
      <c r="C447" s="20" t="str">
        <f>IF($A447="","",INDEX(Project_Tracker!$C$2:$C$101,INT((ROW()-6)/17)+1))</f>
        <v/>
      </c>
      <c r="D447" s="6" t="str">
        <f>IF($A447="","",INDEX(Project_Tracker!$T$2:$T$101,INT((ROW()-6)/17)+1))</f>
        <v/>
      </c>
      <c r="E447" s="18">
        <f t="shared" si="30"/>
        <v>17</v>
      </c>
      <c r="F447" s="23" t="str">
        <f>IF($A447="","",INDEX('Logic &amp; Lists'!$I$4:$I$20,$E447))</f>
        <v/>
      </c>
      <c r="G447" s="18" t="str">
        <f>IF($A447="","",INDEX('Logic &amp; Lists'!$J$4:$J$20,$E447))</f>
        <v/>
      </c>
      <c r="H447" s="6" t="str">
        <f t="shared" si="31"/>
        <v/>
      </c>
      <c r="I447" s="18" t="str">
        <f t="shared" ca="1" si="32"/>
        <v/>
      </c>
      <c r="J447" s="5" t="str">
        <f t="shared" si="33"/>
        <v/>
      </c>
      <c r="K447" s="25"/>
      <c r="L447" s="5" t="str">
        <f t="shared" si="34"/>
        <v/>
      </c>
      <c r="M447" s="7"/>
      <c r="N447" s="7"/>
      <c r="O447" s="7"/>
      <c r="P447" s="20" t="str">
        <f>IF($A447="","",INDEX(Project_Tracker!$I$2:$I$101,INT((ROW()-6)/17)+1))</f>
        <v/>
      </c>
      <c r="Q447" s="20" t="str">
        <f>IF($A447="","",INDEX(Project_Tracker!$K$2:$K$101,INT((ROW()-6)/17)+1))</f>
        <v/>
      </c>
    </row>
    <row r="448" spans="1:17" x14ac:dyDescent="0.2">
      <c r="A448" s="20" t="str">
        <f>IF(INDEX(Project_Tracker!$AL$2:$AL$101,INT((ROW()-6)/17)+1)="","",INDEX(Project_Tracker!$AL$2:$AL$101,INT((ROW()-6)/17)+1))</f>
        <v/>
      </c>
      <c r="B448" s="21" t="str">
        <f>IF($A448="","",INDEX(Project_Tracker!$AM$2:$AM$101,INT((ROW()-6)/17)+1))</f>
        <v/>
      </c>
      <c r="C448" s="20" t="str">
        <f>IF($A448="","",INDEX(Project_Tracker!$C$2:$C$101,INT((ROW()-6)/17)+1))</f>
        <v/>
      </c>
      <c r="D448" s="6" t="str">
        <f>IF($A448="","",INDEX(Project_Tracker!$T$2:$T$101,INT((ROW()-6)/17)+1))</f>
        <v/>
      </c>
      <c r="E448" s="18">
        <f t="shared" si="30"/>
        <v>1</v>
      </c>
      <c r="F448" s="23" t="str">
        <f>IF($A448="","",INDEX('Logic &amp; Lists'!$I$4:$I$20,$E448))</f>
        <v/>
      </c>
      <c r="G448" s="18" t="str">
        <f>IF($A448="","",INDEX('Logic &amp; Lists'!$J$4:$J$20,$E448))</f>
        <v/>
      </c>
      <c r="H448" s="6" t="str">
        <f t="shared" si="31"/>
        <v/>
      </c>
      <c r="I448" s="18" t="str">
        <f t="shared" ca="1" si="32"/>
        <v/>
      </c>
      <c r="J448" s="5" t="str">
        <f t="shared" si="33"/>
        <v/>
      </c>
      <c r="K448" s="25"/>
      <c r="L448" s="5" t="str">
        <f t="shared" si="34"/>
        <v/>
      </c>
      <c r="M448" s="7"/>
      <c r="N448" s="7"/>
      <c r="O448" s="7"/>
      <c r="P448" s="20" t="str">
        <f>IF($A448="","",INDEX(Project_Tracker!$I$2:$I$101,INT((ROW()-6)/17)+1))</f>
        <v/>
      </c>
      <c r="Q448" s="20" t="str">
        <f>IF($A448="","",INDEX(Project_Tracker!$K$2:$K$101,INT((ROW()-6)/17)+1))</f>
        <v/>
      </c>
    </row>
    <row r="449" spans="1:17" x14ac:dyDescent="0.2">
      <c r="A449" s="20" t="str">
        <f>IF(INDEX(Project_Tracker!$AL$2:$AL$101,INT((ROW()-6)/17)+1)="","",INDEX(Project_Tracker!$AL$2:$AL$101,INT((ROW()-6)/17)+1))</f>
        <v/>
      </c>
      <c r="B449" s="21" t="str">
        <f>IF($A449="","",INDEX(Project_Tracker!$AM$2:$AM$101,INT((ROW()-6)/17)+1))</f>
        <v/>
      </c>
      <c r="C449" s="20" t="str">
        <f>IF($A449="","",INDEX(Project_Tracker!$C$2:$C$101,INT((ROW()-6)/17)+1))</f>
        <v/>
      </c>
      <c r="D449" s="6" t="str">
        <f>IF($A449="","",INDEX(Project_Tracker!$T$2:$T$101,INT((ROW()-6)/17)+1))</f>
        <v/>
      </c>
      <c r="E449" s="18">
        <f t="shared" si="30"/>
        <v>2</v>
      </c>
      <c r="F449" s="23" t="str">
        <f>IF($A449="","",INDEX('Logic &amp; Lists'!$I$4:$I$20,$E449))</f>
        <v/>
      </c>
      <c r="G449" s="18" t="str">
        <f>IF($A449="","",INDEX('Logic &amp; Lists'!$J$4:$J$20,$E449))</f>
        <v/>
      </c>
      <c r="H449" s="6" t="str">
        <f t="shared" si="31"/>
        <v/>
      </c>
      <c r="I449" s="18" t="str">
        <f t="shared" ca="1" si="32"/>
        <v/>
      </c>
      <c r="J449" s="5" t="str">
        <f t="shared" si="33"/>
        <v/>
      </c>
      <c r="K449" s="25"/>
      <c r="L449" s="5" t="str">
        <f t="shared" si="34"/>
        <v/>
      </c>
      <c r="M449" s="7"/>
      <c r="N449" s="7"/>
      <c r="O449" s="7"/>
      <c r="P449" s="20" t="str">
        <f>IF($A449="","",INDEX(Project_Tracker!$I$2:$I$101,INT((ROW()-6)/17)+1))</f>
        <v/>
      </c>
      <c r="Q449" s="20" t="str">
        <f>IF($A449="","",INDEX(Project_Tracker!$K$2:$K$101,INT((ROW()-6)/17)+1))</f>
        <v/>
      </c>
    </row>
    <row r="450" spans="1:17" x14ac:dyDescent="0.2">
      <c r="A450" s="20" t="str">
        <f>IF(INDEX(Project_Tracker!$AL$2:$AL$101,INT((ROW()-6)/17)+1)="","",INDEX(Project_Tracker!$AL$2:$AL$101,INT((ROW()-6)/17)+1))</f>
        <v/>
      </c>
      <c r="B450" s="21" t="str">
        <f>IF($A450="","",INDEX(Project_Tracker!$AM$2:$AM$101,INT((ROW()-6)/17)+1))</f>
        <v/>
      </c>
      <c r="C450" s="20" t="str">
        <f>IF($A450="","",INDEX(Project_Tracker!$C$2:$C$101,INT((ROW()-6)/17)+1))</f>
        <v/>
      </c>
      <c r="D450" s="6" t="str">
        <f>IF($A450="","",INDEX(Project_Tracker!$T$2:$T$101,INT((ROW()-6)/17)+1))</f>
        <v/>
      </c>
      <c r="E450" s="18">
        <f t="shared" si="30"/>
        <v>3</v>
      </c>
      <c r="F450" s="23" t="str">
        <f>IF($A450="","",INDEX('Logic &amp; Lists'!$I$4:$I$20,$E450))</f>
        <v/>
      </c>
      <c r="G450" s="18" t="str">
        <f>IF($A450="","",INDEX('Logic &amp; Lists'!$J$4:$J$20,$E450))</f>
        <v/>
      </c>
      <c r="H450" s="6" t="str">
        <f t="shared" si="31"/>
        <v/>
      </c>
      <c r="I450" s="18" t="str">
        <f t="shared" ca="1" si="32"/>
        <v/>
      </c>
      <c r="J450" s="5" t="str">
        <f t="shared" si="33"/>
        <v/>
      </c>
      <c r="K450" s="25"/>
      <c r="L450" s="5" t="str">
        <f t="shared" si="34"/>
        <v/>
      </c>
      <c r="M450" s="7"/>
      <c r="N450" s="7"/>
      <c r="O450" s="7"/>
      <c r="P450" s="20" t="str">
        <f>IF($A450="","",INDEX(Project_Tracker!$I$2:$I$101,INT((ROW()-6)/17)+1))</f>
        <v/>
      </c>
      <c r="Q450" s="20" t="str">
        <f>IF($A450="","",INDEX(Project_Tracker!$K$2:$K$101,INT((ROW()-6)/17)+1))</f>
        <v/>
      </c>
    </row>
    <row r="451" spans="1:17" x14ac:dyDescent="0.2">
      <c r="A451" s="20" t="str">
        <f>IF(INDEX(Project_Tracker!$AL$2:$AL$101,INT((ROW()-6)/17)+1)="","",INDEX(Project_Tracker!$AL$2:$AL$101,INT((ROW()-6)/17)+1))</f>
        <v/>
      </c>
      <c r="B451" s="21" t="str">
        <f>IF($A451="","",INDEX(Project_Tracker!$AM$2:$AM$101,INT((ROW()-6)/17)+1))</f>
        <v/>
      </c>
      <c r="C451" s="20" t="str">
        <f>IF($A451="","",INDEX(Project_Tracker!$C$2:$C$101,INT((ROW()-6)/17)+1))</f>
        <v/>
      </c>
      <c r="D451" s="6" t="str">
        <f>IF($A451="","",INDEX(Project_Tracker!$T$2:$T$101,INT((ROW()-6)/17)+1))</f>
        <v/>
      </c>
      <c r="E451" s="18">
        <f t="shared" si="30"/>
        <v>4</v>
      </c>
      <c r="F451" s="23" t="str">
        <f>IF($A451="","",INDEX('Logic &amp; Lists'!$I$4:$I$20,$E451))</f>
        <v/>
      </c>
      <c r="G451" s="18" t="str">
        <f>IF($A451="","",INDEX('Logic &amp; Lists'!$J$4:$J$20,$E451))</f>
        <v/>
      </c>
      <c r="H451" s="6" t="str">
        <f t="shared" si="31"/>
        <v/>
      </c>
      <c r="I451" s="18" t="str">
        <f t="shared" ca="1" si="32"/>
        <v/>
      </c>
      <c r="J451" s="5" t="str">
        <f t="shared" si="33"/>
        <v/>
      </c>
      <c r="K451" s="25"/>
      <c r="L451" s="5" t="str">
        <f t="shared" si="34"/>
        <v/>
      </c>
      <c r="M451" s="7"/>
      <c r="N451" s="7"/>
      <c r="O451" s="7"/>
      <c r="P451" s="20" t="str">
        <f>IF($A451="","",INDEX(Project_Tracker!$I$2:$I$101,INT((ROW()-6)/17)+1))</f>
        <v/>
      </c>
      <c r="Q451" s="20" t="str">
        <f>IF($A451="","",INDEX(Project_Tracker!$K$2:$K$101,INT((ROW()-6)/17)+1))</f>
        <v/>
      </c>
    </row>
    <row r="452" spans="1:17" x14ac:dyDescent="0.2">
      <c r="A452" s="20" t="str">
        <f>IF(INDEX(Project_Tracker!$AL$2:$AL$101,INT((ROW()-6)/17)+1)="","",INDEX(Project_Tracker!$AL$2:$AL$101,INT((ROW()-6)/17)+1))</f>
        <v/>
      </c>
      <c r="B452" s="21" t="str">
        <f>IF($A452="","",INDEX(Project_Tracker!$AM$2:$AM$101,INT((ROW()-6)/17)+1))</f>
        <v/>
      </c>
      <c r="C452" s="20" t="str">
        <f>IF($A452="","",INDEX(Project_Tracker!$C$2:$C$101,INT((ROW()-6)/17)+1))</f>
        <v/>
      </c>
      <c r="D452" s="6" t="str">
        <f>IF($A452="","",INDEX(Project_Tracker!$T$2:$T$101,INT((ROW()-6)/17)+1))</f>
        <v/>
      </c>
      <c r="E452" s="18">
        <f t="shared" si="30"/>
        <v>5</v>
      </c>
      <c r="F452" s="23" t="str">
        <f>IF($A452="","",INDEX('Logic &amp; Lists'!$I$4:$I$20,$E452))</f>
        <v/>
      </c>
      <c r="G452" s="18" t="str">
        <f>IF($A452="","",INDEX('Logic &amp; Lists'!$J$4:$J$20,$E452))</f>
        <v/>
      </c>
      <c r="H452" s="6" t="str">
        <f t="shared" si="31"/>
        <v/>
      </c>
      <c r="I452" s="18" t="str">
        <f t="shared" ca="1" si="32"/>
        <v/>
      </c>
      <c r="J452" s="5" t="str">
        <f t="shared" si="33"/>
        <v/>
      </c>
      <c r="K452" s="25"/>
      <c r="L452" s="5" t="str">
        <f t="shared" si="34"/>
        <v/>
      </c>
      <c r="M452" s="7"/>
      <c r="N452" s="7"/>
      <c r="O452" s="7"/>
      <c r="P452" s="20" t="str">
        <f>IF($A452="","",INDEX(Project_Tracker!$I$2:$I$101,INT((ROW()-6)/17)+1))</f>
        <v/>
      </c>
      <c r="Q452" s="20" t="str">
        <f>IF($A452="","",INDEX(Project_Tracker!$K$2:$K$101,INT((ROW()-6)/17)+1))</f>
        <v/>
      </c>
    </row>
    <row r="453" spans="1:17" x14ac:dyDescent="0.2">
      <c r="A453" s="20" t="str">
        <f>IF(INDEX(Project_Tracker!$AL$2:$AL$101,INT((ROW()-6)/17)+1)="","",INDEX(Project_Tracker!$AL$2:$AL$101,INT((ROW()-6)/17)+1))</f>
        <v/>
      </c>
      <c r="B453" s="21" t="str">
        <f>IF($A453="","",INDEX(Project_Tracker!$AM$2:$AM$101,INT((ROW()-6)/17)+1))</f>
        <v/>
      </c>
      <c r="C453" s="20" t="str">
        <f>IF($A453="","",INDEX(Project_Tracker!$C$2:$C$101,INT((ROW()-6)/17)+1))</f>
        <v/>
      </c>
      <c r="D453" s="6" t="str">
        <f>IF($A453="","",INDEX(Project_Tracker!$T$2:$T$101,INT((ROW()-6)/17)+1))</f>
        <v/>
      </c>
      <c r="E453" s="18">
        <f t="shared" si="30"/>
        <v>6</v>
      </c>
      <c r="F453" s="23" t="str">
        <f>IF($A453="","",INDEX('Logic &amp; Lists'!$I$4:$I$20,$E453))</f>
        <v/>
      </c>
      <c r="G453" s="18" t="str">
        <f>IF($A453="","",INDEX('Logic &amp; Lists'!$J$4:$J$20,$E453))</f>
        <v/>
      </c>
      <c r="H453" s="6" t="str">
        <f t="shared" si="31"/>
        <v/>
      </c>
      <c r="I453" s="18" t="str">
        <f t="shared" ca="1" si="32"/>
        <v/>
      </c>
      <c r="J453" s="5" t="str">
        <f t="shared" si="33"/>
        <v/>
      </c>
      <c r="K453" s="25"/>
      <c r="L453" s="5" t="str">
        <f t="shared" si="34"/>
        <v/>
      </c>
      <c r="M453" s="7"/>
      <c r="N453" s="7"/>
      <c r="O453" s="7"/>
      <c r="P453" s="20" t="str">
        <f>IF($A453="","",INDEX(Project_Tracker!$I$2:$I$101,INT((ROW()-6)/17)+1))</f>
        <v/>
      </c>
      <c r="Q453" s="20" t="str">
        <f>IF($A453="","",INDEX(Project_Tracker!$K$2:$K$101,INT((ROW()-6)/17)+1))</f>
        <v/>
      </c>
    </row>
    <row r="454" spans="1:17" x14ac:dyDescent="0.2">
      <c r="A454" s="20" t="str">
        <f>IF(INDEX(Project_Tracker!$AL$2:$AL$101,INT((ROW()-6)/17)+1)="","",INDEX(Project_Tracker!$AL$2:$AL$101,INT((ROW()-6)/17)+1))</f>
        <v/>
      </c>
      <c r="B454" s="21" t="str">
        <f>IF($A454="","",INDEX(Project_Tracker!$AM$2:$AM$101,INT((ROW()-6)/17)+1))</f>
        <v/>
      </c>
      <c r="C454" s="20" t="str">
        <f>IF($A454="","",INDEX(Project_Tracker!$C$2:$C$101,INT((ROW()-6)/17)+1))</f>
        <v/>
      </c>
      <c r="D454" s="6" t="str">
        <f>IF($A454="","",INDEX(Project_Tracker!$T$2:$T$101,INT((ROW()-6)/17)+1))</f>
        <v/>
      </c>
      <c r="E454" s="18">
        <f t="shared" ref="E454:E517" si="35">MOD(ROW()-6,17)+1</f>
        <v>7</v>
      </c>
      <c r="F454" s="23" t="str">
        <f>IF($A454="","",INDEX('Logic &amp; Lists'!$I$4:$I$20,$E454))</f>
        <v/>
      </c>
      <c r="G454" s="18" t="str">
        <f>IF($A454="","",INDEX('Logic &amp; Lists'!$J$4:$J$20,$E454))</f>
        <v/>
      </c>
      <c r="H454" s="6" t="str">
        <f t="shared" ref="H454:H517" si="36">IF($D454="","",$D454-$G454)</f>
        <v/>
      </c>
      <c r="I454" s="18" t="str">
        <f t="shared" ref="I454:I517" ca="1" si="37">IF($H454="","",$H454-TODAY())</f>
        <v/>
      </c>
      <c r="J454" s="5" t="str">
        <f t="shared" ref="J454:J517" si="38">IF($A454="","",IF($K454&lt;&gt;"","ORDERED",IF($I454&lt;0,"OVERDUE",IF($I454&lt;=7,"URGENT",IF($I454&lt;=14,"PREPARE","OK")))))</f>
        <v/>
      </c>
      <c r="K454" s="25"/>
      <c r="L454" s="5" t="str">
        <f t="shared" ref="L454:L517" si="39">IF($A454="","",IF($K454="",$J454,IF($K454&lt;=$H454,"Ordered On Time","Ordered Late")))</f>
        <v/>
      </c>
      <c r="M454" s="7"/>
      <c r="N454" s="7"/>
      <c r="O454" s="7"/>
      <c r="P454" s="20" t="str">
        <f>IF($A454="","",INDEX(Project_Tracker!$I$2:$I$101,INT((ROW()-6)/17)+1))</f>
        <v/>
      </c>
      <c r="Q454" s="20" t="str">
        <f>IF($A454="","",INDEX(Project_Tracker!$K$2:$K$101,INT((ROW()-6)/17)+1))</f>
        <v/>
      </c>
    </row>
    <row r="455" spans="1:17" x14ac:dyDescent="0.2">
      <c r="A455" s="20" t="str">
        <f>IF(INDEX(Project_Tracker!$AL$2:$AL$101,INT((ROW()-6)/17)+1)="","",INDEX(Project_Tracker!$AL$2:$AL$101,INT((ROW()-6)/17)+1))</f>
        <v/>
      </c>
      <c r="B455" s="21" t="str">
        <f>IF($A455="","",INDEX(Project_Tracker!$AM$2:$AM$101,INT((ROW()-6)/17)+1))</f>
        <v/>
      </c>
      <c r="C455" s="20" t="str">
        <f>IF($A455="","",INDEX(Project_Tracker!$C$2:$C$101,INT((ROW()-6)/17)+1))</f>
        <v/>
      </c>
      <c r="D455" s="6" t="str">
        <f>IF($A455="","",INDEX(Project_Tracker!$T$2:$T$101,INT((ROW()-6)/17)+1))</f>
        <v/>
      </c>
      <c r="E455" s="18">
        <f t="shared" si="35"/>
        <v>8</v>
      </c>
      <c r="F455" s="23" t="str">
        <f>IF($A455="","",INDEX('Logic &amp; Lists'!$I$4:$I$20,$E455))</f>
        <v/>
      </c>
      <c r="G455" s="18" t="str">
        <f>IF($A455="","",INDEX('Logic &amp; Lists'!$J$4:$J$20,$E455))</f>
        <v/>
      </c>
      <c r="H455" s="6" t="str">
        <f t="shared" si="36"/>
        <v/>
      </c>
      <c r="I455" s="18" t="str">
        <f t="shared" ca="1" si="37"/>
        <v/>
      </c>
      <c r="J455" s="5" t="str">
        <f t="shared" si="38"/>
        <v/>
      </c>
      <c r="K455" s="25"/>
      <c r="L455" s="5" t="str">
        <f t="shared" si="39"/>
        <v/>
      </c>
      <c r="M455" s="7"/>
      <c r="N455" s="7"/>
      <c r="O455" s="7"/>
      <c r="P455" s="20" t="str">
        <f>IF($A455="","",INDEX(Project_Tracker!$I$2:$I$101,INT((ROW()-6)/17)+1))</f>
        <v/>
      </c>
      <c r="Q455" s="20" t="str">
        <f>IF($A455="","",INDEX(Project_Tracker!$K$2:$K$101,INT((ROW()-6)/17)+1))</f>
        <v/>
      </c>
    </row>
    <row r="456" spans="1:17" x14ac:dyDescent="0.2">
      <c r="A456" s="20" t="str">
        <f>IF(INDEX(Project_Tracker!$AL$2:$AL$101,INT((ROW()-6)/17)+1)="","",INDEX(Project_Tracker!$AL$2:$AL$101,INT((ROW()-6)/17)+1))</f>
        <v/>
      </c>
      <c r="B456" s="21" t="str">
        <f>IF($A456="","",INDEX(Project_Tracker!$AM$2:$AM$101,INT((ROW()-6)/17)+1))</f>
        <v/>
      </c>
      <c r="C456" s="20" t="str">
        <f>IF($A456="","",INDEX(Project_Tracker!$C$2:$C$101,INT((ROW()-6)/17)+1))</f>
        <v/>
      </c>
      <c r="D456" s="6" t="str">
        <f>IF($A456="","",INDEX(Project_Tracker!$T$2:$T$101,INT((ROW()-6)/17)+1))</f>
        <v/>
      </c>
      <c r="E456" s="18">
        <f t="shared" si="35"/>
        <v>9</v>
      </c>
      <c r="F456" s="23" t="str">
        <f>IF($A456="","",INDEX('Logic &amp; Lists'!$I$4:$I$20,$E456))</f>
        <v/>
      </c>
      <c r="G456" s="18" t="str">
        <f>IF($A456="","",INDEX('Logic &amp; Lists'!$J$4:$J$20,$E456))</f>
        <v/>
      </c>
      <c r="H456" s="6" t="str">
        <f t="shared" si="36"/>
        <v/>
      </c>
      <c r="I456" s="18" t="str">
        <f t="shared" ca="1" si="37"/>
        <v/>
      </c>
      <c r="J456" s="5" t="str">
        <f t="shared" si="38"/>
        <v/>
      </c>
      <c r="K456" s="25"/>
      <c r="L456" s="5" t="str">
        <f t="shared" si="39"/>
        <v/>
      </c>
      <c r="M456" s="7"/>
      <c r="N456" s="7"/>
      <c r="O456" s="7"/>
      <c r="P456" s="20" t="str">
        <f>IF($A456="","",INDEX(Project_Tracker!$I$2:$I$101,INT((ROW()-6)/17)+1))</f>
        <v/>
      </c>
      <c r="Q456" s="20" t="str">
        <f>IF($A456="","",INDEX(Project_Tracker!$K$2:$K$101,INT((ROW()-6)/17)+1))</f>
        <v/>
      </c>
    </row>
    <row r="457" spans="1:17" x14ac:dyDescent="0.2">
      <c r="A457" s="20" t="str">
        <f>IF(INDEX(Project_Tracker!$AL$2:$AL$101,INT((ROW()-6)/17)+1)="","",INDEX(Project_Tracker!$AL$2:$AL$101,INT((ROW()-6)/17)+1))</f>
        <v/>
      </c>
      <c r="B457" s="21" t="str">
        <f>IF($A457="","",INDEX(Project_Tracker!$AM$2:$AM$101,INT((ROW()-6)/17)+1))</f>
        <v/>
      </c>
      <c r="C457" s="20" t="str">
        <f>IF($A457="","",INDEX(Project_Tracker!$C$2:$C$101,INT((ROW()-6)/17)+1))</f>
        <v/>
      </c>
      <c r="D457" s="6" t="str">
        <f>IF($A457="","",INDEX(Project_Tracker!$T$2:$T$101,INT((ROW()-6)/17)+1))</f>
        <v/>
      </c>
      <c r="E457" s="18">
        <f t="shared" si="35"/>
        <v>10</v>
      </c>
      <c r="F457" s="23" t="str">
        <f>IF($A457="","",INDEX('Logic &amp; Lists'!$I$4:$I$20,$E457))</f>
        <v/>
      </c>
      <c r="G457" s="18" t="str">
        <f>IF($A457="","",INDEX('Logic &amp; Lists'!$J$4:$J$20,$E457))</f>
        <v/>
      </c>
      <c r="H457" s="6" t="str">
        <f t="shared" si="36"/>
        <v/>
      </c>
      <c r="I457" s="18" t="str">
        <f t="shared" ca="1" si="37"/>
        <v/>
      </c>
      <c r="J457" s="5" t="str">
        <f t="shared" si="38"/>
        <v/>
      </c>
      <c r="K457" s="25"/>
      <c r="L457" s="5" t="str">
        <f t="shared" si="39"/>
        <v/>
      </c>
      <c r="M457" s="7"/>
      <c r="N457" s="7"/>
      <c r="O457" s="7"/>
      <c r="P457" s="20" t="str">
        <f>IF($A457="","",INDEX(Project_Tracker!$I$2:$I$101,INT((ROW()-6)/17)+1))</f>
        <v/>
      </c>
      <c r="Q457" s="20" t="str">
        <f>IF($A457="","",INDEX(Project_Tracker!$K$2:$K$101,INT((ROW()-6)/17)+1))</f>
        <v/>
      </c>
    </row>
    <row r="458" spans="1:17" x14ac:dyDescent="0.2">
      <c r="A458" s="20" t="str">
        <f>IF(INDEX(Project_Tracker!$AL$2:$AL$101,INT((ROW()-6)/17)+1)="","",INDEX(Project_Tracker!$AL$2:$AL$101,INT((ROW()-6)/17)+1))</f>
        <v/>
      </c>
      <c r="B458" s="21" t="str">
        <f>IF($A458="","",INDEX(Project_Tracker!$AM$2:$AM$101,INT((ROW()-6)/17)+1))</f>
        <v/>
      </c>
      <c r="C458" s="20" t="str">
        <f>IF($A458="","",INDEX(Project_Tracker!$C$2:$C$101,INT((ROW()-6)/17)+1))</f>
        <v/>
      </c>
      <c r="D458" s="6" t="str">
        <f>IF($A458="","",INDEX(Project_Tracker!$T$2:$T$101,INT((ROW()-6)/17)+1))</f>
        <v/>
      </c>
      <c r="E458" s="18">
        <f t="shared" si="35"/>
        <v>11</v>
      </c>
      <c r="F458" s="23" t="str">
        <f>IF($A458="","",INDEX('Logic &amp; Lists'!$I$4:$I$20,$E458))</f>
        <v/>
      </c>
      <c r="G458" s="18" t="str">
        <f>IF($A458="","",INDEX('Logic &amp; Lists'!$J$4:$J$20,$E458))</f>
        <v/>
      </c>
      <c r="H458" s="6" t="str">
        <f t="shared" si="36"/>
        <v/>
      </c>
      <c r="I458" s="18" t="str">
        <f t="shared" ca="1" si="37"/>
        <v/>
      </c>
      <c r="J458" s="5" t="str">
        <f t="shared" si="38"/>
        <v/>
      </c>
      <c r="K458" s="25"/>
      <c r="L458" s="5" t="str">
        <f t="shared" si="39"/>
        <v/>
      </c>
      <c r="M458" s="7"/>
      <c r="N458" s="7"/>
      <c r="O458" s="7"/>
      <c r="P458" s="20" t="str">
        <f>IF($A458="","",INDEX(Project_Tracker!$I$2:$I$101,INT((ROW()-6)/17)+1))</f>
        <v/>
      </c>
      <c r="Q458" s="20" t="str">
        <f>IF($A458="","",INDEX(Project_Tracker!$K$2:$K$101,INT((ROW()-6)/17)+1))</f>
        <v/>
      </c>
    </row>
    <row r="459" spans="1:17" x14ac:dyDescent="0.2">
      <c r="A459" s="20" t="str">
        <f>IF(INDEX(Project_Tracker!$AL$2:$AL$101,INT((ROW()-6)/17)+1)="","",INDEX(Project_Tracker!$AL$2:$AL$101,INT((ROW()-6)/17)+1))</f>
        <v/>
      </c>
      <c r="B459" s="21" t="str">
        <f>IF($A459="","",INDEX(Project_Tracker!$AM$2:$AM$101,INT((ROW()-6)/17)+1))</f>
        <v/>
      </c>
      <c r="C459" s="20" t="str">
        <f>IF($A459="","",INDEX(Project_Tracker!$C$2:$C$101,INT((ROW()-6)/17)+1))</f>
        <v/>
      </c>
      <c r="D459" s="6" t="str">
        <f>IF($A459="","",INDEX(Project_Tracker!$T$2:$T$101,INT((ROW()-6)/17)+1))</f>
        <v/>
      </c>
      <c r="E459" s="18">
        <f t="shared" si="35"/>
        <v>12</v>
      </c>
      <c r="F459" s="23" t="str">
        <f>IF($A459="","",INDEX('Logic &amp; Lists'!$I$4:$I$20,$E459))</f>
        <v/>
      </c>
      <c r="G459" s="18" t="str">
        <f>IF($A459="","",INDEX('Logic &amp; Lists'!$J$4:$J$20,$E459))</f>
        <v/>
      </c>
      <c r="H459" s="6" t="str">
        <f t="shared" si="36"/>
        <v/>
      </c>
      <c r="I459" s="18" t="str">
        <f t="shared" ca="1" si="37"/>
        <v/>
      </c>
      <c r="J459" s="5" t="str">
        <f t="shared" si="38"/>
        <v/>
      </c>
      <c r="K459" s="25"/>
      <c r="L459" s="5" t="str">
        <f t="shared" si="39"/>
        <v/>
      </c>
      <c r="M459" s="7"/>
      <c r="N459" s="7"/>
      <c r="O459" s="7"/>
      <c r="P459" s="20" t="str">
        <f>IF($A459="","",INDEX(Project_Tracker!$I$2:$I$101,INT((ROW()-6)/17)+1))</f>
        <v/>
      </c>
      <c r="Q459" s="20" t="str">
        <f>IF($A459="","",INDEX(Project_Tracker!$K$2:$K$101,INT((ROW()-6)/17)+1))</f>
        <v/>
      </c>
    </row>
    <row r="460" spans="1:17" x14ac:dyDescent="0.2">
      <c r="A460" s="20" t="str">
        <f>IF(INDEX(Project_Tracker!$AL$2:$AL$101,INT((ROW()-6)/17)+1)="","",INDEX(Project_Tracker!$AL$2:$AL$101,INT((ROW()-6)/17)+1))</f>
        <v/>
      </c>
      <c r="B460" s="21" t="str">
        <f>IF($A460="","",INDEX(Project_Tracker!$AM$2:$AM$101,INT((ROW()-6)/17)+1))</f>
        <v/>
      </c>
      <c r="C460" s="20" t="str">
        <f>IF($A460="","",INDEX(Project_Tracker!$C$2:$C$101,INT((ROW()-6)/17)+1))</f>
        <v/>
      </c>
      <c r="D460" s="6" t="str">
        <f>IF($A460="","",INDEX(Project_Tracker!$T$2:$T$101,INT((ROW()-6)/17)+1))</f>
        <v/>
      </c>
      <c r="E460" s="18">
        <f t="shared" si="35"/>
        <v>13</v>
      </c>
      <c r="F460" s="23" t="str">
        <f>IF($A460="","",INDEX('Logic &amp; Lists'!$I$4:$I$20,$E460))</f>
        <v/>
      </c>
      <c r="G460" s="18" t="str">
        <f>IF($A460="","",INDEX('Logic &amp; Lists'!$J$4:$J$20,$E460))</f>
        <v/>
      </c>
      <c r="H460" s="6" t="str">
        <f t="shared" si="36"/>
        <v/>
      </c>
      <c r="I460" s="18" t="str">
        <f t="shared" ca="1" si="37"/>
        <v/>
      </c>
      <c r="J460" s="5" t="str">
        <f t="shared" si="38"/>
        <v/>
      </c>
      <c r="K460" s="25"/>
      <c r="L460" s="5" t="str">
        <f t="shared" si="39"/>
        <v/>
      </c>
      <c r="M460" s="7"/>
      <c r="N460" s="7"/>
      <c r="O460" s="7"/>
      <c r="P460" s="20" t="str">
        <f>IF($A460="","",INDEX(Project_Tracker!$I$2:$I$101,INT((ROW()-6)/17)+1))</f>
        <v/>
      </c>
      <c r="Q460" s="20" t="str">
        <f>IF($A460="","",INDEX(Project_Tracker!$K$2:$K$101,INT((ROW()-6)/17)+1))</f>
        <v/>
      </c>
    </row>
    <row r="461" spans="1:17" x14ac:dyDescent="0.2">
      <c r="A461" s="20" t="str">
        <f>IF(INDEX(Project_Tracker!$AL$2:$AL$101,INT((ROW()-6)/17)+1)="","",INDEX(Project_Tracker!$AL$2:$AL$101,INT((ROW()-6)/17)+1))</f>
        <v/>
      </c>
      <c r="B461" s="21" t="str">
        <f>IF($A461="","",INDEX(Project_Tracker!$AM$2:$AM$101,INT((ROW()-6)/17)+1))</f>
        <v/>
      </c>
      <c r="C461" s="20" t="str">
        <f>IF($A461="","",INDEX(Project_Tracker!$C$2:$C$101,INT((ROW()-6)/17)+1))</f>
        <v/>
      </c>
      <c r="D461" s="6" t="str">
        <f>IF($A461="","",INDEX(Project_Tracker!$T$2:$T$101,INT((ROW()-6)/17)+1))</f>
        <v/>
      </c>
      <c r="E461" s="18">
        <f t="shared" si="35"/>
        <v>14</v>
      </c>
      <c r="F461" s="23" t="str">
        <f>IF($A461="","",INDEX('Logic &amp; Lists'!$I$4:$I$20,$E461))</f>
        <v/>
      </c>
      <c r="G461" s="18" t="str">
        <f>IF($A461="","",INDEX('Logic &amp; Lists'!$J$4:$J$20,$E461))</f>
        <v/>
      </c>
      <c r="H461" s="6" t="str">
        <f t="shared" si="36"/>
        <v/>
      </c>
      <c r="I461" s="18" t="str">
        <f t="shared" ca="1" si="37"/>
        <v/>
      </c>
      <c r="J461" s="5" t="str">
        <f t="shared" si="38"/>
        <v/>
      </c>
      <c r="K461" s="25"/>
      <c r="L461" s="5" t="str">
        <f t="shared" si="39"/>
        <v/>
      </c>
      <c r="M461" s="7"/>
      <c r="N461" s="7"/>
      <c r="O461" s="7"/>
      <c r="P461" s="20" t="str">
        <f>IF($A461="","",INDEX(Project_Tracker!$I$2:$I$101,INT((ROW()-6)/17)+1))</f>
        <v/>
      </c>
      <c r="Q461" s="20" t="str">
        <f>IF($A461="","",INDEX(Project_Tracker!$K$2:$K$101,INT((ROW()-6)/17)+1))</f>
        <v/>
      </c>
    </row>
    <row r="462" spans="1:17" x14ac:dyDescent="0.2">
      <c r="A462" s="20" t="str">
        <f>IF(INDEX(Project_Tracker!$AL$2:$AL$101,INT((ROW()-6)/17)+1)="","",INDEX(Project_Tracker!$AL$2:$AL$101,INT((ROW()-6)/17)+1))</f>
        <v/>
      </c>
      <c r="B462" s="21" t="str">
        <f>IF($A462="","",INDEX(Project_Tracker!$AM$2:$AM$101,INT((ROW()-6)/17)+1))</f>
        <v/>
      </c>
      <c r="C462" s="20" t="str">
        <f>IF($A462="","",INDEX(Project_Tracker!$C$2:$C$101,INT((ROW()-6)/17)+1))</f>
        <v/>
      </c>
      <c r="D462" s="6" t="str">
        <f>IF($A462="","",INDEX(Project_Tracker!$T$2:$T$101,INT((ROW()-6)/17)+1))</f>
        <v/>
      </c>
      <c r="E462" s="18">
        <f t="shared" si="35"/>
        <v>15</v>
      </c>
      <c r="F462" s="23" t="str">
        <f>IF($A462="","",INDEX('Logic &amp; Lists'!$I$4:$I$20,$E462))</f>
        <v/>
      </c>
      <c r="G462" s="18" t="str">
        <f>IF($A462="","",INDEX('Logic &amp; Lists'!$J$4:$J$20,$E462))</f>
        <v/>
      </c>
      <c r="H462" s="6" t="str">
        <f t="shared" si="36"/>
        <v/>
      </c>
      <c r="I462" s="18" t="str">
        <f t="shared" ca="1" si="37"/>
        <v/>
      </c>
      <c r="J462" s="5" t="str">
        <f t="shared" si="38"/>
        <v/>
      </c>
      <c r="K462" s="25"/>
      <c r="L462" s="5" t="str">
        <f t="shared" si="39"/>
        <v/>
      </c>
      <c r="M462" s="7"/>
      <c r="N462" s="7"/>
      <c r="O462" s="7"/>
      <c r="P462" s="20" t="str">
        <f>IF($A462="","",INDEX(Project_Tracker!$I$2:$I$101,INT((ROW()-6)/17)+1))</f>
        <v/>
      </c>
      <c r="Q462" s="20" t="str">
        <f>IF($A462="","",INDEX(Project_Tracker!$K$2:$K$101,INT((ROW()-6)/17)+1))</f>
        <v/>
      </c>
    </row>
    <row r="463" spans="1:17" x14ac:dyDescent="0.2">
      <c r="A463" s="20" t="str">
        <f>IF(INDEX(Project_Tracker!$AL$2:$AL$101,INT((ROW()-6)/17)+1)="","",INDEX(Project_Tracker!$AL$2:$AL$101,INT((ROW()-6)/17)+1))</f>
        <v/>
      </c>
      <c r="B463" s="21" t="str">
        <f>IF($A463="","",INDEX(Project_Tracker!$AM$2:$AM$101,INT((ROW()-6)/17)+1))</f>
        <v/>
      </c>
      <c r="C463" s="20" t="str">
        <f>IF($A463="","",INDEX(Project_Tracker!$C$2:$C$101,INT((ROW()-6)/17)+1))</f>
        <v/>
      </c>
      <c r="D463" s="6" t="str">
        <f>IF($A463="","",INDEX(Project_Tracker!$T$2:$T$101,INT((ROW()-6)/17)+1))</f>
        <v/>
      </c>
      <c r="E463" s="18">
        <f t="shared" si="35"/>
        <v>16</v>
      </c>
      <c r="F463" s="23" t="str">
        <f>IF($A463="","",INDEX('Logic &amp; Lists'!$I$4:$I$20,$E463))</f>
        <v/>
      </c>
      <c r="G463" s="18" t="str">
        <f>IF($A463="","",INDEX('Logic &amp; Lists'!$J$4:$J$20,$E463))</f>
        <v/>
      </c>
      <c r="H463" s="6" t="str">
        <f t="shared" si="36"/>
        <v/>
      </c>
      <c r="I463" s="18" t="str">
        <f t="shared" ca="1" si="37"/>
        <v/>
      </c>
      <c r="J463" s="5" t="str">
        <f t="shared" si="38"/>
        <v/>
      </c>
      <c r="K463" s="25"/>
      <c r="L463" s="5" t="str">
        <f t="shared" si="39"/>
        <v/>
      </c>
      <c r="M463" s="7"/>
      <c r="N463" s="7"/>
      <c r="O463" s="7"/>
      <c r="P463" s="20" t="str">
        <f>IF($A463="","",INDEX(Project_Tracker!$I$2:$I$101,INT((ROW()-6)/17)+1))</f>
        <v/>
      </c>
      <c r="Q463" s="20" t="str">
        <f>IF($A463="","",INDEX(Project_Tracker!$K$2:$K$101,INT((ROW()-6)/17)+1))</f>
        <v/>
      </c>
    </row>
    <row r="464" spans="1:17" x14ac:dyDescent="0.2">
      <c r="A464" s="20" t="str">
        <f>IF(INDEX(Project_Tracker!$AL$2:$AL$101,INT((ROW()-6)/17)+1)="","",INDEX(Project_Tracker!$AL$2:$AL$101,INT((ROW()-6)/17)+1))</f>
        <v/>
      </c>
      <c r="B464" s="21" t="str">
        <f>IF($A464="","",INDEX(Project_Tracker!$AM$2:$AM$101,INT((ROW()-6)/17)+1))</f>
        <v/>
      </c>
      <c r="C464" s="20" t="str">
        <f>IF($A464="","",INDEX(Project_Tracker!$C$2:$C$101,INT((ROW()-6)/17)+1))</f>
        <v/>
      </c>
      <c r="D464" s="6" t="str">
        <f>IF($A464="","",INDEX(Project_Tracker!$T$2:$T$101,INT((ROW()-6)/17)+1))</f>
        <v/>
      </c>
      <c r="E464" s="18">
        <f t="shared" si="35"/>
        <v>17</v>
      </c>
      <c r="F464" s="23" t="str">
        <f>IF($A464="","",INDEX('Logic &amp; Lists'!$I$4:$I$20,$E464))</f>
        <v/>
      </c>
      <c r="G464" s="18" t="str">
        <f>IF($A464="","",INDEX('Logic &amp; Lists'!$J$4:$J$20,$E464))</f>
        <v/>
      </c>
      <c r="H464" s="6" t="str">
        <f t="shared" si="36"/>
        <v/>
      </c>
      <c r="I464" s="18" t="str">
        <f t="shared" ca="1" si="37"/>
        <v/>
      </c>
      <c r="J464" s="5" t="str">
        <f t="shared" si="38"/>
        <v/>
      </c>
      <c r="K464" s="25"/>
      <c r="L464" s="5" t="str">
        <f t="shared" si="39"/>
        <v/>
      </c>
      <c r="M464" s="7"/>
      <c r="N464" s="7"/>
      <c r="O464" s="7"/>
      <c r="P464" s="20" t="str">
        <f>IF($A464="","",INDEX(Project_Tracker!$I$2:$I$101,INT((ROW()-6)/17)+1))</f>
        <v/>
      </c>
      <c r="Q464" s="20" t="str">
        <f>IF($A464="","",INDEX(Project_Tracker!$K$2:$K$101,INT((ROW()-6)/17)+1))</f>
        <v/>
      </c>
    </row>
    <row r="465" spans="1:17" x14ac:dyDescent="0.2">
      <c r="A465" s="20" t="str">
        <f>IF(INDEX(Project_Tracker!$AL$2:$AL$101,INT((ROW()-6)/17)+1)="","",INDEX(Project_Tracker!$AL$2:$AL$101,INT((ROW()-6)/17)+1))</f>
        <v/>
      </c>
      <c r="B465" s="21" t="str">
        <f>IF($A465="","",INDEX(Project_Tracker!$AM$2:$AM$101,INT((ROW()-6)/17)+1))</f>
        <v/>
      </c>
      <c r="C465" s="20" t="str">
        <f>IF($A465="","",INDEX(Project_Tracker!$C$2:$C$101,INT((ROW()-6)/17)+1))</f>
        <v/>
      </c>
      <c r="D465" s="6" t="str">
        <f>IF($A465="","",INDEX(Project_Tracker!$T$2:$T$101,INT((ROW()-6)/17)+1))</f>
        <v/>
      </c>
      <c r="E465" s="18">
        <f t="shared" si="35"/>
        <v>1</v>
      </c>
      <c r="F465" s="23" t="str">
        <f>IF($A465="","",INDEX('Logic &amp; Lists'!$I$4:$I$20,$E465))</f>
        <v/>
      </c>
      <c r="G465" s="18" t="str">
        <f>IF($A465="","",INDEX('Logic &amp; Lists'!$J$4:$J$20,$E465))</f>
        <v/>
      </c>
      <c r="H465" s="6" t="str">
        <f t="shared" si="36"/>
        <v/>
      </c>
      <c r="I465" s="18" t="str">
        <f t="shared" ca="1" si="37"/>
        <v/>
      </c>
      <c r="J465" s="5" t="str">
        <f t="shared" si="38"/>
        <v/>
      </c>
      <c r="K465" s="25"/>
      <c r="L465" s="5" t="str">
        <f t="shared" si="39"/>
        <v/>
      </c>
      <c r="M465" s="7"/>
      <c r="N465" s="7"/>
      <c r="O465" s="7"/>
      <c r="P465" s="20" t="str">
        <f>IF($A465="","",INDEX(Project_Tracker!$I$2:$I$101,INT((ROW()-6)/17)+1))</f>
        <v/>
      </c>
      <c r="Q465" s="20" t="str">
        <f>IF($A465="","",INDEX(Project_Tracker!$K$2:$K$101,INT((ROW()-6)/17)+1))</f>
        <v/>
      </c>
    </row>
    <row r="466" spans="1:17" x14ac:dyDescent="0.2">
      <c r="A466" s="20" t="str">
        <f>IF(INDEX(Project_Tracker!$AL$2:$AL$101,INT((ROW()-6)/17)+1)="","",INDEX(Project_Tracker!$AL$2:$AL$101,INT((ROW()-6)/17)+1))</f>
        <v/>
      </c>
      <c r="B466" s="21" t="str">
        <f>IF($A466="","",INDEX(Project_Tracker!$AM$2:$AM$101,INT((ROW()-6)/17)+1))</f>
        <v/>
      </c>
      <c r="C466" s="20" t="str">
        <f>IF($A466="","",INDEX(Project_Tracker!$C$2:$C$101,INT((ROW()-6)/17)+1))</f>
        <v/>
      </c>
      <c r="D466" s="6" t="str">
        <f>IF($A466="","",INDEX(Project_Tracker!$T$2:$T$101,INT((ROW()-6)/17)+1))</f>
        <v/>
      </c>
      <c r="E466" s="18">
        <f t="shared" si="35"/>
        <v>2</v>
      </c>
      <c r="F466" s="23" t="str">
        <f>IF($A466="","",INDEX('Logic &amp; Lists'!$I$4:$I$20,$E466))</f>
        <v/>
      </c>
      <c r="G466" s="18" t="str">
        <f>IF($A466="","",INDEX('Logic &amp; Lists'!$J$4:$J$20,$E466))</f>
        <v/>
      </c>
      <c r="H466" s="6" t="str">
        <f t="shared" si="36"/>
        <v/>
      </c>
      <c r="I466" s="18" t="str">
        <f t="shared" ca="1" si="37"/>
        <v/>
      </c>
      <c r="J466" s="5" t="str">
        <f t="shared" si="38"/>
        <v/>
      </c>
      <c r="K466" s="25"/>
      <c r="L466" s="5" t="str">
        <f t="shared" si="39"/>
        <v/>
      </c>
      <c r="M466" s="7"/>
      <c r="N466" s="7"/>
      <c r="O466" s="7"/>
      <c r="P466" s="20" t="str">
        <f>IF($A466="","",INDEX(Project_Tracker!$I$2:$I$101,INT((ROW()-6)/17)+1))</f>
        <v/>
      </c>
      <c r="Q466" s="20" t="str">
        <f>IF($A466="","",INDEX(Project_Tracker!$K$2:$K$101,INT((ROW()-6)/17)+1))</f>
        <v/>
      </c>
    </row>
    <row r="467" spans="1:17" x14ac:dyDescent="0.2">
      <c r="A467" s="20" t="str">
        <f>IF(INDEX(Project_Tracker!$AL$2:$AL$101,INT((ROW()-6)/17)+1)="","",INDEX(Project_Tracker!$AL$2:$AL$101,INT((ROW()-6)/17)+1))</f>
        <v/>
      </c>
      <c r="B467" s="21" t="str">
        <f>IF($A467="","",INDEX(Project_Tracker!$AM$2:$AM$101,INT((ROW()-6)/17)+1))</f>
        <v/>
      </c>
      <c r="C467" s="20" t="str">
        <f>IF($A467="","",INDEX(Project_Tracker!$C$2:$C$101,INT((ROW()-6)/17)+1))</f>
        <v/>
      </c>
      <c r="D467" s="6" t="str">
        <f>IF($A467="","",INDEX(Project_Tracker!$T$2:$T$101,INT((ROW()-6)/17)+1))</f>
        <v/>
      </c>
      <c r="E467" s="18">
        <f t="shared" si="35"/>
        <v>3</v>
      </c>
      <c r="F467" s="23" t="str">
        <f>IF($A467="","",INDEX('Logic &amp; Lists'!$I$4:$I$20,$E467))</f>
        <v/>
      </c>
      <c r="G467" s="18" t="str">
        <f>IF($A467="","",INDEX('Logic &amp; Lists'!$J$4:$J$20,$E467))</f>
        <v/>
      </c>
      <c r="H467" s="6" t="str">
        <f t="shared" si="36"/>
        <v/>
      </c>
      <c r="I467" s="18" t="str">
        <f t="shared" ca="1" si="37"/>
        <v/>
      </c>
      <c r="J467" s="5" t="str">
        <f t="shared" si="38"/>
        <v/>
      </c>
      <c r="K467" s="25"/>
      <c r="L467" s="5" t="str">
        <f t="shared" si="39"/>
        <v/>
      </c>
      <c r="M467" s="7"/>
      <c r="N467" s="7"/>
      <c r="O467" s="7"/>
      <c r="P467" s="20" t="str">
        <f>IF($A467="","",INDEX(Project_Tracker!$I$2:$I$101,INT((ROW()-6)/17)+1))</f>
        <v/>
      </c>
      <c r="Q467" s="20" t="str">
        <f>IF($A467="","",INDEX(Project_Tracker!$K$2:$K$101,INT((ROW()-6)/17)+1))</f>
        <v/>
      </c>
    </row>
    <row r="468" spans="1:17" x14ac:dyDescent="0.2">
      <c r="A468" s="20" t="str">
        <f>IF(INDEX(Project_Tracker!$AL$2:$AL$101,INT((ROW()-6)/17)+1)="","",INDEX(Project_Tracker!$AL$2:$AL$101,INT((ROW()-6)/17)+1))</f>
        <v/>
      </c>
      <c r="B468" s="21" t="str">
        <f>IF($A468="","",INDEX(Project_Tracker!$AM$2:$AM$101,INT((ROW()-6)/17)+1))</f>
        <v/>
      </c>
      <c r="C468" s="20" t="str">
        <f>IF($A468="","",INDEX(Project_Tracker!$C$2:$C$101,INT((ROW()-6)/17)+1))</f>
        <v/>
      </c>
      <c r="D468" s="6" t="str">
        <f>IF($A468="","",INDEX(Project_Tracker!$T$2:$T$101,INT((ROW()-6)/17)+1))</f>
        <v/>
      </c>
      <c r="E468" s="18">
        <f t="shared" si="35"/>
        <v>4</v>
      </c>
      <c r="F468" s="23" t="str">
        <f>IF($A468="","",INDEX('Logic &amp; Lists'!$I$4:$I$20,$E468))</f>
        <v/>
      </c>
      <c r="G468" s="18" t="str">
        <f>IF($A468="","",INDEX('Logic &amp; Lists'!$J$4:$J$20,$E468))</f>
        <v/>
      </c>
      <c r="H468" s="6" t="str">
        <f t="shared" si="36"/>
        <v/>
      </c>
      <c r="I468" s="18" t="str">
        <f t="shared" ca="1" si="37"/>
        <v/>
      </c>
      <c r="J468" s="5" t="str">
        <f t="shared" si="38"/>
        <v/>
      </c>
      <c r="K468" s="25"/>
      <c r="L468" s="5" t="str">
        <f t="shared" si="39"/>
        <v/>
      </c>
      <c r="M468" s="7"/>
      <c r="N468" s="7"/>
      <c r="O468" s="7"/>
      <c r="P468" s="20" t="str">
        <f>IF($A468="","",INDEX(Project_Tracker!$I$2:$I$101,INT((ROW()-6)/17)+1))</f>
        <v/>
      </c>
      <c r="Q468" s="20" t="str">
        <f>IF($A468="","",INDEX(Project_Tracker!$K$2:$K$101,INT((ROW()-6)/17)+1))</f>
        <v/>
      </c>
    </row>
    <row r="469" spans="1:17" x14ac:dyDescent="0.2">
      <c r="A469" s="20" t="str">
        <f>IF(INDEX(Project_Tracker!$AL$2:$AL$101,INT((ROW()-6)/17)+1)="","",INDEX(Project_Tracker!$AL$2:$AL$101,INT((ROW()-6)/17)+1))</f>
        <v/>
      </c>
      <c r="B469" s="21" t="str">
        <f>IF($A469="","",INDEX(Project_Tracker!$AM$2:$AM$101,INT((ROW()-6)/17)+1))</f>
        <v/>
      </c>
      <c r="C469" s="20" t="str">
        <f>IF($A469="","",INDEX(Project_Tracker!$C$2:$C$101,INT((ROW()-6)/17)+1))</f>
        <v/>
      </c>
      <c r="D469" s="6" t="str">
        <f>IF($A469="","",INDEX(Project_Tracker!$T$2:$T$101,INT((ROW()-6)/17)+1))</f>
        <v/>
      </c>
      <c r="E469" s="18">
        <f t="shared" si="35"/>
        <v>5</v>
      </c>
      <c r="F469" s="23" t="str">
        <f>IF($A469="","",INDEX('Logic &amp; Lists'!$I$4:$I$20,$E469))</f>
        <v/>
      </c>
      <c r="G469" s="18" t="str">
        <f>IF($A469="","",INDEX('Logic &amp; Lists'!$J$4:$J$20,$E469))</f>
        <v/>
      </c>
      <c r="H469" s="6" t="str">
        <f t="shared" si="36"/>
        <v/>
      </c>
      <c r="I469" s="18" t="str">
        <f t="shared" ca="1" si="37"/>
        <v/>
      </c>
      <c r="J469" s="5" t="str">
        <f t="shared" si="38"/>
        <v/>
      </c>
      <c r="K469" s="25"/>
      <c r="L469" s="5" t="str">
        <f t="shared" si="39"/>
        <v/>
      </c>
      <c r="M469" s="7"/>
      <c r="N469" s="7"/>
      <c r="O469" s="7"/>
      <c r="P469" s="20" t="str">
        <f>IF($A469="","",INDEX(Project_Tracker!$I$2:$I$101,INT((ROW()-6)/17)+1))</f>
        <v/>
      </c>
      <c r="Q469" s="20" t="str">
        <f>IF($A469="","",INDEX(Project_Tracker!$K$2:$K$101,INT((ROW()-6)/17)+1))</f>
        <v/>
      </c>
    </row>
    <row r="470" spans="1:17" x14ac:dyDescent="0.2">
      <c r="A470" s="20" t="str">
        <f>IF(INDEX(Project_Tracker!$AL$2:$AL$101,INT((ROW()-6)/17)+1)="","",INDEX(Project_Tracker!$AL$2:$AL$101,INT((ROW()-6)/17)+1))</f>
        <v/>
      </c>
      <c r="B470" s="21" t="str">
        <f>IF($A470="","",INDEX(Project_Tracker!$AM$2:$AM$101,INT((ROW()-6)/17)+1))</f>
        <v/>
      </c>
      <c r="C470" s="20" t="str">
        <f>IF($A470="","",INDEX(Project_Tracker!$C$2:$C$101,INT((ROW()-6)/17)+1))</f>
        <v/>
      </c>
      <c r="D470" s="6" t="str">
        <f>IF($A470="","",INDEX(Project_Tracker!$T$2:$T$101,INT((ROW()-6)/17)+1))</f>
        <v/>
      </c>
      <c r="E470" s="18">
        <f t="shared" si="35"/>
        <v>6</v>
      </c>
      <c r="F470" s="23" t="str">
        <f>IF($A470="","",INDEX('Logic &amp; Lists'!$I$4:$I$20,$E470))</f>
        <v/>
      </c>
      <c r="G470" s="18" t="str">
        <f>IF($A470="","",INDEX('Logic &amp; Lists'!$J$4:$J$20,$E470))</f>
        <v/>
      </c>
      <c r="H470" s="6" t="str">
        <f t="shared" si="36"/>
        <v/>
      </c>
      <c r="I470" s="18" t="str">
        <f t="shared" ca="1" si="37"/>
        <v/>
      </c>
      <c r="J470" s="5" t="str">
        <f t="shared" si="38"/>
        <v/>
      </c>
      <c r="K470" s="25"/>
      <c r="L470" s="5" t="str">
        <f t="shared" si="39"/>
        <v/>
      </c>
      <c r="M470" s="7"/>
      <c r="N470" s="7"/>
      <c r="O470" s="7"/>
      <c r="P470" s="20" t="str">
        <f>IF($A470="","",INDEX(Project_Tracker!$I$2:$I$101,INT((ROW()-6)/17)+1))</f>
        <v/>
      </c>
      <c r="Q470" s="20" t="str">
        <f>IF($A470="","",INDEX(Project_Tracker!$K$2:$K$101,INT((ROW()-6)/17)+1))</f>
        <v/>
      </c>
    </row>
    <row r="471" spans="1:17" x14ac:dyDescent="0.2">
      <c r="A471" s="20" t="str">
        <f>IF(INDEX(Project_Tracker!$AL$2:$AL$101,INT((ROW()-6)/17)+1)="","",INDEX(Project_Tracker!$AL$2:$AL$101,INT((ROW()-6)/17)+1))</f>
        <v/>
      </c>
      <c r="B471" s="21" t="str">
        <f>IF($A471="","",INDEX(Project_Tracker!$AM$2:$AM$101,INT((ROW()-6)/17)+1))</f>
        <v/>
      </c>
      <c r="C471" s="20" t="str">
        <f>IF($A471="","",INDEX(Project_Tracker!$C$2:$C$101,INT((ROW()-6)/17)+1))</f>
        <v/>
      </c>
      <c r="D471" s="6" t="str">
        <f>IF($A471="","",INDEX(Project_Tracker!$T$2:$T$101,INT((ROW()-6)/17)+1))</f>
        <v/>
      </c>
      <c r="E471" s="18">
        <f t="shared" si="35"/>
        <v>7</v>
      </c>
      <c r="F471" s="23" t="str">
        <f>IF($A471="","",INDEX('Logic &amp; Lists'!$I$4:$I$20,$E471))</f>
        <v/>
      </c>
      <c r="G471" s="18" t="str">
        <f>IF($A471="","",INDEX('Logic &amp; Lists'!$J$4:$J$20,$E471))</f>
        <v/>
      </c>
      <c r="H471" s="6" t="str">
        <f t="shared" si="36"/>
        <v/>
      </c>
      <c r="I471" s="18" t="str">
        <f t="shared" ca="1" si="37"/>
        <v/>
      </c>
      <c r="J471" s="5" t="str">
        <f t="shared" si="38"/>
        <v/>
      </c>
      <c r="K471" s="25"/>
      <c r="L471" s="5" t="str">
        <f t="shared" si="39"/>
        <v/>
      </c>
      <c r="M471" s="7"/>
      <c r="N471" s="7"/>
      <c r="O471" s="7"/>
      <c r="P471" s="20" t="str">
        <f>IF($A471="","",INDEX(Project_Tracker!$I$2:$I$101,INT((ROW()-6)/17)+1))</f>
        <v/>
      </c>
      <c r="Q471" s="20" t="str">
        <f>IF($A471="","",INDEX(Project_Tracker!$K$2:$K$101,INT((ROW()-6)/17)+1))</f>
        <v/>
      </c>
    </row>
    <row r="472" spans="1:17" x14ac:dyDescent="0.2">
      <c r="A472" s="20" t="str">
        <f>IF(INDEX(Project_Tracker!$AL$2:$AL$101,INT((ROW()-6)/17)+1)="","",INDEX(Project_Tracker!$AL$2:$AL$101,INT((ROW()-6)/17)+1))</f>
        <v/>
      </c>
      <c r="B472" s="21" t="str">
        <f>IF($A472="","",INDEX(Project_Tracker!$AM$2:$AM$101,INT((ROW()-6)/17)+1))</f>
        <v/>
      </c>
      <c r="C472" s="20" t="str">
        <f>IF($A472="","",INDEX(Project_Tracker!$C$2:$C$101,INT((ROW()-6)/17)+1))</f>
        <v/>
      </c>
      <c r="D472" s="6" t="str">
        <f>IF($A472="","",INDEX(Project_Tracker!$T$2:$T$101,INT((ROW()-6)/17)+1))</f>
        <v/>
      </c>
      <c r="E472" s="18">
        <f t="shared" si="35"/>
        <v>8</v>
      </c>
      <c r="F472" s="23" t="str">
        <f>IF($A472="","",INDEX('Logic &amp; Lists'!$I$4:$I$20,$E472))</f>
        <v/>
      </c>
      <c r="G472" s="18" t="str">
        <f>IF($A472="","",INDEX('Logic &amp; Lists'!$J$4:$J$20,$E472))</f>
        <v/>
      </c>
      <c r="H472" s="6" t="str">
        <f t="shared" si="36"/>
        <v/>
      </c>
      <c r="I472" s="18" t="str">
        <f t="shared" ca="1" si="37"/>
        <v/>
      </c>
      <c r="J472" s="5" t="str">
        <f t="shared" si="38"/>
        <v/>
      </c>
      <c r="K472" s="25"/>
      <c r="L472" s="5" t="str">
        <f t="shared" si="39"/>
        <v/>
      </c>
      <c r="M472" s="7"/>
      <c r="N472" s="7"/>
      <c r="O472" s="7"/>
      <c r="P472" s="20" t="str">
        <f>IF($A472="","",INDEX(Project_Tracker!$I$2:$I$101,INT((ROW()-6)/17)+1))</f>
        <v/>
      </c>
      <c r="Q472" s="20" t="str">
        <f>IF($A472="","",INDEX(Project_Tracker!$K$2:$K$101,INT((ROW()-6)/17)+1))</f>
        <v/>
      </c>
    </row>
    <row r="473" spans="1:17" x14ac:dyDescent="0.2">
      <c r="A473" s="20" t="str">
        <f>IF(INDEX(Project_Tracker!$AL$2:$AL$101,INT((ROW()-6)/17)+1)="","",INDEX(Project_Tracker!$AL$2:$AL$101,INT((ROW()-6)/17)+1))</f>
        <v/>
      </c>
      <c r="B473" s="21" t="str">
        <f>IF($A473="","",INDEX(Project_Tracker!$AM$2:$AM$101,INT((ROW()-6)/17)+1))</f>
        <v/>
      </c>
      <c r="C473" s="20" t="str">
        <f>IF($A473="","",INDEX(Project_Tracker!$C$2:$C$101,INT((ROW()-6)/17)+1))</f>
        <v/>
      </c>
      <c r="D473" s="6" t="str">
        <f>IF($A473="","",INDEX(Project_Tracker!$T$2:$T$101,INT((ROW()-6)/17)+1))</f>
        <v/>
      </c>
      <c r="E473" s="18">
        <f t="shared" si="35"/>
        <v>9</v>
      </c>
      <c r="F473" s="23" t="str">
        <f>IF($A473="","",INDEX('Logic &amp; Lists'!$I$4:$I$20,$E473))</f>
        <v/>
      </c>
      <c r="G473" s="18" t="str">
        <f>IF($A473="","",INDEX('Logic &amp; Lists'!$J$4:$J$20,$E473))</f>
        <v/>
      </c>
      <c r="H473" s="6" t="str">
        <f t="shared" si="36"/>
        <v/>
      </c>
      <c r="I473" s="18" t="str">
        <f t="shared" ca="1" si="37"/>
        <v/>
      </c>
      <c r="J473" s="5" t="str">
        <f t="shared" si="38"/>
        <v/>
      </c>
      <c r="K473" s="25"/>
      <c r="L473" s="5" t="str">
        <f t="shared" si="39"/>
        <v/>
      </c>
      <c r="M473" s="7"/>
      <c r="N473" s="7"/>
      <c r="O473" s="7"/>
      <c r="P473" s="20" t="str">
        <f>IF($A473="","",INDEX(Project_Tracker!$I$2:$I$101,INT((ROW()-6)/17)+1))</f>
        <v/>
      </c>
      <c r="Q473" s="20" t="str">
        <f>IF($A473="","",INDEX(Project_Tracker!$K$2:$K$101,INT((ROW()-6)/17)+1))</f>
        <v/>
      </c>
    </row>
    <row r="474" spans="1:17" x14ac:dyDescent="0.2">
      <c r="A474" s="20" t="str">
        <f>IF(INDEX(Project_Tracker!$AL$2:$AL$101,INT((ROW()-6)/17)+1)="","",INDEX(Project_Tracker!$AL$2:$AL$101,INT((ROW()-6)/17)+1))</f>
        <v/>
      </c>
      <c r="B474" s="21" t="str">
        <f>IF($A474="","",INDEX(Project_Tracker!$AM$2:$AM$101,INT((ROW()-6)/17)+1))</f>
        <v/>
      </c>
      <c r="C474" s="20" t="str">
        <f>IF($A474="","",INDEX(Project_Tracker!$C$2:$C$101,INT((ROW()-6)/17)+1))</f>
        <v/>
      </c>
      <c r="D474" s="6" t="str">
        <f>IF($A474="","",INDEX(Project_Tracker!$T$2:$T$101,INT((ROW()-6)/17)+1))</f>
        <v/>
      </c>
      <c r="E474" s="18">
        <f t="shared" si="35"/>
        <v>10</v>
      </c>
      <c r="F474" s="23" t="str">
        <f>IF($A474="","",INDEX('Logic &amp; Lists'!$I$4:$I$20,$E474))</f>
        <v/>
      </c>
      <c r="G474" s="18" t="str">
        <f>IF($A474="","",INDEX('Logic &amp; Lists'!$J$4:$J$20,$E474))</f>
        <v/>
      </c>
      <c r="H474" s="6" t="str">
        <f t="shared" si="36"/>
        <v/>
      </c>
      <c r="I474" s="18" t="str">
        <f t="shared" ca="1" si="37"/>
        <v/>
      </c>
      <c r="J474" s="5" t="str">
        <f t="shared" si="38"/>
        <v/>
      </c>
      <c r="K474" s="25"/>
      <c r="L474" s="5" t="str">
        <f t="shared" si="39"/>
        <v/>
      </c>
      <c r="M474" s="7"/>
      <c r="N474" s="7"/>
      <c r="O474" s="7"/>
      <c r="P474" s="20" t="str">
        <f>IF($A474="","",INDEX(Project_Tracker!$I$2:$I$101,INT((ROW()-6)/17)+1))</f>
        <v/>
      </c>
      <c r="Q474" s="20" t="str">
        <f>IF($A474="","",INDEX(Project_Tracker!$K$2:$K$101,INT((ROW()-6)/17)+1))</f>
        <v/>
      </c>
    </row>
    <row r="475" spans="1:17" x14ac:dyDescent="0.2">
      <c r="A475" s="20" t="str">
        <f>IF(INDEX(Project_Tracker!$AL$2:$AL$101,INT((ROW()-6)/17)+1)="","",INDEX(Project_Tracker!$AL$2:$AL$101,INT((ROW()-6)/17)+1))</f>
        <v/>
      </c>
      <c r="B475" s="21" t="str">
        <f>IF($A475="","",INDEX(Project_Tracker!$AM$2:$AM$101,INT((ROW()-6)/17)+1))</f>
        <v/>
      </c>
      <c r="C475" s="20" t="str">
        <f>IF($A475="","",INDEX(Project_Tracker!$C$2:$C$101,INT((ROW()-6)/17)+1))</f>
        <v/>
      </c>
      <c r="D475" s="6" t="str">
        <f>IF($A475="","",INDEX(Project_Tracker!$T$2:$T$101,INT((ROW()-6)/17)+1))</f>
        <v/>
      </c>
      <c r="E475" s="18">
        <f t="shared" si="35"/>
        <v>11</v>
      </c>
      <c r="F475" s="23" t="str">
        <f>IF($A475="","",INDEX('Logic &amp; Lists'!$I$4:$I$20,$E475))</f>
        <v/>
      </c>
      <c r="G475" s="18" t="str">
        <f>IF($A475="","",INDEX('Logic &amp; Lists'!$J$4:$J$20,$E475))</f>
        <v/>
      </c>
      <c r="H475" s="6" t="str">
        <f t="shared" si="36"/>
        <v/>
      </c>
      <c r="I475" s="18" t="str">
        <f t="shared" ca="1" si="37"/>
        <v/>
      </c>
      <c r="J475" s="5" t="str">
        <f t="shared" si="38"/>
        <v/>
      </c>
      <c r="K475" s="25"/>
      <c r="L475" s="5" t="str">
        <f t="shared" si="39"/>
        <v/>
      </c>
      <c r="M475" s="7"/>
      <c r="N475" s="7"/>
      <c r="O475" s="7"/>
      <c r="P475" s="20" t="str">
        <f>IF($A475="","",INDEX(Project_Tracker!$I$2:$I$101,INT((ROW()-6)/17)+1))</f>
        <v/>
      </c>
      <c r="Q475" s="20" t="str">
        <f>IF($A475="","",INDEX(Project_Tracker!$K$2:$K$101,INT((ROW()-6)/17)+1))</f>
        <v/>
      </c>
    </row>
    <row r="476" spans="1:17" x14ac:dyDescent="0.2">
      <c r="A476" s="20" t="str">
        <f>IF(INDEX(Project_Tracker!$AL$2:$AL$101,INT((ROW()-6)/17)+1)="","",INDEX(Project_Tracker!$AL$2:$AL$101,INT((ROW()-6)/17)+1))</f>
        <v/>
      </c>
      <c r="B476" s="21" t="str">
        <f>IF($A476="","",INDEX(Project_Tracker!$AM$2:$AM$101,INT((ROW()-6)/17)+1))</f>
        <v/>
      </c>
      <c r="C476" s="20" t="str">
        <f>IF($A476="","",INDEX(Project_Tracker!$C$2:$C$101,INT((ROW()-6)/17)+1))</f>
        <v/>
      </c>
      <c r="D476" s="6" t="str">
        <f>IF($A476="","",INDEX(Project_Tracker!$T$2:$T$101,INT((ROW()-6)/17)+1))</f>
        <v/>
      </c>
      <c r="E476" s="18">
        <f t="shared" si="35"/>
        <v>12</v>
      </c>
      <c r="F476" s="23" t="str">
        <f>IF($A476="","",INDEX('Logic &amp; Lists'!$I$4:$I$20,$E476))</f>
        <v/>
      </c>
      <c r="G476" s="18" t="str">
        <f>IF($A476="","",INDEX('Logic &amp; Lists'!$J$4:$J$20,$E476))</f>
        <v/>
      </c>
      <c r="H476" s="6" t="str">
        <f t="shared" si="36"/>
        <v/>
      </c>
      <c r="I476" s="18" t="str">
        <f t="shared" ca="1" si="37"/>
        <v/>
      </c>
      <c r="J476" s="5" t="str">
        <f t="shared" si="38"/>
        <v/>
      </c>
      <c r="K476" s="25"/>
      <c r="L476" s="5" t="str">
        <f t="shared" si="39"/>
        <v/>
      </c>
      <c r="M476" s="7"/>
      <c r="N476" s="7"/>
      <c r="O476" s="7"/>
      <c r="P476" s="20" t="str">
        <f>IF($A476="","",INDEX(Project_Tracker!$I$2:$I$101,INT((ROW()-6)/17)+1))</f>
        <v/>
      </c>
      <c r="Q476" s="20" t="str">
        <f>IF($A476="","",INDEX(Project_Tracker!$K$2:$K$101,INT((ROW()-6)/17)+1))</f>
        <v/>
      </c>
    </row>
    <row r="477" spans="1:17" x14ac:dyDescent="0.2">
      <c r="A477" s="20" t="str">
        <f>IF(INDEX(Project_Tracker!$AL$2:$AL$101,INT((ROW()-6)/17)+1)="","",INDEX(Project_Tracker!$AL$2:$AL$101,INT((ROW()-6)/17)+1))</f>
        <v/>
      </c>
      <c r="B477" s="21" t="str">
        <f>IF($A477="","",INDEX(Project_Tracker!$AM$2:$AM$101,INT((ROW()-6)/17)+1))</f>
        <v/>
      </c>
      <c r="C477" s="20" t="str">
        <f>IF($A477="","",INDEX(Project_Tracker!$C$2:$C$101,INT((ROW()-6)/17)+1))</f>
        <v/>
      </c>
      <c r="D477" s="6" t="str">
        <f>IF($A477="","",INDEX(Project_Tracker!$T$2:$T$101,INT((ROW()-6)/17)+1))</f>
        <v/>
      </c>
      <c r="E477" s="18">
        <f t="shared" si="35"/>
        <v>13</v>
      </c>
      <c r="F477" s="23" t="str">
        <f>IF($A477="","",INDEX('Logic &amp; Lists'!$I$4:$I$20,$E477))</f>
        <v/>
      </c>
      <c r="G477" s="18" t="str">
        <f>IF($A477="","",INDEX('Logic &amp; Lists'!$J$4:$J$20,$E477))</f>
        <v/>
      </c>
      <c r="H477" s="6" t="str">
        <f t="shared" si="36"/>
        <v/>
      </c>
      <c r="I477" s="18" t="str">
        <f t="shared" ca="1" si="37"/>
        <v/>
      </c>
      <c r="J477" s="5" t="str">
        <f t="shared" si="38"/>
        <v/>
      </c>
      <c r="K477" s="25"/>
      <c r="L477" s="5" t="str">
        <f t="shared" si="39"/>
        <v/>
      </c>
      <c r="M477" s="7"/>
      <c r="N477" s="7"/>
      <c r="O477" s="7"/>
      <c r="P477" s="20" t="str">
        <f>IF($A477="","",INDEX(Project_Tracker!$I$2:$I$101,INT((ROW()-6)/17)+1))</f>
        <v/>
      </c>
      <c r="Q477" s="20" t="str">
        <f>IF($A477="","",INDEX(Project_Tracker!$K$2:$K$101,INT((ROW()-6)/17)+1))</f>
        <v/>
      </c>
    </row>
    <row r="478" spans="1:17" x14ac:dyDescent="0.2">
      <c r="A478" s="20" t="str">
        <f>IF(INDEX(Project_Tracker!$AL$2:$AL$101,INT((ROW()-6)/17)+1)="","",INDEX(Project_Tracker!$AL$2:$AL$101,INT((ROW()-6)/17)+1))</f>
        <v/>
      </c>
      <c r="B478" s="21" t="str">
        <f>IF($A478="","",INDEX(Project_Tracker!$AM$2:$AM$101,INT((ROW()-6)/17)+1))</f>
        <v/>
      </c>
      <c r="C478" s="20" t="str">
        <f>IF($A478="","",INDEX(Project_Tracker!$C$2:$C$101,INT((ROW()-6)/17)+1))</f>
        <v/>
      </c>
      <c r="D478" s="6" t="str">
        <f>IF($A478="","",INDEX(Project_Tracker!$T$2:$T$101,INT((ROW()-6)/17)+1))</f>
        <v/>
      </c>
      <c r="E478" s="18">
        <f t="shared" si="35"/>
        <v>14</v>
      </c>
      <c r="F478" s="23" t="str">
        <f>IF($A478="","",INDEX('Logic &amp; Lists'!$I$4:$I$20,$E478))</f>
        <v/>
      </c>
      <c r="G478" s="18" t="str">
        <f>IF($A478="","",INDEX('Logic &amp; Lists'!$J$4:$J$20,$E478))</f>
        <v/>
      </c>
      <c r="H478" s="6" t="str">
        <f t="shared" si="36"/>
        <v/>
      </c>
      <c r="I478" s="18" t="str">
        <f t="shared" ca="1" si="37"/>
        <v/>
      </c>
      <c r="J478" s="5" t="str">
        <f t="shared" si="38"/>
        <v/>
      </c>
      <c r="K478" s="25"/>
      <c r="L478" s="5" t="str">
        <f t="shared" si="39"/>
        <v/>
      </c>
      <c r="M478" s="7"/>
      <c r="N478" s="7"/>
      <c r="O478" s="7"/>
      <c r="P478" s="20" t="str">
        <f>IF($A478="","",INDEX(Project_Tracker!$I$2:$I$101,INT((ROW()-6)/17)+1))</f>
        <v/>
      </c>
      <c r="Q478" s="20" t="str">
        <f>IF($A478="","",INDEX(Project_Tracker!$K$2:$K$101,INT((ROW()-6)/17)+1))</f>
        <v/>
      </c>
    </row>
    <row r="479" spans="1:17" x14ac:dyDescent="0.2">
      <c r="A479" s="20" t="str">
        <f>IF(INDEX(Project_Tracker!$AL$2:$AL$101,INT((ROW()-6)/17)+1)="","",INDEX(Project_Tracker!$AL$2:$AL$101,INT((ROW()-6)/17)+1))</f>
        <v/>
      </c>
      <c r="B479" s="21" t="str">
        <f>IF($A479="","",INDEX(Project_Tracker!$AM$2:$AM$101,INT((ROW()-6)/17)+1))</f>
        <v/>
      </c>
      <c r="C479" s="20" t="str">
        <f>IF($A479="","",INDEX(Project_Tracker!$C$2:$C$101,INT((ROW()-6)/17)+1))</f>
        <v/>
      </c>
      <c r="D479" s="6" t="str">
        <f>IF($A479="","",INDEX(Project_Tracker!$T$2:$T$101,INT((ROW()-6)/17)+1))</f>
        <v/>
      </c>
      <c r="E479" s="18">
        <f t="shared" si="35"/>
        <v>15</v>
      </c>
      <c r="F479" s="23" t="str">
        <f>IF($A479="","",INDEX('Logic &amp; Lists'!$I$4:$I$20,$E479))</f>
        <v/>
      </c>
      <c r="G479" s="18" t="str">
        <f>IF($A479="","",INDEX('Logic &amp; Lists'!$J$4:$J$20,$E479))</f>
        <v/>
      </c>
      <c r="H479" s="6" t="str">
        <f t="shared" si="36"/>
        <v/>
      </c>
      <c r="I479" s="18" t="str">
        <f t="shared" ca="1" si="37"/>
        <v/>
      </c>
      <c r="J479" s="5" t="str">
        <f t="shared" si="38"/>
        <v/>
      </c>
      <c r="K479" s="25"/>
      <c r="L479" s="5" t="str">
        <f t="shared" si="39"/>
        <v/>
      </c>
      <c r="M479" s="7"/>
      <c r="N479" s="7"/>
      <c r="O479" s="7"/>
      <c r="P479" s="20" t="str">
        <f>IF($A479="","",INDEX(Project_Tracker!$I$2:$I$101,INT((ROW()-6)/17)+1))</f>
        <v/>
      </c>
      <c r="Q479" s="20" t="str">
        <f>IF($A479="","",INDEX(Project_Tracker!$K$2:$K$101,INT((ROW()-6)/17)+1))</f>
        <v/>
      </c>
    </row>
    <row r="480" spans="1:17" x14ac:dyDescent="0.2">
      <c r="A480" s="20" t="str">
        <f>IF(INDEX(Project_Tracker!$AL$2:$AL$101,INT((ROW()-6)/17)+1)="","",INDEX(Project_Tracker!$AL$2:$AL$101,INT((ROW()-6)/17)+1))</f>
        <v/>
      </c>
      <c r="B480" s="21" t="str">
        <f>IF($A480="","",INDEX(Project_Tracker!$AM$2:$AM$101,INT((ROW()-6)/17)+1))</f>
        <v/>
      </c>
      <c r="C480" s="20" t="str">
        <f>IF($A480="","",INDEX(Project_Tracker!$C$2:$C$101,INT((ROW()-6)/17)+1))</f>
        <v/>
      </c>
      <c r="D480" s="6" t="str">
        <f>IF($A480="","",INDEX(Project_Tracker!$T$2:$T$101,INT((ROW()-6)/17)+1))</f>
        <v/>
      </c>
      <c r="E480" s="18">
        <f t="shared" si="35"/>
        <v>16</v>
      </c>
      <c r="F480" s="23" t="str">
        <f>IF($A480="","",INDEX('Logic &amp; Lists'!$I$4:$I$20,$E480))</f>
        <v/>
      </c>
      <c r="G480" s="18" t="str">
        <f>IF($A480="","",INDEX('Logic &amp; Lists'!$J$4:$J$20,$E480))</f>
        <v/>
      </c>
      <c r="H480" s="6" t="str">
        <f t="shared" si="36"/>
        <v/>
      </c>
      <c r="I480" s="18" t="str">
        <f t="shared" ca="1" si="37"/>
        <v/>
      </c>
      <c r="J480" s="5" t="str">
        <f t="shared" si="38"/>
        <v/>
      </c>
      <c r="K480" s="25"/>
      <c r="L480" s="5" t="str">
        <f t="shared" si="39"/>
        <v/>
      </c>
      <c r="M480" s="7"/>
      <c r="N480" s="7"/>
      <c r="O480" s="7"/>
      <c r="P480" s="20" t="str">
        <f>IF($A480="","",INDEX(Project_Tracker!$I$2:$I$101,INT((ROW()-6)/17)+1))</f>
        <v/>
      </c>
      <c r="Q480" s="20" t="str">
        <f>IF($A480="","",INDEX(Project_Tracker!$K$2:$K$101,INT((ROW()-6)/17)+1))</f>
        <v/>
      </c>
    </row>
    <row r="481" spans="1:17" x14ac:dyDescent="0.2">
      <c r="A481" s="20" t="str">
        <f>IF(INDEX(Project_Tracker!$AL$2:$AL$101,INT((ROW()-6)/17)+1)="","",INDEX(Project_Tracker!$AL$2:$AL$101,INT((ROW()-6)/17)+1))</f>
        <v/>
      </c>
      <c r="B481" s="21" t="str">
        <f>IF($A481="","",INDEX(Project_Tracker!$AM$2:$AM$101,INT((ROW()-6)/17)+1))</f>
        <v/>
      </c>
      <c r="C481" s="20" t="str">
        <f>IF($A481="","",INDEX(Project_Tracker!$C$2:$C$101,INT((ROW()-6)/17)+1))</f>
        <v/>
      </c>
      <c r="D481" s="6" t="str">
        <f>IF($A481="","",INDEX(Project_Tracker!$T$2:$T$101,INT((ROW()-6)/17)+1))</f>
        <v/>
      </c>
      <c r="E481" s="18">
        <f t="shared" si="35"/>
        <v>17</v>
      </c>
      <c r="F481" s="23" t="str">
        <f>IF($A481="","",INDEX('Logic &amp; Lists'!$I$4:$I$20,$E481))</f>
        <v/>
      </c>
      <c r="G481" s="18" t="str">
        <f>IF($A481="","",INDEX('Logic &amp; Lists'!$J$4:$J$20,$E481))</f>
        <v/>
      </c>
      <c r="H481" s="6" t="str">
        <f t="shared" si="36"/>
        <v/>
      </c>
      <c r="I481" s="18" t="str">
        <f t="shared" ca="1" si="37"/>
        <v/>
      </c>
      <c r="J481" s="5" t="str">
        <f t="shared" si="38"/>
        <v/>
      </c>
      <c r="K481" s="25"/>
      <c r="L481" s="5" t="str">
        <f t="shared" si="39"/>
        <v/>
      </c>
      <c r="M481" s="7"/>
      <c r="N481" s="7"/>
      <c r="O481" s="7"/>
      <c r="P481" s="20" t="str">
        <f>IF($A481="","",INDEX(Project_Tracker!$I$2:$I$101,INT((ROW()-6)/17)+1))</f>
        <v/>
      </c>
      <c r="Q481" s="20" t="str">
        <f>IF($A481="","",INDEX(Project_Tracker!$K$2:$K$101,INT((ROW()-6)/17)+1))</f>
        <v/>
      </c>
    </row>
    <row r="482" spans="1:17" x14ac:dyDescent="0.2">
      <c r="A482" s="20" t="str">
        <f>IF(INDEX(Project_Tracker!$AL$2:$AL$101,INT((ROW()-6)/17)+1)="","",INDEX(Project_Tracker!$AL$2:$AL$101,INT((ROW()-6)/17)+1))</f>
        <v/>
      </c>
      <c r="B482" s="21" t="str">
        <f>IF($A482="","",INDEX(Project_Tracker!$AM$2:$AM$101,INT((ROW()-6)/17)+1))</f>
        <v/>
      </c>
      <c r="C482" s="20" t="str">
        <f>IF($A482="","",INDEX(Project_Tracker!$C$2:$C$101,INT((ROW()-6)/17)+1))</f>
        <v/>
      </c>
      <c r="D482" s="6" t="str">
        <f>IF($A482="","",INDEX(Project_Tracker!$T$2:$T$101,INT((ROW()-6)/17)+1))</f>
        <v/>
      </c>
      <c r="E482" s="18">
        <f t="shared" si="35"/>
        <v>1</v>
      </c>
      <c r="F482" s="23" t="str">
        <f>IF($A482="","",INDEX('Logic &amp; Lists'!$I$4:$I$20,$E482))</f>
        <v/>
      </c>
      <c r="G482" s="18" t="str">
        <f>IF($A482="","",INDEX('Logic &amp; Lists'!$J$4:$J$20,$E482))</f>
        <v/>
      </c>
      <c r="H482" s="6" t="str">
        <f t="shared" si="36"/>
        <v/>
      </c>
      <c r="I482" s="18" t="str">
        <f t="shared" ca="1" si="37"/>
        <v/>
      </c>
      <c r="J482" s="5" t="str">
        <f t="shared" si="38"/>
        <v/>
      </c>
      <c r="K482" s="25"/>
      <c r="L482" s="5" t="str">
        <f t="shared" si="39"/>
        <v/>
      </c>
      <c r="M482" s="7"/>
      <c r="N482" s="7"/>
      <c r="O482" s="7"/>
      <c r="P482" s="20" t="str">
        <f>IF($A482="","",INDEX(Project_Tracker!$I$2:$I$101,INT((ROW()-6)/17)+1))</f>
        <v/>
      </c>
      <c r="Q482" s="20" t="str">
        <f>IF($A482="","",INDEX(Project_Tracker!$K$2:$K$101,INT((ROW()-6)/17)+1))</f>
        <v/>
      </c>
    </row>
    <row r="483" spans="1:17" x14ac:dyDescent="0.2">
      <c r="A483" s="20" t="str">
        <f>IF(INDEX(Project_Tracker!$AL$2:$AL$101,INT((ROW()-6)/17)+1)="","",INDEX(Project_Tracker!$AL$2:$AL$101,INT((ROW()-6)/17)+1))</f>
        <v/>
      </c>
      <c r="B483" s="21" t="str">
        <f>IF($A483="","",INDEX(Project_Tracker!$AM$2:$AM$101,INT((ROW()-6)/17)+1))</f>
        <v/>
      </c>
      <c r="C483" s="20" t="str">
        <f>IF($A483="","",INDEX(Project_Tracker!$C$2:$C$101,INT((ROW()-6)/17)+1))</f>
        <v/>
      </c>
      <c r="D483" s="6" t="str">
        <f>IF($A483="","",INDEX(Project_Tracker!$T$2:$T$101,INT((ROW()-6)/17)+1))</f>
        <v/>
      </c>
      <c r="E483" s="18">
        <f t="shared" si="35"/>
        <v>2</v>
      </c>
      <c r="F483" s="23" t="str">
        <f>IF($A483="","",INDEX('Logic &amp; Lists'!$I$4:$I$20,$E483))</f>
        <v/>
      </c>
      <c r="G483" s="18" t="str">
        <f>IF($A483="","",INDEX('Logic &amp; Lists'!$J$4:$J$20,$E483))</f>
        <v/>
      </c>
      <c r="H483" s="6" t="str">
        <f t="shared" si="36"/>
        <v/>
      </c>
      <c r="I483" s="18" t="str">
        <f t="shared" ca="1" si="37"/>
        <v/>
      </c>
      <c r="J483" s="5" t="str">
        <f t="shared" si="38"/>
        <v/>
      </c>
      <c r="K483" s="25"/>
      <c r="L483" s="5" t="str">
        <f t="shared" si="39"/>
        <v/>
      </c>
      <c r="M483" s="7"/>
      <c r="N483" s="7"/>
      <c r="O483" s="7"/>
      <c r="P483" s="20" t="str">
        <f>IF($A483="","",INDEX(Project_Tracker!$I$2:$I$101,INT((ROW()-6)/17)+1))</f>
        <v/>
      </c>
      <c r="Q483" s="20" t="str">
        <f>IF($A483="","",INDEX(Project_Tracker!$K$2:$K$101,INT((ROW()-6)/17)+1))</f>
        <v/>
      </c>
    </row>
    <row r="484" spans="1:17" x14ac:dyDescent="0.2">
      <c r="A484" s="20" t="str">
        <f>IF(INDEX(Project_Tracker!$AL$2:$AL$101,INT((ROW()-6)/17)+1)="","",INDEX(Project_Tracker!$AL$2:$AL$101,INT((ROW()-6)/17)+1))</f>
        <v/>
      </c>
      <c r="B484" s="21" t="str">
        <f>IF($A484="","",INDEX(Project_Tracker!$AM$2:$AM$101,INT((ROW()-6)/17)+1))</f>
        <v/>
      </c>
      <c r="C484" s="20" t="str">
        <f>IF($A484="","",INDEX(Project_Tracker!$C$2:$C$101,INT((ROW()-6)/17)+1))</f>
        <v/>
      </c>
      <c r="D484" s="6" t="str">
        <f>IF($A484="","",INDEX(Project_Tracker!$T$2:$T$101,INT((ROW()-6)/17)+1))</f>
        <v/>
      </c>
      <c r="E484" s="18">
        <f t="shared" si="35"/>
        <v>3</v>
      </c>
      <c r="F484" s="23" t="str">
        <f>IF($A484="","",INDEX('Logic &amp; Lists'!$I$4:$I$20,$E484))</f>
        <v/>
      </c>
      <c r="G484" s="18" t="str">
        <f>IF($A484="","",INDEX('Logic &amp; Lists'!$J$4:$J$20,$E484))</f>
        <v/>
      </c>
      <c r="H484" s="6" t="str">
        <f t="shared" si="36"/>
        <v/>
      </c>
      <c r="I484" s="18" t="str">
        <f t="shared" ca="1" si="37"/>
        <v/>
      </c>
      <c r="J484" s="5" t="str">
        <f t="shared" si="38"/>
        <v/>
      </c>
      <c r="K484" s="25"/>
      <c r="L484" s="5" t="str">
        <f t="shared" si="39"/>
        <v/>
      </c>
      <c r="M484" s="7"/>
      <c r="N484" s="7"/>
      <c r="O484" s="7"/>
      <c r="P484" s="20" t="str">
        <f>IF($A484="","",INDEX(Project_Tracker!$I$2:$I$101,INT((ROW()-6)/17)+1))</f>
        <v/>
      </c>
      <c r="Q484" s="20" t="str">
        <f>IF($A484="","",INDEX(Project_Tracker!$K$2:$K$101,INT((ROW()-6)/17)+1))</f>
        <v/>
      </c>
    </row>
    <row r="485" spans="1:17" x14ac:dyDescent="0.2">
      <c r="A485" s="20" t="str">
        <f>IF(INDEX(Project_Tracker!$AL$2:$AL$101,INT((ROW()-6)/17)+1)="","",INDEX(Project_Tracker!$AL$2:$AL$101,INT((ROW()-6)/17)+1))</f>
        <v/>
      </c>
      <c r="B485" s="21" t="str">
        <f>IF($A485="","",INDEX(Project_Tracker!$AM$2:$AM$101,INT((ROW()-6)/17)+1))</f>
        <v/>
      </c>
      <c r="C485" s="20" t="str">
        <f>IF($A485="","",INDEX(Project_Tracker!$C$2:$C$101,INT((ROW()-6)/17)+1))</f>
        <v/>
      </c>
      <c r="D485" s="6" t="str">
        <f>IF($A485="","",INDEX(Project_Tracker!$T$2:$T$101,INT((ROW()-6)/17)+1))</f>
        <v/>
      </c>
      <c r="E485" s="18">
        <f t="shared" si="35"/>
        <v>4</v>
      </c>
      <c r="F485" s="23" t="str">
        <f>IF($A485="","",INDEX('Logic &amp; Lists'!$I$4:$I$20,$E485))</f>
        <v/>
      </c>
      <c r="G485" s="18" t="str">
        <f>IF($A485="","",INDEX('Logic &amp; Lists'!$J$4:$J$20,$E485))</f>
        <v/>
      </c>
      <c r="H485" s="6" t="str">
        <f t="shared" si="36"/>
        <v/>
      </c>
      <c r="I485" s="18" t="str">
        <f t="shared" ca="1" si="37"/>
        <v/>
      </c>
      <c r="J485" s="5" t="str">
        <f t="shared" si="38"/>
        <v/>
      </c>
      <c r="K485" s="25"/>
      <c r="L485" s="5" t="str">
        <f t="shared" si="39"/>
        <v/>
      </c>
      <c r="M485" s="7"/>
      <c r="N485" s="7"/>
      <c r="O485" s="7"/>
      <c r="P485" s="20" t="str">
        <f>IF($A485="","",INDEX(Project_Tracker!$I$2:$I$101,INT((ROW()-6)/17)+1))</f>
        <v/>
      </c>
      <c r="Q485" s="20" t="str">
        <f>IF($A485="","",INDEX(Project_Tracker!$K$2:$K$101,INT((ROW()-6)/17)+1))</f>
        <v/>
      </c>
    </row>
    <row r="486" spans="1:17" x14ac:dyDescent="0.2">
      <c r="A486" s="20" t="str">
        <f>IF(INDEX(Project_Tracker!$AL$2:$AL$101,INT((ROW()-6)/17)+1)="","",INDEX(Project_Tracker!$AL$2:$AL$101,INT((ROW()-6)/17)+1))</f>
        <v/>
      </c>
      <c r="B486" s="21" t="str">
        <f>IF($A486="","",INDEX(Project_Tracker!$AM$2:$AM$101,INT((ROW()-6)/17)+1))</f>
        <v/>
      </c>
      <c r="C486" s="20" t="str">
        <f>IF($A486="","",INDEX(Project_Tracker!$C$2:$C$101,INT((ROW()-6)/17)+1))</f>
        <v/>
      </c>
      <c r="D486" s="6" t="str">
        <f>IF($A486="","",INDEX(Project_Tracker!$T$2:$T$101,INT((ROW()-6)/17)+1))</f>
        <v/>
      </c>
      <c r="E486" s="18">
        <f t="shared" si="35"/>
        <v>5</v>
      </c>
      <c r="F486" s="23" t="str">
        <f>IF($A486="","",INDEX('Logic &amp; Lists'!$I$4:$I$20,$E486))</f>
        <v/>
      </c>
      <c r="G486" s="18" t="str">
        <f>IF($A486="","",INDEX('Logic &amp; Lists'!$J$4:$J$20,$E486))</f>
        <v/>
      </c>
      <c r="H486" s="6" t="str">
        <f t="shared" si="36"/>
        <v/>
      </c>
      <c r="I486" s="18" t="str">
        <f t="shared" ca="1" si="37"/>
        <v/>
      </c>
      <c r="J486" s="5" t="str">
        <f t="shared" si="38"/>
        <v/>
      </c>
      <c r="K486" s="25"/>
      <c r="L486" s="5" t="str">
        <f t="shared" si="39"/>
        <v/>
      </c>
      <c r="M486" s="7"/>
      <c r="N486" s="7"/>
      <c r="O486" s="7"/>
      <c r="P486" s="20" t="str">
        <f>IF($A486="","",INDEX(Project_Tracker!$I$2:$I$101,INT((ROW()-6)/17)+1))</f>
        <v/>
      </c>
      <c r="Q486" s="20" t="str">
        <f>IF($A486="","",INDEX(Project_Tracker!$K$2:$K$101,INT((ROW()-6)/17)+1))</f>
        <v/>
      </c>
    </row>
    <row r="487" spans="1:17" x14ac:dyDescent="0.2">
      <c r="A487" s="20" t="str">
        <f>IF(INDEX(Project_Tracker!$AL$2:$AL$101,INT((ROW()-6)/17)+1)="","",INDEX(Project_Tracker!$AL$2:$AL$101,INT((ROW()-6)/17)+1))</f>
        <v/>
      </c>
      <c r="B487" s="21" t="str">
        <f>IF($A487="","",INDEX(Project_Tracker!$AM$2:$AM$101,INT((ROW()-6)/17)+1))</f>
        <v/>
      </c>
      <c r="C487" s="20" t="str">
        <f>IF($A487="","",INDEX(Project_Tracker!$C$2:$C$101,INT((ROW()-6)/17)+1))</f>
        <v/>
      </c>
      <c r="D487" s="6" t="str">
        <f>IF($A487="","",INDEX(Project_Tracker!$T$2:$T$101,INT((ROW()-6)/17)+1))</f>
        <v/>
      </c>
      <c r="E487" s="18">
        <f t="shared" si="35"/>
        <v>6</v>
      </c>
      <c r="F487" s="23" t="str">
        <f>IF($A487="","",INDEX('Logic &amp; Lists'!$I$4:$I$20,$E487))</f>
        <v/>
      </c>
      <c r="G487" s="18" t="str">
        <f>IF($A487="","",INDEX('Logic &amp; Lists'!$J$4:$J$20,$E487))</f>
        <v/>
      </c>
      <c r="H487" s="6" t="str">
        <f t="shared" si="36"/>
        <v/>
      </c>
      <c r="I487" s="18" t="str">
        <f t="shared" ca="1" si="37"/>
        <v/>
      </c>
      <c r="J487" s="5" t="str">
        <f t="shared" si="38"/>
        <v/>
      </c>
      <c r="K487" s="25"/>
      <c r="L487" s="5" t="str">
        <f t="shared" si="39"/>
        <v/>
      </c>
      <c r="M487" s="7"/>
      <c r="N487" s="7"/>
      <c r="O487" s="7"/>
      <c r="P487" s="20" t="str">
        <f>IF($A487="","",INDEX(Project_Tracker!$I$2:$I$101,INT((ROW()-6)/17)+1))</f>
        <v/>
      </c>
      <c r="Q487" s="20" t="str">
        <f>IF($A487="","",INDEX(Project_Tracker!$K$2:$K$101,INT((ROW()-6)/17)+1))</f>
        <v/>
      </c>
    </row>
    <row r="488" spans="1:17" x14ac:dyDescent="0.2">
      <c r="A488" s="20" t="str">
        <f>IF(INDEX(Project_Tracker!$AL$2:$AL$101,INT((ROW()-6)/17)+1)="","",INDEX(Project_Tracker!$AL$2:$AL$101,INT((ROW()-6)/17)+1))</f>
        <v/>
      </c>
      <c r="B488" s="21" t="str">
        <f>IF($A488="","",INDEX(Project_Tracker!$AM$2:$AM$101,INT((ROW()-6)/17)+1))</f>
        <v/>
      </c>
      <c r="C488" s="20" t="str">
        <f>IF($A488="","",INDEX(Project_Tracker!$C$2:$C$101,INT((ROW()-6)/17)+1))</f>
        <v/>
      </c>
      <c r="D488" s="6" t="str">
        <f>IF($A488="","",INDEX(Project_Tracker!$T$2:$T$101,INT((ROW()-6)/17)+1))</f>
        <v/>
      </c>
      <c r="E488" s="18">
        <f t="shared" si="35"/>
        <v>7</v>
      </c>
      <c r="F488" s="23" t="str">
        <f>IF($A488="","",INDEX('Logic &amp; Lists'!$I$4:$I$20,$E488))</f>
        <v/>
      </c>
      <c r="G488" s="18" t="str">
        <f>IF($A488="","",INDEX('Logic &amp; Lists'!$J$4:$J$20,$E488))</f>
        <v/>
      </c>
      <c r="H488" s="6" t="str">
        <f t="shared" si="36"/>
        <v/>
      </c>
      <c r="I488" s="18" t="str">
        <f t="shared" ca="1" si="37"/>
        <v/>
      </c>
      <c r="J488" s="5" t="str">
        <f t="shared" si="38"/>
        <v/>
      </c>
      <c r="K488" s="25"/>
      <c r="L488" s="5" t="str">
        <f t="shared" si="39"/>
        <v/>
      </c>
      <c r="M488" s="7"/>
      <c r="N488" s="7"/>
      <c r="O488" s="7"/>
      <c r="P488" s="20" t="str">
        <f>IF($A488="","",INDEX(Project_Tracker!$I$2:$I$101,INT((ROW()-6)/17)+1))</f>
        <v/>
      </c>
      <c r="Q488" s="20" t="str">
        <f>IF($A488="","",INDEX(Project_Tracker!$K$2:$K$101,INT((ROW()-6)/17)+1))</f>
        <v/>
      </c>
    </row>
    <row r="489" spans="1:17" x14ac:dyDescent="0.2">
      <c r="A489" s="20" t="str">
        <f>IF(INDEX(Project_Tracker!$AL$2:$AL$101,INT((ROW()-6)/17)+1)="","",INDEX(Project_Tracker!$AL$2:$AL$101,INT((ROW()-6)/17)+1))</f>
        <v/>
      </c>
      <c r="B489" s="21" t="str">
        <f>IF($A489="","",INDEX(Project_Tracker!$AM$2:$AM$101,INT((ROW()-6)/17)+1))</f>
        <v/>
      </c>
      <c r="C489" s="20" t="str">
        <f>IF($A489="","",INDEX(Project_Tracker!$C$2:$C$101,INT((ROW()-6)/17)+1))</f>
        <v/>
      </c>
      <c r="D489" s="6" t="str">
        <f>IF($A489="","",INDEX(Project_Tracker!$T$2:$T$101,INT((ROW()-6)/17)+1))</f>
        <v/>
      </c>
      <c r="E489" s="18">
        <f t="shared" si="35"/>
        <v>8</v>
      </c>
      <c r="F489" s="23" t="str">
        <f>IF($A489="","",INDEX('Logic &amp; Lists'!$I$4:$I$20,$E489))</f>
        <v/>
      </c>
      <c r="G489" s="18" t="str">
        <f>IF($A489="","",INDEX('Logic &amp; Lists'!$J$4:$J$20,$E489))</f>
        <v/>
      </c>
      <c r="H489" s="6" t="str">
        <f t="shared" si="36"/>
        <v/>
      </c>
      <c r="I489" s="18" t="str">
        <f t="shared" ca="1" si="37"/>
        <v/>
      </c>
      <c r="J489" s="5" t="str">
        <f t="shared" si="38"/>
        <v/>
      </c>
      <c r="K489" s="25"/>
      <c r="L489" s="5" t="str">
        <f t="shared" si="39"/>
        <v/>
      </c>
      <c r="M489" s="7"/>
      <c r="N489" s="7"/>
      <c r="O489" s="7"/>
      <c r="P489" s="20" t="str">
        <f>IF($A489="","",INDEX(Project_Tracker!$I$2:$I$101,INT((ROW()-6)/17)+1))</f>
        <v/>
      </c>
      <c r="Q489" s="20" t="str">
        <f>IF($A489="","",INDEX(Project_Tracker!$K$2:$K$101,INT((ROW()-6)/17)+1))</f>
        <v/>
      </c>
    </row>
    <row r="490" spans="1:17" x14ac:dyDescent="0.2">
      <c r="A490" s="20" t="str">
        <f>IF(INDEX(Project_Tracker!$AL$2:$AL$101,INT((ROW()-6)/17)+1)="","",INDEX(Project_Tracker!$AL$2:$AL$101,INT((ROW()-6)/17)+1))</f>
        <v/>
      </c>
      <c r="B490" s="21" t="str">
        <f>IF($A490="","",INDEX(Project_Tracker!$AM$2:$AM$101,INT((ROW()-6)/17)+1))</f>
        <v/>
      </c>
      <c r="C490" s="20" t="str">
        <f>IF($A490="","",INDEX(Project_Tracker!$C$2:$C$101,INT((ROW()-6)/17)+1))</f>
        <v/>
      </c>
      <c r="D490" s="6" t="str">
        <f>IF($A490="","",INDEX(Project_Tracker!$T$2:$T$101,INT((ROW()-6)/17)+1))</f>
        <v/>
      </c>
      <c r="E490" s="18">
        <f t="shared" si="35"/>
        <v>9</v>
      </c>
      <c r="F490" s="23" t="str">
        <f>IF($A490="","",INDEX('Logic &amp; Lists'!$I$4:$I$20,$E490))</f>
        <v/>
      </c>
      <c r="G490" s="18" t="str">
        <f>IF($A490="","",INDEX('Logic &amp; Lists'!$J$4:$J$20,$E490))</f>
        <v/>
      </c>
      <c r="H490" s="6" t="str">
        <f t="shared" si="36"/>
        <v/>
      </c>
      <c r="I490" s="18" t="str">
        <f t="shared" ca="1" si="37"/>
        <v/>
      </c>
      <c r="J490" s="5" t="str">
        <f t="shared" si="38"/>
        <v/>
      </c>
      <c r="K490" s="25"/>
      <c r="L490" s="5" t="str">
        <f t="shared" si="39"/>
        <v/>
      </c>
      <c r="M490" s="7"/>
      <c r="N490" s="7"/>
      <c r="O490" s="7"/>
      <c r="P490" s="20" t="str">
        <f>IF($A490="","",INDEX(Project_Tracker!$I$2:$I$101,INT((ROW()-6)/17)+1))</f>
        <v/>
      </c>
      <c r="Q490" s="20" t="str">
        <f>IF($A490="","",INDEX(Project_Tracker!$K$2:$K$101,INT((ROW()-6)/17)+1))</f>
        <v/>
      </c>
    </row>
    <row r="491" spans="1:17" x14ac:dyDescent="0.2">
      <c r="A491" s="20" t="str">
        <f>IF(INDEX(Project_Tracker!$AL$2:$AL$101,INT((ROW()-6)/17)+1)="","",INDEX(Project_Tracker!$AL$2:$AL$101,INT((ROW()-6)/17)+1))</f>
        <v/>
      </c>
      <c r="B491" s="21" t="str">
        <f>IF($A491="","",INDEX(Project_Tracker!$AM$2:$AM$101,INT((ROW()-6)/17)+1))</f>
        <v/>
      </c>
      <c r="C491" s="20" t="str">
        <f>IF($A491="","",INDEX(Project_Tracker!$C$2:$C$101,INT((ROW()-6)/17)+1))</f>
        <v/>
      </c>
      <c r="D491" s="6" t="str">
        <f>IF($A491="","",INDEX(Project_Tracker!$T$2:$T$101,INT((ROW()-6)/17)+1))</f>
        <v/>
      </c>
      <c r="E491" s="18">
        <f t="shared" si="35"/>
        <v>10</v>
      </c>
      <c r="F491" s="23" t="str">
        <f>IF($A491="","",INDEX('Logic &amp; Lists'!$I$4:$I$20,$E491))</f>
        <v/>
      </c>
      <c r="G491" s="18" t="str">
        <f>IF($A491="","",INDEX('Logic &amp; Lists'!$J$4:$J$20,$E491))</f>
        <v/>
      </c>
      <c r="H491" s="6" t="str">
        <f t="shared" si="36"/>
        <v/>
      </c>
      <c r="I491" s="18" t="str">
        <f t="shared" ca="1" si="37"/>
        <v/>
      </c>
      <c r="J491" s="5" t="str">
        <f t="shared" si="38"/>
        <v/>
      </c>
      <c r="K491" s="25"/>
      <c r="L491" s="5" t="str">
        <f t="shared" si="39"/>
        <v/>
      </c>
      <c r="M491" s="7"/>
      <c r="N491" s="7"/>
      <c r="O491" s="7"/>
      <c r="P491" s="20" t="str">
        <f>IF($A491="","",INDEX(Project_Tracker!$I$2:$I$101,INT((ROW()-6)/17)+1))</f>
        <v/>
      </c>
      <c r="Q491" s="20" t="str">
        <f>IF($A491="","",INDEX(Project_Tracker!$K$2:$K$101,INT((ROW()-6)/17)+1))</f>
        <v/>
      </c>
    </row>
    <row r="492" spans="1:17" x14ac:dyDescent="0.2">
      <c r="A492" s="20" t="str">
        <f>IF(INDEX(Project_Tracker!$AL$2:$AL$101,INT((ROW()-6)/17)+1)="","",INDEX(Project_Tracker!$AL$2:$AL$101,INT((ROW()-6)/17)+1))</f>
        <v/>
      </c>
      <c r="B492" s="21" t="str">
        <f>IF($A492="","",INDEX(Project_Tracker!$AM$2:$AM$101,INT((ROW()-6)/17)+1))</f>
        <v/>
      </c>
      <c r="C492" s="20" t="str">
        <f>IF($A492="","",INDEX(Project_Tracker!$C$2:$C$101,INT((ROW()-6)/17)+1))</f>
        <v/>
      </c>
      <c r="D492" s="6" t="str">
        <f>IF($A492="","",INDEX(Project_Tracker!$T$2:$T$101,INT((ROW()-6)/17)+1))</f>
        <v/>
      </c>
      <c r="E492" s="18">
        <f t="shared" si="35"/>
        <v>11</v>
      </c>
      <c r="F492" s="23" t="str">
        <f>IF($A492="","",INDEX('Logic &amp; Lists'!$I$4:$I$20,$E492))</f>
        <v/>
      </c>
      <c r="G492" s="18" t="str">
        <f>IF($A492="","",INDEX('Logic &amp; Lists'!$J$4:$J$20,$E492))</f>
        <v/>
      </c>
      <c r="H492" s="6" t="str">
        <f t="shared" si="36"/>
        <v/>
      </c>
      <c r="I492" s="18" t="str">
        <f t="shared" ca="1" si="37"/>
        <v/>
      </c>
      <c r="J492" s="5" t="str">
        <f t="shared" si="38"/>
        <v/>
      </c>
      <c r="K492" s="25"/>
      <c r="L492" s="5" t="str">
        <f t="shared" si="39"/>
        <v/>
      </c>
      <c r="M492" s="7"/>
      <c r="N492" s="7"/>
      <c r="O492" s="7"/>
      <c r="P492" s="20" t="str">
        <f>IF($A492="","",INDEX(Project_Tracker!$I$2:$I$101,INT((ROW()-6)/17)+1))</f>
        <v/>
      </c>
      <c r="Q492" s="20" t="str">
        <f>IF($A492="","",INDEX(Project_Tracker!$K$2:$K$101,INT((ROW()-6)/17)+1))</f>
        <v/>
      </c>
    </row>
    <row r="493" spans="1:17" x14ac:dyDescent="0.2">
      <c r="A493" s="20" t="str">
        <f>IF(INDEX(Project_Tracker!$AL$2:$AL$101,INT((ROW()-6)/17)+1)="","",INDEX(Project_Tracker!$AL$2:$AL$101,INT((ROW()-6)/17)+1))</f>
        <v/>
      </c>
      <c r="B493" s="21" t="str">
        <f>IF($A493="","",INDEX(Project_Tracker!$AM$2:$AM$101,INT((ROW()-6)/17)+1))</f>
        <v/>
      </c>
      <c r="C493" s="20" t="str">
        <f>IF($A493="","",INDEX(Project_Tracker!$C$2:$C$101,INT((ROW()-6)/17)+1))</f>
        <v/>
      </c>
      <c r="D493" s="6" t="str">
        <f>IF($A493="","",INDEX(Project_Tracker!$T$2:$T$101,INT((ROW()-6)/17)+1))</f>
        <v/>
      </c>
      <c r="E493" s="18">
        <f t="shared" si="35"/>
        <v>12</v>
      </c>
      <c r="F493" s="23" t="str">
        <f>IF($A493="","",INDEX('Logic &amp; Lists'!$I$4:$I$20,$E493))</f>
        <v/>
      </c>
      <c r="G493" s="18" t="str">
        <f>IF($A493="","",INDEX('Logic &amp; Lists'!$J$4:$J$20,$E493))</f>
        <v/>
      </c>
      <c r="H493" s="6" t="str">
        <f t="shared" si="36"/>
        <v/>
      </c>
      <c r="I493" s="18" t="str">
        <f t="shared" ca="1" si="37"/>
        <v/>
      </c>
      <c r="J493" s="5" t="str">
        <f t="shared" si="38"/>
        <v/>
      </c>
      <c r="K493" s="25"/>
      <c r="L493" s="5" t="str">
        <f t="shared" si="39"/>
        <v/>
      </c>
      <c r="M493" s="7"/>
      <c r="N493" s="7"/>
      <c r="O493" s="7"/>
      <c r="P493" s="20" t="str">
        <f>IF($A493="","",INDEX(Project_Tracker!$I$2:$I$101,INT((ROW()-6)/17)+1))</f>
        <v/>
      </c>
      <c r="Q493" s="20" t="str">
        <f>IF($A493="","",INDEX(Project_Tracker!$K$2:$K$101,INT((ROW()-6)/17)+1))</f>
        <v/>
      </c>
    </row>
    <row r="494" spans="1:17" x14ac:dyDescent="0.2">
      <c r="A494" s="20" t="str">
        <f>IF(INDEX(Project_Tracker!$AL$2:$AL$101,INT((ROW()-6)/17)+1)="","",INDEX(Project_Tracker!$AL$2:$AL$101,INT((ROW()-6)/17)+1))</f>
        <v/>
      </c>
      <c r="B494" s="21" t="str">
        <f>IF($A494="","",INDEX(Project_Tracker!$AM$2:$AM$101,INT((ROW()-6)/17)+1))</f>
        <v/>
      </c>
      <c r="C494" s="20" t="str">
        <f>IF($A494="","",INDEX(Project_Tracker!$C$2:$C$101,INT((ROW()-6)/17)+1))</f>
        <v/>
      </c>
      <c r="D494" s="6" t="str">
        <f>IF($A494="","",INDEX(Project_Tracker!$T$2:$T$101,INT((ROW()-6)/17)+1))</f>
        <v/>
      </c>
      <c r="E494" s="18">
        <f t="shared" si="35"/>
        <v>13</v>
      </c>
      <c r="F494" s="23" t="str">
        <f>IF($A494="","",INDEX('Logic &amp; Lists'!$I$4:$I$20,$E494))</f>
        <v/>
      </c>
      <c r="G494" s="18" t="str">
        <f>IF($A494="","",INDEX('Logic &amp; Lists'!$J$4:$J$20,$E494))</f>
        <v/>
      </c>
      <c r="H494" s="6" t="str">
        <f t="shared" si="36"/>
        <v/>
      </c>
      <c r="I494" s="18" t="str">
        <f t="shared" ca="1" si="37"/>
        <v/>
      </c>
      <c r="J494" s="5" t="str">
        <f t="shared" si="38"/>
        <v/>
      </c>
      <c r="K494" s="25"/>
      <c r="L494" s="5" t="str">
        <f t="shared" si="39"/>
        <v/>
      </c>
      <c r="M494" s="7"/>
      <c r="N494" s="7"/>
      <c r="O494" s="7"/>
      <c r="P494" s="20" t="str">
        <f>IF($A494="","",INDEX(Project_Tracker!$I$2:$I$101,INT((ROW()-6)/17)+1))</f>
        <v/>
      </c>
      <c r="Q494" s="20" t="str">
        <f>IF($A494="","",INDEX(Project_Tracker!$K$2:$K$101,INT((ROW()-6)/17)+1))</f>
        <v/>
      </c>
    </row>
    <row r="495" spans="1:17" x14ac:dyDescent="0.2">
      <c r="A495" s="20" t="str">
        <f>IF(INDEX(Project_Tracker!$AL$2:$AL$101,INT((ROW()-6)/17)+1)="","",INDEX(Project_Tracker!$AL$2:$AL$101,INT((ROW()-6)/17)+1))</f>
        <v/>
      </c>
      <c r="B495" s="21" t="str">
        <f>IF($A495="","",INDEX(Project_Tracker!$AM$2:$AM$101,INT((ROW()-6)/17)+1))</f>
        <v/>
      </c>
      <c r="C495" s="20" t="str">
        <f>IF($A495="","",INDEX(Project_Tracker!$C$2:$C$101,INT((ROW()-6)/17)+1))</f>
        <v/>
      </c>
      <c r="D495" s="6" t="str">
        <f>IF($A495="","",INDEX(Project_Tracker!$T$2:$T$101,INT((ROW()-6)/17)+1))</f>
        <v/>
      </c>
      <c r="E495" s="18">
        <f t="shared" si="35"/>
        <v>14</v>
      </c>
      <c r="F495" s="23" t="str">
        <f>IF($A495="","",INDEX('Logic &amp; Lists'!$I$4:$I$20,$E495))</f>
        <v/>
      </c>
      <c r="G495" s="18" t="str">
        <f>IF($A495="","",INDEX('Logic &amp; Lists'!$J$4:$J$20,$E495))</f>
        <v/>
      </c>
      <c r="H495" s="6" t="str">
        <f t="shared" si="36"/>
        <v/>
      </c>
      <c r="I495" s="18" t="str">
        <f t="shared" ca="1" si="37"/>
        <v/>
      </c>
      <c r="J495" s="5" t="str">
        <f t="shared" si="38"/>
        <v/>
      </c>
      <c r="K495" s="25"/>
      <c r="L495" s="5" t="str">
        <f t="shared" si="39"/>
        <v/>
      </c>
      <c r="M495" s="7"/>
      <c r="N495" s="7"/>
      <c r="O495" s="7"/>
      <c r="P495" s="20" t="str">
        <f>IF($A495="","",INDEX(Project_Tracker!$I$2:$I$101,INT((ROW()-6)/17)+1))</f>
        <v/>
      </c>
      <c r="Q495" s="20" t="str">
        <f>IF($A495="","",INDEX(Project_Tracker!$K$2:$K$101,INT((ROW()-6)/17)+1))</f>
        <v/>
      </c>
    </row>
    <row r="496" spans="1:17" x14ac:dyDescent="0.2">
      <c r="A496" s="20" t="str">
        <f>IF(INDEX(Project_Tracker!$AL$2:$AL$101,INT((ROW()-6)/17)+1)="","",INDEX(Project_Tracker!$AL$2:$AL$101,INT((ROW()-6)/17)+1))</f>
        <v/>
      </c>
      <c r="B496" s="21" t="str">
        <f>IF($A496="","",INDEX(Project_Tracker!$AM$2:$AM$101,INT((ROW()-6)/17)+1))</f>
        <v/>
      </c>
      <c r="C496" s="20" t="str">
        <f>IF($A496="","",INDEX(Project_Tracker!$C$2:$C$101,INT((ROW()-6)/17)+1))</f>
        <v/>
      </c>
      <c r="D496" s="6" t="str">
        <f>IF($A496="","",INDEX(Project_Tracker!$T$2:$T$101,INT((ROW()-6)/17)+1))</f>
        <v/>
      </c>
      <c r="E496" s="18">
        <f t="shared" si="35"/>
        <v>15</v>
      </c>
      <c r="F496" s="23" t="str">
        <f>IF($A496="","",INDEX('Logic &amp; Lists'!$I$4:$I$20,$E496))</f>
        <v/>
      </c>
      <c r="G496" s="18" t="str">
        <f>IF($A496="","",INDEX('Logic &amp; Lists'!$J$4:$J$20,$E496))</f>
        <v/>
      </c>
      <c r="H496" s="6" t="str">
        <f t="shared" si="36"/>
        <v/>
      </c>
      <c r="I496" s="18" t="str">
        <f t="shared" ca="1" si="37"/>
        <v/>
      </c>
      <c r="J496" s="5" t="str">
        <f t="shared" si="38"/>
        <v/>
      </c>
      <c r="K496" s="25"/>
      <c r="L496" s="5" t="str">
        <f t="shared" si="39"/>
        <v/>
      </c>
      <c r="M496" s="7"/>
      <c r="N496" s="7"/>
      <c r="O496" s="7"/>
      <c r="P496" s="20" t="str">
        <f>IF($A496="","",INDEX(Project_Tracker!$I$2:$I$101,INT((ROW()-6)/17)+1))</f>
        <v/>
      </c>
      <c r="Q496" s="20" t="str">
        <f>IF($A496="","",INDEX(Project_Tracker!$K$2:$K$101,INT((ROW()-6)/17)+1))</f>
        <v/>
      </c>
    </row>
    <row r="497" spans="1:17" x14ac:dyDescent="0.2">
      <c r="A497" s="20" t="str">
        <f>IF(INDEX(Project_Tracker!$AL$2:$AL$101,INT((ROW()-6)/17)+1)="","",INDEX(Project_Tracker!$AL$2:$AL$101,INT((ROW()-6)/17)+1))</f>
        <v/>
      </c>
      <c r="B497" s="21" t="str">
        <f>IF($A497="","",INDEX(Project_Tracker!$AM$2:$AM$101,INT((ROW()-6)/17)+1))</f>
        <v/>
      </c>
      <c r="C497" s="20" t="str">
        <f>IF($A497="","",INDEX(Project_Tracker!$C$2:$C$101,INT((ROW()-6)/17)+1))</f>
        <v/>
      </c>
      <c r="D497" s="6" t="str">
        <f>IF($A497="","",INDEX(Project_Tracker!$T$2:$T$101,INT((ROW()-6)/17)+1))</f>
        <v/>
      </c>
      <c r="E497" s="18">
        <f t="shared" si="35"/>
        <v>16</v>
      </c>
      <c r="F497" s="23" t="str">
        <f>IF($A497="","",INDEX('Logic &amp; Lists'!$I$4:$I$20,$E497))</f>
        <v/>
      </c>
      <c r="G497" s="18" t="str">
        <f>IF($A497="","",INDEX('Logic &amp; Lists'!$J$4:$J$20,$E497))</f>
        <v/>
      </c>
      <c r="H497" s="6" t="str">
        <f t="shared" si="36"/>
        <v/>
      </c>
      <c r="I497" s="18" t="str">
        <f t="shared" ca="1" si="37"/>
        <v/>
      </c>
      <c r="J497" s="5" t="str">
        <f t="shared" si="38"/>
        <v/>
      </c>
      <c r="K497" s="25"/>
      <c r="L497" s="5" t="str">
        <f t="shared" si="39"/>
        <v/>
      </c>
      <c r="M497" s="7"/>
      <c r="N497" s="7"/>
      <c r="O497" s="7"/>
      <c r="P497" s="20" t="str">
        <f>IF($A497="","",INDEX(Project_Tracker!$I$2:$I$101,INT((ROW()-6)/17)+1))</f>
        <v/>
      </c>
      <c r="Q497" s="20" t="str">
        <f>IF($A497="","",INDEX(Project_Tracker!$K$2:$K$101,INT((ROW()-6)/17)+1))</f>
        <v/>
      </c>
    </row>
    <row r="498" spans="1:17" x14ac:dyDescent="0.2">
      <c r="A498" s="20" t="str">
        <f>IF(INDEX(Project_Tracker!$AL$2:$AL$101,INT((ROW()-6)/17)+1)="","",INDEX(Project_Tracker!$AL$2:$AL$101,INT((ROW()-6)/17)+1))</f>
        <v/>
      </c>
      <c r="B498" s="21" t="str">
        <f>IF($A498="","",INDEX(Project_Tracker!$AM$2:$AM$101,INT((ROW()-6)/17)+1))</f>
        <v/>
      </c>
      <c r="C498" s="20" t="str">
        <f>IF($A498="","",INDEX(Project_Tracker!$C$2:$C$101,INT((ROW()-6)/17)+1))</f>
        <v/>
      </c>
      <c r="D498" s="6" t="str">
        <f>IF($A498="","",INDEX(Project_Tracker!$T$2:$T$101,INT((ROW()-6)/17)+1))</f>
        <v/>
      </c>
      <c r="E498" s="18">
        <f t="shared" si="35"/>
        <v>17</v>
      </c>
      <c r="F498" s="23" t="str">
        <f>IF($A498="","",INDEX('Logic &amp; Lists'!$I$4:$I$20,$E498))</f>
        <v/>
      </c>
      <c r="G498" s="18" t="str">
        <f>IF($A498="","",INDEX('Logic &amp; Lists'!$J$4:$J$20,$E498))</f>
        <v/>
      </c>
      <c r="H498" s="6" t="str">
        <f t="shared" si="36"/>
        <v/>
      </c>
      <c r="I498" s="18" t="str">
        <f t="shared" ca="1" si="37"/>
        <v/>
      </c>
      <c r="J498" s="5" t="str">
        <f t="shared" si="38"/>
        <v/>
      </c>
      <c r="K498" s="25"/>
      <c r="L498" s="5" t="str">
        <f t="shared" si="39"/>
        <v/>
      </c>
      <c r="M498" s="7"/>
      <c r="N498" s="7"/>
      <c r="O498" s="7"/>
      <c r="P498" s="20" t="str">
        <f>IF($A498="","",INDEX(Project_Tracker!$I$2:$I$101,INT((ROW()-6)/17)+1))</f>
        <v/>
      </c>
      <c r="Q498" s="20" t="str">
        <f>IF($A498="","",INDEX(Project_Tracker!$K$2:$K$101,INT((ROW()-6)/17)+1))</f>
        <v/>
      </c>
    </row>
    <row r="499" spans="1:17" x14ac:dyDescent="0.2">
      <c r="A499" s="20" t="str">
        <f>IF(INDEX(Project_Tracker!$AL$2:$AL$101,INT((ROW()-6)/17)+1)="","",INDEX(Project_Tracker!$AL$2:$AL$101,INT((ROW()-6)/17)+1))</f>
        <v/>
      </c>
      <c r="B499" s="21" t="str">
        <f>IF($A499="","",INDEX(Project_Tracker!$AM$2:$AM$101,INT((ROW()-6)/17)+1))</f>
        <v/>
      </c>
      <c r="C499" s="20" t="str">
        <f>IF($A499="","",INDEX(Project_Tracker!$C$2:$C$101,INT((ROW()-6)/17)+1))</f>
        <v/>
      </c>
      <c r="D499" s="6" t="str">
        <f>IF($A499="","",INDEX(Project_Tracker!$T$2:$T$101,INT((ROW()-6)/17)+1))</f>
        <v/>
      </c>
      <c r="E499" s="18">
        <f t="shared" si="35"/>
        <v>1</v>
      </c>
      <c r="F499" s="23" t="str">
        <f>IF($A499="","",INDEX('Logic &amp; Lists'!$I$4:$I$20,$E499))</f>
        <v/>
      </c>
      <c r="G499" s="18" t="str">
        <f>IF($A499="","",INDEX('Logic &amp; Lists'!$J$4:$J$20,$E499))</f>
        <v/>
      </c>
      <c r="H499" s="6" t="str">
        <f t="shared" si="36"/>
        <v/>
      </c>
      <c r="I499" s="18" t="str">
        <f t="shared" ca="1" si="37"/>
        <v/>
      </c>
      <c r="J499" s="5" t="str">
        <f t="shared" si="38"/>
        <v/>
      </c>
      <c r="K499" s="25"/>
      <c r="L499" s="5" t="str">
        <f t="shared" si="39"/>
        <v/>
      </c>
      <c r="M499" s="7"/>
      <c r="N499" s="7"/>
      <c r="O499" s="7"/>
      <c r="P499" s="20" t="str">
        <f>IF($A499="","",INDEX(Project_Tracker!$I$2:$I$101,INT((ROW()-6)/17)+1))</f>
        <v/>
      </c>
      <c r="Q499" s="20" t="str">
        <f>IF($A499="","",INDEX(Project_Tracker!$K$2:$K$101,INT((ROW()-6)/17)+1))</f>
        <v/>
      </c>
    </row>
    <row r="500" spans="1:17" x14ac:dyDescent="0.2">
      <c r="A500" s="20" t="str">
        <f>IF(INDEX(Project_Tracker!$AL$2:$AL$101,INT((ROW()-6)/17)+1)="","",INDEX(Project_Tracker!$AL$2:$AL$101,INT((ROW()-6)/17)+1))</f>
        <v/>
      </c>
      <c r="B500" s="21" t="str">
        <f>IF($A500="","",INDEX(Project_Tracker!$AM$2:$AM$101,INT((ROW()-6)/17)+1))</f>
        <v/>
      </c>
      <c r="C500" s="20" t="str">
        <f>IF($A500="","",INDEX(Project_Tracker!$C$2:$C$101,INT((ROW()-6)/17)+1))</f>
        <v/>
      </c>
      <c r="D500" s="6" t="str">
        <f>IF($A500="","",INDEX(Project_Tracker!$T$2:$T$101,INT((ROW()-6)/17)+1))</f>
        <v/>
      </c>
      <c r="E500" s="18">
        <f t="shared" si="35"/>
        <v>2</v>
      </c>
      <c r="F500" s="23" t="str">
        <f>IF($A500="","",INDEX('Logic &amp; Lists'!$I$4:$I$20,$E500))</f>
        <v/>
      </c>
      <c r="G500" s="18" t="str">
        <f>IF($A500="","",INDEX('Logic &amp; Lists'!$J$4:$J$20,$E500))</f>
        <v/>
      </c>
      <c r="H500" s="6" t="str">
        <f t="shared" si="36"/>
        <v/>
      </c>
      <c r="I500" s="18" t="str">
        <f t="shared" ca="1" si="37"/>
        <v/>
      </c>
      <c r="J500" s="5" t="str">
        <f t="shared" si="38"/>
        <v/>
      </c>
      <c r="K500" s="25"/>
      <c r="L500" s="5" t="str">
        <f t="shared" si="39"/>
        <v/>
      </c>
      <c r="M500" s="7"/>
      <c r="N500" s="7"/>
      <c r="O500" s="7"/>
      <c r="P500" s="20" t="str">
        <f>IF($A500="","",INDEX(Project_Tracker!$I$2:$I$101,INT((ROW()-6)/17)+1))</f>
        <v/>
      </c>
      <c r="Q500" s="20" t="str">
        <f>IF($A500="","",INDEX(Project_Tracker!$K$2:$K$101,INT((ROW()-6)/17)+1))</f>
        <v/>
      </c>
    </row>
    <row r="501" spans="1:17" x14ac:dyDescent="0.2">
      <c r="A501" s="20" t="str">
        <f>IF(INDEX(Project_Tracker!$AL$2:$AL$101,INT((ROW()-6)/17)+1)="","",INDEX(Project_Tracker!$AL$2:$AL$101,INT((ROW()-6)/17)+1))</f>
        <v/>
      </c>
      <c r="B501" s="21" t="str">
        <f>IF($A501="","",INDEX(Project_Tracker!$AM$2:$AM$101,INT((ROW()-6)/17)+1))</f>
        <v/>
      </c>
      <c r="C501" s="20" t="str">
        <f>IF($A501="","",INDEX(Project_Tracker!$C$2:$C$101,INT((ROW()-6)/17)+1))</f>
        <v/>
      </c>
      <c r="D501" s="6" t="str">
        <f>IF($A501="","",INDEX(Project_Tracker!$T$2:$T$101,INT((ROW()-6)/17)+1))</f>
        <v/>
      </c>
      <c r="E501" s="18">
        <f t="shared" si="35"/>
        <v>3</v>
      </c>
      <c r="F501" s="23" t="str">
        <f>IF($A501="","",INDEX('Logic &amp; Lists'!$I$4:$I$20,$E501))</f>
        <v/>
      </c>
      <c r="G501" s="18" t="str">
        <f>IF($A501="","",INDEX('Logic &amp; Lists'!$J$4:$J$20,$E501))</f>
        <v/>
      </c>
      <c r="H501" s="6" t="str">
        <f t="shared" si="36"/>
        <v/>
      </c>
      <c r="I501" s="18" t="str">
        <f t="shared" ca="1" si="37"/>
        <v/>
      </c>
      <c r="J501" s="5" t="str">
        <f t="shared" si="38"/>
        <v/>
      </c>
      <c r="K501" s="25"/>
      <c r="L501" s="5" t="str">
        <f t="shared" si="39"/>
        <v/>
      </c>
      <c r="M501" s="7"/>
      <c r="N501" s="7"/>
      <c r="O501" s="7"/>
      <c r="P501" s="20" t="str">
        <f>IF($A501="","",INDEX(Project_Tracker!$I$2:$I$101,INT((ROW()-6)/17)+1))</f>
        <v/>
      </c>
      <c r="Q501" s="20" t="str">
        <f>IF($A501="","",INDEX(Project_Tracker!$K$2:$K$101,INT((ROW()-6)/17)+1))</f>
        <v/>
      </c>
    </row>
    <row r="502" spans="1:17" x14ac:dyDescent="0.2">
      <c r="A502" s="20" t="str">
        <f>IF(INDEX(Project_Tracker!$AL$2:$AL$101,INT((ROW()-6)/17)+1)="","",INDEX(Project_Tracker!$AL$2:$AL$101,INT((ROW()-6)/17)+1))</f>
        <v/>
      </c>
      <c r="B502" s="21" t="str">
        <f>IF($A502="","",INDEX(Project_Tracker!$AM$2:$AM$101,INT((ROW()-6)/17)+1))</f>
        <v/>
      </c>
      <c r="C502" s="20" t="str">
        <f>IF($A502="","",INDEX(Project_Tracker!$C$2:$C$101,INT((ROW()-6)/17)+1))</f>
        <v/>
      </c>
      <c r="D502" s="6" t="str">
        <f>IF($A502="","",INDEX(Project_Tracker!$T$2:$T$101,INT((ROW()-6)/17)+1))</f>
        <v/>
      </c>
      <c r="E502" s="18">
        <f t="shared" si="35"/>
        <v>4</v>
      </c>
      <c r="F502" s="23" t="str">
        <f>IF($A502="","",INDEX('Logic &amp; Lists'!$I$4:$I$20,$E502))</f>
        <v/>
      </c>
      <c r="G502" s="18" t="str">
        <f>IF($A502="","",INDEX('Logic &amp; Lists'!$J$4:$J$20,$E502))</f>
        <v/>
      </c>
      <c r="H502" s="6" t="str">
        <f t="shared" si="36"/>
        <v/>
      </c>
      <c r="I502" s="18" t="str">
        <f t="shared" ca="1" si="37"/>
        <v/>
      </c>
      <c r="J502" s="5" t="str">
        <f t="shared" si="38"/>
        <v/>
      </c>
      <c r="K502" s="25"/>
      <c r="L502" s="5" t="str">
        <f t="shared" si="39"/>
        <v/>
      </c>
      <c r="M502" s="7"/>
      <c r="N502" s="7"/>
      <c r="O502" s="7"/>
      <c r="P502" s="20" t="str">
        <f>IF($A502="","",INDEX(Project_Tracker!$I$2:$I$101,INT((ROW()-6)/17)+1))</f>
        <v/>
      </c>
      <c r="Q502" s="20" t="str">
        <f>IF($A502="","",INDEX(Project_Tracker!$K$2:$K$101,INT((ROW()-6)/17)+1))</f>
        <v/>
      </c>
    </row>
    <row r="503" spans="1:17" x14ac:dyDescent="0.2">
      <c r="A503" s="20" t="str">
        <f>IF(INDEX(Project_Tracker!$AL$2:$AL$101,INT((ROW()-6)/17)+1)="","",INDEX(Project_Tracker!$AL$2:$AL$101,INT((ROW()-6)/17)+1))</f>
        <v/>
      </c>
      <c r="B503" s="21" t="str">
        <f>IF($A503="","",INDEX(Project_Tracker!$AM$2:$AM$101,INT((ROW()-6)/17)+1))</f>
        <v/>
      </c>
      <c r="C503" s="20" t="str">
        <f>IF($A503="","",INDEX(Project_Tracker!$C$2:$C$101,INT((ROW()-6)/17)+1))</f>
        <v/>
      </c>
      <c r="D503" s="6" t="str">
        <f>IF($A503="","",INDEX(Project_Tracker!$T$2:$T$101,INT((ROW()-6)/17)+1))</f>
        <v/>
      </c>
      <c r="E503" s="18">
        <f t="shared" si="35"/>
        <v>5</v>
      </c>
      <c r="F503" s="23" t="str">
        <f>IF($A503="","",INDEX('Logic &amp; Lists'!$I$4:$I$20,$E503))</f>
        <v/>
      </c>
      <c r="G503" s="18" t="str">
        <f>IF($A503="","",INDEX('Logic &amp; Lists'!$J$4:$J$20,$E503))</f>
        <v/>
      </c>
      <c r="H503" s="6" t="str">
        <f t="shared" si="36"/>
        <v/>
      </c>
      <c r="I503" s="18" t="str">
        <f t="shared" ca="1" si="37"/>
        <v/>
      </c>
      <c r="J503" s="5" t="str">
        <f t="shared" si="38"/>
        <v/>
      </c>
      <c r="K503" s="25"/>
      <c r="L503" s="5" t="str">
        <f t="shared" si="39"/>
        <v/>
      </c>
      <c r="M503" s="7"/>
      <c r="N503" s="7"/>
      <c r="O503" s="7"/>
      <c r="P503" s="20" t="str">
        <f>IF($A503="","",INDEX(Project_Tracker!$I$2:$I$101,INT((ROW()-6)/17)+1))</f>
        <v/>
      </c>
      <c r="Q503" s="20" t="str">
        <f>IF($A503="","",INDEX(Project_Tracker!$K$2:$K$101,INT((ROW()-6)/17)+1))</f>
        <v/>
      </c>
    </row>
    <row r="504" spans="1:17" x14ac:dyDescent="0.2">
      <c r="A504" s="20" t="str">
        <f>IF(INDEX(Project_Tracker!$AL$2:$AL$101,INT((ROW()-6)/17)+1)="","",INDEX(Project_Tracker!$AL$2:$AL$101,INT((ROW()-6)/17)+1))</f>
        <v/>
      </c>
      <c r="B504" s="21" t="str">
        <f>IF($A504="","",INDEX(Project_Tracker!$AM$2:$AM$101,INT((ROW()-6)/17)+1))</f>
        <v/>
      </c>
      <c r="C504" s="20" t="str">
        <f>IF($A504="","",INDEX(Project_Tracker!$C$2:$C$101,INT((ROW()-6)/17)+1))</f>
        <v/>
      </c>
      <c r="D504" s="6" t="str">
        <f>IF($A504="","",INDEX(Project_Tracker!$T$2:$T$101,INT((ROW()-6)/17)+1))</f>
        <v/>
      </c>
      <c r="E504" s="18">
        <f t="shared" si="35"/>
        <v>6</v>
      </c>
      <c r="F504" s="23" t="str">
        <f>IF($A504="","",INDEX('Logic &amp; Lists'!$I$4:$I$20,$E504))</f>
        <v/>
      </c>
      <c r="G504" s="18" t="str">
        <f>IF($A504="","",INDEX('Logic &amp; Lists'!$J$4:$J$20,$E504))</f>
        <v/>
      </c>
      <c r="H504" s="6" t="str">
        <f t="shared" si="36"/>
        <v/>
      </c>
      <c r="I504" s="18" t="str">
        <f t="shared" ca="1" si="37"/>
        <v/>
      </c>
      <c r="J504" s="5" t="str">
        <f t="shared" si="38"/>
        <v/>
      </c>
      <c r="K504" s="25"/>
      <c r="L504" s="5" t="str">
        <f t="shared" si="39"/>
        <v/>
      </c>
      <c r="M504" s="7"/>
      <c r="N504" s="7"/>
      <c r="O504" s="7"/>
      <c r="P504" s="20" t="str">
        <f>IF($A504="","",INDEX(Project_Tracker!$I$2:$I$101,INT((ROW()-6)/17)+1))</f>
        <v/>
      </c>
      <c r="Q504" s="20" t="str">
        <f>IF($A504="","",INDEX(Project_Tracker!$K$2:$K$101,INT((ROW()-6)/17)+1))</f>
        <v/>
      </c>
    </row>
    <row r="505" spans="1:17" x14ac:dyDescent="0.2">
      <c r="A505" s="20" t="str">
        <f>IF(INDEX(Project_Tracker!$AL$2:$AL$101,INT((ROW()-6)/17)+1)="","",INDEX(Project_Tracker!$AL$2:$AL$101,INT((ROW()-6)/17)+1))</f>
        <v/>
      </c>
      <c r="B505" s="21" t="str">
        <f>IF($A505="","",INDEX(Project_Tracker!$AM$2:$AM$101,INT((ROW()-6)/17)+1))</f>
        <v/>
      </c>
      <c r="C505" s="20" t="str">
        <f>IF($A505="","",INDEX(Project_Tracker!$C$2:$C$101,INT((ROW()-6)/17)+1))</f>
        <v/>
      </c>
      <c r="D505" s="6" t="str">
        <f>IF($A505="","",INDEX(Project_Tracker!$T$2:$T$101,INT((ROW()-6)/17)+1))</f>
        <v/>
      </c>
      <c r="E505" s="18">
        <f t="shared" si="35"/>
        <v>7</v>
      </c>
      <c r="F505" s="23" t="str">
        <f>IF($A505="","",INDEX('Logic &amp; Lists'!$I$4:$I$20,$E505))</f>
        <v/>
      </c>
      <c r="G505" s="18" t="str">
        <f>IF($A505="","",INDEX('Logic &amp; Lists'!$J$4:$J$20,$E505))</f>
        <v/>
      </c>
      <c r="H505" s="6" t="str">
        <f t="shared" si="36"/>
        <v/>
      </c>
      <c r="I505" s="18" t="str">
        <f t="shared" ca="1" si="37"/>
        <v/>
      </c>
      <c r="J505" s="5" t="str">
        <f t="shared" si="38"/>
        <v/>
      </c>
      <c r="K505" s="25"/>
      <c r="L505" s="5" t="str">
        <f t="shared" si="39"/>
        <v/>
      </c>
      <c r="M505" s="7"/>
      <c r="N505" s="7"/>
      <c r="O505" s="7"/>
      <c r="P505" s="20" t="str">
        <f>IF($A505="","",INDEX(Project_Tracker!$I$2:$I$101,INT((ROW()-6)/17)+1))</f>
        <v/>
      </c>
      <c r="Q505" s="20" t="str">
        <f>IF($A505="","",INDEX(Project_Tracker!$K$2:$K$101,INT((ROW()-6)/17)+1))</f>
        <v/>
      </c>
    </row>
    <row r="506" spans="1:17" x14ac:dyDescent="0.2">
      <c r="A506" s="20" t="str">
        <f>IF(INDEX(Project_Tracker!$AL$2:$AL$101,INT((ROW()-6)/17)+1)="","",INDEX(Project_Tracker!$AL$2:$AL$101,INT((ROW()-6)/17)+1))</f>
        <v/>
      </c>
      <c r="B506" s="21" t="str">
        <f>IF($A506="","",INDEX(Project_Tracker!$AM$2:$AM$101,INT((ROW()-6)/17)+1))</f>
        <v/>
      </c>
      <c r="C506" s="20" t="str">
        <f>IF($A506="","",INDEX(Project_Tracker!$C$2:$C$101,INT((ROW()-6)/17)+1))</f>
        <v/>
      </c>
      <c r="D506" s="6" t="str">
        <f>IF($A506="","",INDEX(Project_Tracker!$T$2:$T$101,INT((ROW()-6)/17)+1))</f>
        <v/>
      </c>
      <c r="E506" s="18">
        <f t="shared" si="35"/>
        <v>8</v>
      </c>
      <c r="F506" s="23" t="str">
        <f>IF($A506="","",INDEX('Logic &amp; Lists'!$I$4:$I$20,$E506))</f>
        <v/>
      </c>
      <c r="G506" s="18" t="str">
        <f>IF($A506="","",INDEX('Logic &amp; Lists'!$J$4:$J$20,$E506))</f>
        <v/>
      </c>
      <c r="H506" s="6" t="str">
        <f t="shared" si="36"/>
        <v/>
      </c>
      <c r="I506" s="18" t="str">
        <f t="shared" ca="1" si="37"/>
        <v/>
      </c>
      <c r="J506" s="5" t="str">
        <f t="shared" si="38"/>
        <v/>
      </c>
      <c r="K506" s="25"/>
      <c r="L506" s="5" t="str">
        <f t="shared" si="39"/>
        <v/>
      </c>
      <c r="M506" s="7"/>
      <c r="N506" s="7"/>
      <c r="O506" s="7"/>
      <c r="P506" s="20" t="str">
        <f>IF($A506="","",INDEX(Project_Tracker!$I$2:$I$101,INT((ROW()-6)/17)+1))</f>
        <v/>
      </c>
      <c r="Q506" s="20" t="str">
        <f>IF($A506="","",INDEX(Project_Tracker!$K$2:$K$101,INT((ROW()-6)/17)+1))</f>
        <v/>
      </c>
    </row>
    <row r="507" spans="1:17" x14ac:dyDescent="0.2">
      <c r="A507" s="20" t="str">
        <f>IF(INDEX(Project_Tracker!$AL$2:$AL$101,INT((ROW()-6)/17)+1)="","",INDEX(Project_Tracker!$AL$2:$AL$101,INT((ROW()-6)/17)+1))</f>
        <v/>
      </c>
      <c r="B507" s="21" t="str">
        <f>IF($A507="","",INDEX(Project_Tracker!$AM$2:$AM$101,INT((ROW()-6)/17)+1))</f>
        <v/>
      </c>
      <c r="C507" s="20" t="str">
        <f>IF($A507="","",INDEX(Project_Tracker!$C$2:$C$101,INT((ROW()-6)/17)+1))</f>
        <v/>
      </c>
      <c r="D507" s="6" t="str">
        <f>IF($A507="","",INDEX(Project_Tracker!$T$2:$T$101,INT((ROW()-6)/17)+1))</f>
        <v/>
      </c>
      <c r="E507" s="18">
        <f t="shared" si="35"/>
        <v>9</v>
      </c>
      <c r="F507" s="23" t="str">
        <f>IF($A507="","",INDEX('Logic &amp; Lists'!$I$4:$I$20,$E507))</f>
        <v/>
      </c>
      <c r="G507" s="18" t="str">
        <f>IF($A507="","",INDEX('Logic &amp; Lists'!$J$4:$J$20,$E507))</f>
        <v/>
      </c>
      <c r="H507" s="6" t="str">
        <f t="shared" si="36"/>
        <v/>
      </c>
      <c r="I507" s="18" t="str">
        <f t="shared" ca="1" si="37"/>
        <v/>
      </c>
      <c r="J507" s="5" t="str">
        <f t="shared" si="38"/>
        <v/>
      </c>
      <c r="K507" s="25"/>
      <c r="L507" s="5" t="str">
        <f t="shared" si="39"/>
        <v/>
      </c>
      <c r="M507" s="7"/>
      <c r="N507" s="7"/>
      <c r="O507" s="7"/>
      <c r="P507" s="20" t="str">
        <f>IF($A507="","",INDEX(Project_Tracker!$I$2:$I$101,INT((ROW()-6)/17)+1))</f>
        <v/>
      </c>
      <c r="Q507" s="20" t="str">
        <f>IF($A507="","",INDEX(Project_Tracker!$K$2:$K$101,INT((ROW()-6)/17)+1))</f>
        <v/>
      </c>
    </row>
    <row r="508" spans="1:17" x14ac:dyDescent="0.2">
      <c r="A508" s="20" t="str">
        <f>IF(INDEX(Project_Tracker!$AL$2:$AL$101,INT((ROW()-6)/17)+1)="","",INDEX(Project_Tracker!$AL$2:$AL$101,INT((ROW()-6)/17)+1))</f>
        <v/>
      </c>
      <c r="B508" s="21" t="str">
        <f>IF($A508="","",INDEX(Project_Tracker!$AM$2:$AM$101,INT((ROW()-6)/17)+1))</f>
        <v/>
      </c>
      <c r="C508" s="20" t="str">
        <f>IF($A508="","",INDEX(Project_Tracker!$C$2:$C$101,INT((ROW()-6)/17)+1))</f>
        <v/>
      </c>
      <c r="D508" s="6" t="str">
        <f>IF($A508="","",INDEX(Project_Tracker!$T$2:$T$101,INT((ROW()-6)/17)+1))</f>
        <v/>
      </c>
      <c r="E508" s="18">
        <f t="shared" si="35"/>
        <v>10</v>
      </c>
      <c r="F508" s="23" t="str">
        <f>IF($A508="","",INDEX('Logic &amp; Lists'!$I$4:$I$20,$E508))</f>
        <v/>
      </c>
      <c r="G508" s="18" t="str">
        <f>IF($A508="","",INDEX('Logic &amp; Lists'!$J$4:$J$20,$E508))</f>
        <v/>
      </c>
      <c r="H508" s="6" t="str">
        <f t="shared" si="36"/>
        <v/>
      </c>
      <c r="I508" s="18" t="str">
        <f t="shared" ca="1" si="37"/>
        <v/>
      </c>
      <c r="J508" s="5" t="str">
        <f t="shared" si="38"/>
        <v/>
      </c>
      <c r="K508" s="25"/>
      <c r="L508" s="5" t="str">
        <f t="shared" si="39"/>
        <v/>
      </c>
      <c r="M508" s="7"/>
      <c r="N508" s="7"/>
      <c r="O508" s="7"/>
      <c r="P508" s="20" t="str">
        <f>IF($A508="","",INDEX(Project_Tracker!$I$2:$I$101,INT((ROW()-6)/17)+1))</f>
        <v/>
      </c>
      <c r="Q508" s="20" t="str">
        <f>IF($A508="","",INDEX(Project_Tracker!$K$2:$K$101,INT((ROW()-6)/17)+1))</f>
        <v/>
      </c>
    </row>
    <row r="509" spans="1:17" x14ac:dyDescent="0.2">
      <c r="A509" s="20" t="str">
        <f>IF(INDEX(Project_Tracker!$AL$2:$AL$101,INT((ROW()-6)/17)+1)="","",INDEX(Project_Tracker!$AL$2:$AL$101,INT((ROW()-6)/17)+1))</f>
        <v/>
      </c>
      <c r="B509" s="21" t="str">
        <f>IF($A509="","",INDEX(Project_Tracker!$AM$2:$AM$101,INT((ROW()-6)/17)+1))</f>
        <v/>
      </c>
      <c r="C509" s="20" t="str">
        <f>IF($A509="","",INDEX(Project_Tracker!$C$2:$C$101,INT((ROW()-6)/17)+1))</f>
        <v/>
      </c>
      <c r="D509" s="6" t="str">
        <f>IF($A509="","",INDEX(Project_Tracker!$T$2:$T$101,INT((ROW()-6)/17)+1))</f>
        <v/>
      </c>
      <c r="E509" s="18">
        <f t="shared" si="35"/>
        <v>11</v>
      </c>
      <c r="F509" s="23" t="str">
        <f>IF($A509="","",INDEX('Logic &amp; Lists'!$I$4:$I$20,$E509))</f>
        <v/>
      </c>
      <c r="G509" s="18" t="str">
        <f>IF($A509="","",INDEX('Logic &amp; Lists'!$J$4:$J$20,$E509))</f>
        <v/>
      </c>
      <c r="H509" s="6" t="str">
        <f t="shared" si="36"/>
        <v/>
      </c>
      <c r="I509" s="18" t="str">
        <f t="shared" ca="1" si="37"/>
        <v/>
      </c>
      <c r="J509" s="5" t="str">
        <f t="shared" si="38"/>
        <v/>
      </c>
      <c r="K509" s="25"/>
      <c r="L509" s="5" t="str">
        <f t="shared" si="39"/>
        <v/>
      </c>
      <c r="M509" s="7"/>
      <c r="N509" s="7"/>
      <c r="O509" s="7"/>
      <c r="P509" s="20" t="str">
        <f>IF($A509="","",INDEX(Project_Tracker!$I$2:$I$101,INT((ROW()-6)/17)+1))</f>
        <v/>
      </c>
      <c r="Q509" s="20" t="str">
        <f>IF($A509="","",INDEX(Project_Tracker!$K$2:$K$101,INT((ROW()-6)/17)+1))</f>
        <v/>
      </c>
    </row>
    <row r="510" spans="1:17" x14ac:dyDescent="0.2">
      <c r="A510" s="20" t="str">
        <f>IF(INDEX(Project_Tracker!$AL$2:$AL$101,INT((ROW()-6)/17)+1)="","",INDEX(Project_Tracker!$AL$2:$AL$101,INT((ROW()-6)/17)+1))</f>
        <v/>
      </c>
      <c r="B510" s="21" t="str">
        <f>IF($A510="","",INDEX(Project_Tracker!$AM$2:$AM$101,INT((ROW()-6)/17)+1))</f>
        <v/>
      </c>
      <c r="C510" s="20" t="str">
        <f>IF($A510="","",INDEX(Project_Tracker!$C$2:$C$101,INT((ROW()-6)/17)+1))</f>
        <v/>
      </c>
      <c r="D510" s="6" t="str">
        <f>IF($A510="","",INDEX(Project_Tracker!$T$2:$T$101,INT((ROW()-6)/17)+1))</f>
        <v/>
      </c>
      <c r="E510" s="18">
        <f t="shared" si="35"/>
        <v>12</v>
      </c>
      <c r="F510" s="23" t="str">
        <f>IF($A510="","",INDEX('Logic &amp; Lists'!$I$4:$I$20,$E510))</f>
        <v/>
      </c>
      <c r="G510" s="18" t="str">
        <f>IF($A510="","",INDEX('Logic &amp; Lists'!$J$4:$J$20,$E510))</f>
        <v/>
      </c>
      <c r="H510" s="6" t="str">
        <f t="shared" si="36"/>
        <v/>
      </c>
      <c r="I510" s="18" t="str">
        <f t="shared" ca="1" si="37"/>
        <v/>
      </c>
      <c r="J510" s="5" t="str">
        <f t="shared" si="38"/>
        <v/>
      </c>
      <c r="K510" s="25"/>
      <c r="L510" s="5" t="str">
        <f t="shared" si="39"/>
        <v/>
      </c>
      <c r="M510" s="7"/>
      <c r="N510" s="7"/>
      <c r="O510" s="7"/>
      <c r="P510" s="20" t="str">
        <f>IF($A510="","",INDEX(Project_Tracker!$I$2:$I$101,INT((ROW()-6)/17)+1))</f>
        <v/>
      </c>
      <c r="Q510" s="20" t="str">
        <f>IF($A510="","",INDEX(Project_Tracker!$K$2:$K$101,INT((ROW()-6)/17)+1))</f>
        <v/>
      </c>
    </row>
    <row r="511" spans="1:17" x14ac:dyDescent="0.2">
      <c r="A511" s="20" t="str">
        <f>IF(INDEX(Project_Tracker!$AL$2:$AL$101,INT((ROW()-6)/17)+1)="","",INDEX(Project_Tracker!$AL$2:$AL$101,INT((ROW()-6)/17)+1))</f>
        <v/>
      </c>
      <c r="B511" s="21" t="str">
        <f>IF($A511="","",INDEX(Project_Tracker!$AM$2:$AM$101,INT((ROW()-6)/17)+1))</f>
        <v/>
      </c>
      <c r="C511" s="20" t="str">
        <f>IF($A511="","",INDEX(Project_Tracker!$C$2:$C$101,INT((ROW()-6)/17)+1))</f>
        <v/>
      </c>
      <c r="D511" s="6" t="str">
        <f>IF($A511="","",INDEX(Project_Tracker!$T$2:$T$101,INT((ROW()-6)/17)+1))</f>
        <v/>
      </c>
      <c r="E511" s="18">
        <f t="shared" si="35"/>
        <v>13</v>
      </c>
      <c r="F511" s="23" t="str">
        <f>IF($A511="","",INDEX('Logic &amp; Lists'!$I$4:$I$20,$E511))</f>
        <v/>
      </c>
      <c r="G511" s="18" t="str">
        <f>IF($A511="","",INDEX('Logic &amp; Lists'!$J$4:$J$20,$E511))</f>
        <v/>
      </c>
      <c r="H511" s="6" t="str">
        <f t="shared" si="36"/>
        <v/>
      </c>
      <c r="I511" s="18" t="str">
        <f t="shared" ca="1" si="37"/>
        <v/>
      </c>
      <c r="J511" s="5" t="str">
        <f t="shared" si="38"/>
        <v/>
      </c>
      <c r="K511" s="25"/>
      <c r="L511" s="5" t="str">
        <f t="shared" si="39"/>
        <v/>
      </c>
      <c r="M511" s="7"/>
      <c r="N511" s="7"/>
      <c r="O511" s="7"/>
      <c r="P511" s="20" t="str">
        <f>IF($A511="","",INDEX(Project_Tracker!$I$2:$I$101,INT((ROW()-6)/17)+1))</f>
        <v/>
      </c>
      <c r="Q511" s="20" t="str">
        <f>IF($A511="","",INDEX(Project_Tracker!$K$2:$K$101,INT((ROW()-6)/17)+1))</f>
        <v/>
      </c>
    </row>
    <row r="512" spans="1:17" x14ac:dyDescent="0.2">
      <c r="A512" s="20" t="str">
        <f>IF(INDEX(Project_Tracker!$AL$2:$AL$101,INT((ROW()-6)/17)+1)="","",INDEX(Project_Tracker!$AL$2:$AL$101,INT((ROW()-6)/17)+1))</f>
        <v/>
      </c>
      <c r="B512" s="21" t="str">
        <f>IF($A512="","",INDEX(Project_Tracker!$AM$2:$AM$101,INT((ROW()-6)/17)+1))</f>
        <v/>
      </c>
      <c r="C512" s="20" t="str">
        <f>IF($A512="","",INDEX(Project_Tracker!$C$2:$C$101,INT((ROW()-6)/17)+1))</f>
        <v/>
      </c>
      <c r="D512" s="6" t="str">
        <f>IF($A512="","",INDEX(Project_Tracker!$T$2:$T$101,INT((ROW()-6)/17)+1))</f>
        <v/>
      </c>
      <c r="E512" s="18">
        <f t="shared" si="35"/>
        <v>14</v>
      </c>
      <c r="F512" s="23" t="str">
        <f>IF($A512="","",INDEX('Logic &amp; Lists'!$I$4:$I$20,$E512))</f>
        <v/>
      </c>
      <c r="G512" s="18" t="str">
        <f>IF($A512="","",INDEX('Logic &amp; Lists'!$J$4:$J$20,$E512))</f>
        <v/>
      </c>
      <c r="H512" s="6" t="str">
        <f t="shared" si="36"/>
        <v/>
      </c>
      <c r="I512" s="18" t="str">
        <f t="shared" ca="1" si="37"/>
        <v/>
      </c>
      <c r="J512" s="5" t="str">
        <f t="shared" si="38"/>
        <v/>
      </c>
      <c r="K512" s="25"/>
      <c r="L512" s="5" t="str">
        <f t="shared" si="39"/>
        <v/>
      </c>
      <c r="M512" s="7"/>
      <c r="N512" s="7"/>
      <c r="O512" s="7"/>
      <c r="P512" s="20" t="str">
        <f>IF($A512="","",INDEX(Project_Tracker!$I$2:$I$101,INT((ROW()-6)/17)+1))</f>
        <v/>
      </c>
      <c r="Q512" s="20" t="str">
        <f>IF($A512="","",INDEX(Project_Tracker!$K$2:$K$101,INT((ROW()-6)/17)+1))</f>
        <v/>
      </c>
    </row>
    <row r="513" spans="1:17" x14ac:dyDescent="0.2">
      <c r="A513" s="20" t="str">
        <f>IF(INDEX(Project_Tracker!$AL$2:$AL$101,INT((ROW()-6)/17)+1)="","",INDEX(Project_Tracker!$AL$2:$AL$101,INT((ROW()-6)/17)+1))</f>
        <v/>
      </c>
      <c r="B513" s="21" t="str">
        <f>IF($A513="","",INDEX(Project_Tracker!$AM$2:$AM$101,INT((ROW()-6)/17)+1))</f>
        <v/>
      </c>
      <c r="C513" s="20" t="str">
        <f>IF($A513="","",INDEX(Project_Tracker!$C$2:$C$101,INT((ROW()-6)/17)+1))</f>
        <v/>
      </c>
      <c r="D513" s="6" t="str">
        <f>IF($A513="","",INDEX(Project_Tracker!$T$2:$T$101,INT((ROW()-6)/17)+1))</f>
        <v/>
      </c>
      <c r="E513" s="18">
        <f t="shared" si="35"/>
        <v>15</v>
      </c>
      <c r="F513" s="23" t="str">
        <f>IF($A513="","",INDEX('Logic &amp; Lists'!$I$4:$I$20,$E513))</f>
        <v/>
      </c>
      <c r="G513" s="18" t="str">
        <f>IF($A513="","",INDEX('Logic &amp; Lists'!$J$4:$J$20,$E513))</f>
        <v/>
      </c>
      <c r="H513" s="6" t="str">
        <f t="shared" si="36"/>
        <v/>
      </c>
      <c r="I513" s="18" t="str">
        <f t="shared" ca="1" si="37"/>
        <v/>
      </c>
      <c r="J513" s="5" t="str">
        <f t="shared" si="38"/>
        <v/>
      </c>
      <c r="K513" s="25"/>
      <c r="L513" s="5" t="str">
        <f t="shared" si="39"/>
        <v/>
      </c>
      <c r="M513" s="7"/>
      <c r="N513" s="7"/>
      <c r="O513" s="7"/>
      <c r="P513" s="20" t="str">
        <f>IF($A513="","",INDEX(Project_Tracker!$I$2:$I$101,INT((ROW()-6)/17)+1))</f>
        <v/>
      </c>
      <c r="Q513" s="20" t="str">
        <f>IF($A513="","",INDEX(Project_Tracker!$K$2:$K$101,INT((ROW()-6)/17)+1))</f>
        <v/>
      </c>
    </row>
    <row r="514" spans="1:17" x14ac:dyDescent="0.2">
      <c r="A514" s="20" t="str">
        <f>IF(INDEX(Project_Tracker!$AL$2:$AL$101,INT((ROW()-6)/17)+1)="","",INDEX(Project_Tracker!$AL$2:$AL$101,INT((ROW()-6)/17)+1))</f>
        <v/>
      </c>
      <c r="B514" s="21" t="str">
        <f>IF($A514="","",INDEX(Project_Tracker!$AM$2:$AM$101,INT((ROW()-6)/17)+1))</f>
        <v/>
      </c>
      <c r="C514" s="20" t="str">
        <f>IF($A514="","",INDEX(Project_Tracker!$C$2:$C$101,INT((ROW()-6)/17)+1))</f>
        <v/>
      </c>
      <c r="D514" s="6" t="str">
        <f>IF($A514="","",INDEX(Project_Tracker!$T$2:$T$101,INT((ROW()-6)/17)+1))</f>
        <v/>
      </c>
      <c r="E514" s="18">
        <f t="shared" si="35"/>
        <v>16</v>
      </c>
      <c r="F514" s="23" t="str">
        <f>IF($A514="","",INDEX('Logic &amp; Lists'!$I$4:$I$20,$E514))</f>
        <v/>
      </c>
      <c r="G514" s="18" t="str">
        <f>IF($A514="","",INDEX('Logic &amp; Lists'!$J$4:$J$20,$E514))</f>
        <v/>
      </c>
      <c r="H514" s="6" t="str">
        <f t="shared" si="36"/>
        <v/>
      </c>
      <c r="I514" s="18" t="str">
        <f t="shared" ca="1" si="37"/>
        <v/>
      </c>
      <c r="J514" s="5" t="str">
        <f t="shared" si="38"/>
        <v/>
      </c>
      <c r="K514" s="25"/>
      <c r="L514" s="5" t="str">
        <f t="shared" si="39"/>
        <v/>
      </c>
      <c r="M514" s="7"/>
      <c r="N514" s="7"/>
      <c r="O514" s="7"/>
      <c r="P514" s="20" t="str">
        <f>IF($A514="","",INDEX(Project_Tracker!$I$2:$I$101,INT((ROW()-6)/17)+1))</f>
        <v/>
      </c>
      <c r="Q514" s="20" t="str">
        <f>IF($A514="","",INDEX(Project_Tracker!$K$2:$K$101,INT((ROW()-6)/17)+1))</f>
        <v/>
      </c>
    </row>
    <row r="515" spans="1:17" x14ac:dyDescent="0.2">
      <c r="A515" s="20" t="str">
        <f>IF(INDEX(Project_Tracker!$AL$2:$AL$101,INT((ROW()-6)/17)+1)="","",INDEX(Project_Tracker!$AL$2:$AL$101,INT((ROW()-6)/17)+1))</f>
        <v/>
      </c>
      <c r="B515" s="21" t="str">
        <f>IF($A515="","",INDEX(Project_Tracker!$AM$2:$AM$101,INT((ROW()-6)/17)+1))</f>
        <v/>
      </c>
      <c r="C515" s="20" t="str">
        <f>IF($A515="","",INDEX(Project_Tracker!$C$2:$C$101,INT((ROW()-6)/17)+1))</f>
        <v/>
      </c>
      <c r="D515" s="6" t="str">
        <f>IF($A515="","",INDEX(Project_Tracker!$T$2:$T$101,INT((ROW()-6)/17)+1))</f>
        <v/>
      </c>
      <c r="E515" s="18">
        <f t="shared" si="35"/>
        <v>17</v>
      </c>
      <c r="F515" s="23" t="str">
        <f>IF($A515="","",INDEX('Logic &amp; Lists'!$I$4:$I$20,$E515))</f>
        <v/>
      </c>
      <c r="G515" s="18" t="str">
        <f>IF($A515="","",INDEX('Logic &amp; Lists'!$J$4:$J$20,$E515))</f>
        <v/>
      </c>
      <c r="H515" s="6" t="str">
        <f t="shared" si="36"/>
        <v/>
      </c>
      <c r="I515" s="18" t="str">
        <f t="shared" ca="1" si="37"/>
        <v/>
      </c>
      <c r="J515" s="5" t="str">
        <f t="shared" si="38"/>
        <v/>
      </c>
      <c r="K515" s="25"/>
      <c r="L515" s="5" t="str">
        <f t="shared" si="39"/>
        <v/>
      </c>
      <c r="M515" s="7"/>
      <c r="N515" s="7"/>
      <c r="O515" s="7"/>
      <c r="P515" s="20" t="str">
        <f>IF($A515="","",INDEX(Project_Tracker!$I$2:$I$101,INT((ROW()-6)/17)+1))</f>
        <v/>
      </c>
      <c r="Q515" s="20" t="str">
        <f>IF($A515="","",INDEX(Project_Tracker!$K$2:$K$101,INT((ROW()-6)/17)+1))</f>
        <v/>
      </c>
    </row>
    <row r="516" spans="1:17" x14ac:dyDescent="0.2">
      <c r="A516" s="20" t="str">
        <f>IF(INDEX(Project_Tracker!$AL$2:$AL$101,INT((ROW()-6)/17)+1)="","",INDEX(Project_Tracker!$AL$2:$AL$101,INT((ROW()-6)/17)+1))</f>
        <v/>
      </c>
      <c r="B516" s="21" t="str">
        <f>IF($A516="","",INDEX(Project_Tracker!$AM$2:$AM$101,INT((ROW()-6)/17)+1))</f>
        <v/>
      </c>
      <c r="C516" s="20" t="str">
        <f>IF($A516="","",INDEX(Project_Tracker!$C$2:$C$101,INT((ROW()-6)/17)+1))</f>
        <v/>
      </c>
      <c r="D516" s="6" t="str">
        <f>IF($A516="","",INDEX(Project_Tracker!$T$2:$T$101,INT((ROW()-6)/17)+1))</f>
        <v/>
      </c>
      <c r="E516" s="18">
        <f t="shared" si="35"/>
        <v>1</v>
      </c>
      <c r="F516" s="23" t="str">
        <f>IF($A516="","",INDEX('Logic &amp; Lists'!$I$4:$I$20,$E516))</f>
        <v/>
      </c>
      <c r="G516" s="18" t="str">
        <f>IF($A516="","",INDEX('Logic &amp; Lists'!$J$4:$J$20,$E516))</f>
        <v/>
      </c>
      <c r="H516" s="6" t="str">
        <f t="shared" si="36"/>
        <v/>
      </c>
      <c r="I516" s="18" t="str">
        <f t="shared" ca="1" si="37"/>
        <v/>
      </c>
      <c r="J516" s="5" t="str">
        <f t="shared" si="38"/>
        <v/>
      </c>
      <c r="K516" s="25"/>
      <c r="L516" s="5" t="str">
        <f t="shared" si="39"/>
        <v/>
      </c>
      <c r="M516" s="7"/>
      <c r="N516" s="7"/>
      <c r="O516" s="7"/>
      <c r="P516" s="20" t="str">
        <f>IF($A516="","",INDEX(Project_Tracker!$I$2:$I$101,INT((ROW()-6)/17)+1))</f>
        <v/>
      </c>
      <c r="Q516" s="20" t="str">
        <f>IF($A516="","",INDEX(Project_Tracker!$K$2:$K$101,INT((ROW()-6)/17)+1))</f>
        <v/>
      </c>
    </row>
    <row r="517" spans="1:17" x14ac:dyDescent="0.2">
      <c r="A517" s="20" t="str">
        <f>IF(INDEX(Project_Tracker!$AL$2:$AL$101,INT((ROW()-6)/17)+1)="","",INDEX(Project_Tracker!$AL$2:$AL$101,INT((ROW()-6)/17)+1))</f>
        <v/>
      </c>
      <c r="B517" s="21" t="str">
        <f>IF($A517="","",INDEX(Project_Tracker!$AM$2:$AM$101,INT((ROW()-6)/17)+1))</f>
        <v/>
      </c>
      <c r="C517" s="20" t="str">
        <f>IF($A517="","",INDEX(Project_Tracker!$C$2:$C$101,INT((ROW()-6)/17)+1))</f>
        <v/>
      </c>
      <c r="D517" s="6" t="str">
        <f>IF($A517="","",INDEX(Project_Tracker!$T$2:$T$101,INT((ROW()-6)/17)+1))</f>
        <v/>
      </c>
      <c r="E517" s="18">
        <f t="shared" si="35"/>
        <v>2</v>
      </c>
      <c r="F517" s="23" t="str">
        <f>IF($A517="","",INDEX('Logic &amp; Lists'!$I$4:$I$20,$E517))</f>
        <v/>
      </c>
      <c r="G517" s="18" t="str">
        <f>IF($A517="","",INDEX('Logic &amp; Lists'!$J$4:$J$20,$E517))</f>
        <v/>
      </c>
      <c r="H517" s="6" t="str">
        <f t="shared" si="36"/>
        <v/>
      </c>
      <c r="I517" s="18" t="str">
        <f t="shared" ca="1" si="37"/>
        <v/>
      </c>
      <c r="J517" s="5" t="str">
        <f t="shared" si="38"/>
        <v/>
      </c>
      <c r="K517" s="25"/>
      <c r="L517" s="5" t="str">
        <f t="shared" si="39"/>
        <v/>
      </c>
      <c r="M517" s="7"/>
      <c r="N517" s="7"/>
      <c r="O517" s="7"/>
      <c r="P517" s="20" t="str">
        <f>IF($A517="","",INDEX(Project_Tracker!$I$2:$I$101,INT((ROW()-6)/17)+1))</f>
        <v/>
      </c>
      <c r="Q517" s="20" t="str">
        <f>IF($A517="","",INDEX(Project_Tracker!$K$2:$K$101,INT((ROW()-6)/17)+1))</f>
        <v/>
      </c>
    </row>
    <row r="518" spans="1:17" x14ac:dyDescent="0.2">
      <c r="A518" s="20" t="str">
        <f>IF(INDEX(Project_Tracker!$AL$2:$AL$101,INT((ROW()-6)/17)+1)="","",INDEX(Project_Tracker!$AL$2:$AL$101,INT((ROW()-6)/17)+1))</f>
        <v/>
      </c>
      <c r="B518" s="21" t="str">
        <f>IF($A518="","",INDEX(Project_Tracker!$AM$2:$AM$101,INT((ROW()-6)/17)+1))</f>
        <v/>
      </c>
      <c r="C518" s="20" t="str">
        <f>IF($A518="","",INDEX(Project_Tracker!$C$2:$C$101,INT((ROW()-6)/17)+1))</f>
        <v/>
      </c>
      <c r="D518" s="6" t="str">
        <f>IF($A518="","",INDEX(Project_Tracker!$T$2:$T$101,INT((ROW()-6)/17)+1))</f>
        <v/>
      </c>
      <c r="E518" s="18">
        <f t="shared" ref="E518:E581" si="40">MOD(ROW()-6,17)+1</f>
        <v>3</v>
      </c>
      <c r="F518" s="23" t="str">
        <f>IF($A518="","",INDEX('Logic &amp; Lists'!$I$4:$I$20,$E518))</f>
        <v/>
      </c>
      <c r="G518" s="18" t="str">
        <f>IF($A518="","",INDEX('Logic &amp; Lists'!$J$4:$J$20,$E518))</f>
        <v/>
      </c>
      <c r="H518" s="6" t="str">
        <f t="shared" ref="H518:H581" si="41">IF($D518="","",$D518-$G518)</f>
        <v/>
      </c>
      <c r="I518" s="18" t="str">
        <f t="shared" ref="I518:I581" ca="1" si="42">IF($H518="","",$H518-TODAY())</f>
        <v/>
      </c>
      <c r="J518" s="5" t="str">
        <f t="shared" ref="J518:J581" si="43">IF($A518="","",IF($K518&lt;&gt;"","ORDERED",IF($I518&lt;0,"OVERDUE",IF($I518&lt;=7,"URGENT",IF($I518&lt;=14,"PREPARE","OK")))))</f>
        <v/>
      </c>
      <c r="K518" s="25"/>
      <c r="L518" s="5" t="str">
        <f t="shared" ref="L518:L581" si="44">IF($A518="","",IF($K518="",$J518,IF($K518&lt;=$H518,"Ordered On Time","Ordered Late")))</f>
        <v/>
      </c>
      <c r="M518" s="7"/>
      <c r="N518" s="7"/>
      <c r="O518" s="7"/>
      <c r="P518" s="20" t="str">
        <f>IF($A518="","",INDEX(Project_Tracker!$I$2:$I$101,INT((ROW()-6)/17)+1))</f>
        <v/>
      </c>
      <c r="Q518" s="20" t="str">
        <f>IF($A518="","",INDEX(Project_Tracker!$K$2:$K$101,INT((ROW()-6)/17)+1))</f>
        <v/>
      </c>
    </row>
    <row r="519" spans="1:17" x14ac:dyDescent="0.2">
      <c r="A519" s="20" t="str">
        <f>IF(INDEX(Project_Tracker!$AL$2:$AL$101,INT((ROW()-6)/17)+1)="","",INDEX(Project_Tracker!$AL$2:$AL$101,INT((ROW()-6)/17)+1))</f>
        <v/>
      </c>
      <c r="B519" s="21" t="str">
        <f>IF($A519="","",INDEX(Project_Tracker!$AM$2:$AM$101,INT((ROW()-6)/17)+1))</f>
        <v/>
      </c>
      <c r="C519" s="20" t="str">
        <f>IF($A519="","",INDEX(Project_Tracker!$C$2:$C$101,INT((ROW()-6)/17)+1))</f>
        <v/>
      </c>
      <c r="D519" s="6" t="str">
        <f>IF($A519="","",INDEX(Project_Tracker!$T$2:$T$101,INT((ROW()-6)/17)+1))</f>
        <v/>
      </c>
      <c r="E519" s="18">
        <f t="shared" si="40"/>
        <v>4</v>
      </c>
      <c r="F519" s="23" t="str">
        <f>IF($A519="","",INDEX('Logic &amp; Lists'!$I$4:$I$20,$E519))</f>
        <v/>
      </c>
      <c r="G519" s="18" t="str">
        <f>IF($A519="","",INDEX('Logic &amp; Lists'!$J$4:$J$20,$E519))</f>
        <v/>
      </c>
      <c r="H519" s="6" t="str">
        <f t="shared" si="41"/>
        <v/>
      </c>
      <c r="I519" s="18" t="str">
        <f t="shared" ca="1" si="42"/>
        <v/>
      </c>
      <c r="J519" s="5" t="str">
        <f t="shared" si="43"/>
        <v/>
      </c>
      <c r="K519" s="25"/>
      <c r="L519" s="5" t="str">
        <f t="shared" si="44"/>
        <v/>
      </c>
      <c r="M519" s="7"/>
      <c r="N519" s="7"/>
      <c r="O519" s="7"/>
      <c r="P519" s="20" t="str">
        <f>IF($A519="","",INDEX(Project_Tracker!$I$2:$I$101,INT((ROW()-6)/17)+1))</f>
        <v/>
      </c>
      <c r="Q519" s="20" t="str">
        <f>IF($A519="","",INDEX(Project_Tracker!$K$2:$K$101,INT((ROW()-6)/17)+1))</f>
        <v/>
      </c>
    </row>
    <row r="520" spans="1:17" x14ac:dyDescent="0.2">
      <c r="A520" s="20" t="str">
        <f>IF(INDEX(Project_Tracker!$AL$2:$AL$101,INT((ROW()-6)/17)+1)="","",INDEX(Project_Tracker!$AL$2:$AL$101,INT((ROW()-6)/17)+1))</f>
        <v/>
      </c>
      <c r="B520" s="21" t="str">
        <f>IF($A520="","",INDEX(Project_Tracker!$AM$2:$AM$101,INT((ROW()-6)/17)+1))</f>
        <v/>
      </c>
      <c r="C520" s="20" t="str">
        <f>IF($A520="","",INDEX(Project_Tracker!$C$2:$C$101,INT((ROW()-6)/17)+1))</f>
        <v/>
      </c>
      <c r="D520" s="6" t="str">
        <f>IF($A520="","",INDEX(Project_Tracker!$T$2:$T$101,INT((ROW()-6)/17)+1))</f>
        <v/>
      </c>
      <c r="E520" s="18">
        <f t="shared" si="40"/>
        <v>5</v>
      </c>
      <c r="F520" s="23" t="str">
        <f>IF($A520="","",INDEX('Logic &amp; Lists'!$I$4:$I$20,$E520))</f>
        <v/>
      </c>
      <c r="G520" s="18" t="str">
        <f>IF($A520="","",INDEX('Logic &amp; Lists'!$J$4:$J$20,$E520))</f>
        <v/>
      </c>
      <c r="H520" s="6" t="str">
        <f t="shared" si="41"/>
        <v/>
      </c>
      <c r="I520" s="18" t="str">
        <f t="shared" ca="1" si="42"/>
        <v/>
      </c>
      <c r="J520" s="5" t="str">
        <f t="shared" si="43"/>
        <v/>
      </c>
      <c r="K520" s="25"/>
      <c r="L520" s="5" t="str">
        <f t="shared" si="44"/>
        <v/>
      </c>
      <c r="M520" s="7"/>
      <c r="N520" s="7"/>
      <c r="O520" s="7"/>
      <c r="P520" s="20" t="str">
        <f>IF($A520="","",INDEX(Project_Tracker!$I$2:$I$101,INT((ROW()-6)/17)+1))</f>
        <v/>
      </c>
      <c r="Q520" s="20" t="str">
        <f>IF($A520="","",INDEX(Project_Tracker!$K$2:$K$101,INT((ROW()-6)/17)+1))</f>
        <v/>
      </c>
    </row>
    <row r="521" spans="1:17" x14ac:dyDescent="0.2">
      <c r="A521" s="20" t="str">
        <f>IF(INDEX(Project_Tracker!$AL$2:$AL$101,INT((ROW()-6)/17)+1)="","",INDEX(Project_Tracker!$AL$2:$AL$101,INT((ROW()-6)/17)+1))</f>
        <v/>
      </c>
      <c r="B521" s="21" t="str">
        <f>IF($A521="","",INDEX(Project_Tracker!$AM$2:$AM$101,INT((ROW()-6)/17)+1))</f>
        <v/>
      </c>
      <c r="C521" s="20" t="str">
        <f>IF($A521="","",INDEX(Project_Tracker!$C$2:$C$101,INT((ROW()-6)/17)+1))</f>
        <v/>
      </c>
      <c r="D521" s="6" t="str">
        <f>IF($A521="","",INDEX(Project_Tracker!$T$2:$T$101,INT((ROW()-6)/17)+1))</f>
        <v/>
      </c>
      <c r="E521" s="18">
        <f t="shared" si="40"/>
        <v>6</v>
      </c>
      <c r="F521" s="23" t="str">
        <f>IF($A521="","",INDEX('Logic &amp; Lists'!$I$4:$I$20,$E521))</f>
        <v/>
      </c>
      <c r="G521" s="18" t="str">
        <f>IF($A521="","",INDEX('Logic &amp; Lists'!$J$4:$J$20,$E521))</f>
        <v/>
      </c>
      <c r="H521" s="6" t="str">
        <f t="shared" si="41"/>
        <v/>
      </c>
      <c r="I521" s="18" t="str">
        <f t="shared" ca="1" si="42"/>
        <v/>
      </c>
      <c r="J521" s="5" t="str">
        <f t="shared" si="43"/>
        <v/>
      </c>
      <c r="K521" s="25"/>
      <c r="L521" s="5" t="str">
        <f t="shared" si="44"/>
        <v/>
      </c>
      <c r="M521" s="7"/>
      <c r="N521" s="7"/>
      <c r="O521" s="7"/>
      <c r="P521" s="20" t="str">
        <f>IF($A521="","",INDEX(Project_Tracker!$I$2:$I$101,INT((ROW()-6)/17)+1))</f>
        <v/>
      </c>
      <c r="Q521" s="20" t="str">
        <f>IF($A521="","",INDEX(Project_Tracker!$K$2:$K$101,INT((ROW()-6)/17)+1))</f>
        <v/>
      </c>
    </row>
    <row r="522" spans="1:17" x14ac:dyDescent="0.2">
      <c r="A522" s="20" t="str">
        <f>IF(INDEX(Project_Tracker!$AL$2:$AL$101,INT((ROW()-6)/17)+1)="","",INDEX(Project_Tracker!$AL$2:$AL$101,INT((ROW()-6)/17)+1))</f>
        <v/>
      </c>
      <c r="B522" s="21" t="str">
        <f>IF($A522="","",INDEX(Project_Tracker!$AM$2:$AM$101,INT((ROW()-6)/17)+1))</f>
        <v/>
      </c>
      <c r="C522" s="20" t="str">
        <f>IF($A522="","",INDEX(Project_Tracker!$C$2:$C$101,INT((ROW()-6)/17)+1))</f>
        <v/>
      </c>
      <c r="D522" s="6" t="str">
        <f>IF($A522="","",INDEX(Project_Tracker!$T$2:$T$101,INT((ROW()-6)/17)+1))</f>
        <v/>
      </c>
      <c r="E522" s="18">
        <f t="shared" si="40"/>
        <v>7</v>
      </c>
      <c r="F522" s="23" t="str">
        <f>IF($A522="","",INDEX('Logic &amp; Lists'!$I$4:$I$20,$E522))</f>
        <v/>
      </c>
      <c r="G522" s="18" t="str">
        <f>IF($A522="","",INDEX('Logic &amp; Lists'!$J$4:$J$20,$E522))</f>
        <v/>
      </c>
      <c r="H522" s="6" t="str">
        <f t="shared" si="41"/>
        <v/>
      </c>
      <c r="I522" s="18" t="str">
        <f t="shared" ca="1" si="42"/>
        <v/>
      </c>
      <c r="J522" s="5" t="str">
        <f t="shared" si="43"/>
        <v/>
      </c>
      <c r="K522" s="25"/>
      <c r="L522" s="5" t="str">
        <f t="shared" si="44"/>
        <v/>
      </c>
      <c r="M522" s="7"/>
      <c r="N522" s="7"/>
      <c r="O522" s="7"/>
      <c r="P522" s="20" t="str">
        <f>IF($A522="","",INDEX(Project_Tracker!$I$2:$I$101,INT((ROW()-6)/17)+1))</f>
        <v/>
      </c>
      <c r="Q522" s="20" t="str">
        <f>IF($A522="","",INDEX(Project_Tracker!$K$2:$K$101,INT((ROW()-6)/17)+1))</f>
        <v/>
      </c>
    </row>
    <row r="523" spans="1:17" x14ac:dyDescent="0.2">
      <c r="A523" s="20" t="str">
        <f>IF(INDEX(Project_Tracker!$AL$2:$AL$101,INT((ROW()-6)/17)+1)="","",INDEX(Project_Tracker!$AL$2:$AL$101,INT((ROW()-6)/17)+1))</f>
        <v/>
      </c>
      <c r="B523" s="21" t="str">
        <f>IF($A523="","",INDEX(Project_Tracker!$AM$2:$AM$101,INT((ROW()-6)/17)+1))</f>
        <v/>
      </c>
      <c r="C523" s="20" t="str">
        <f>IF($A523="","",INDEX(Project_Tracker!$C$2:$C$101,INT((ROW()-6)/17)+1))</f>
        <v/>
      </c>
      <c r="D523" s="6" t="str">
        <f>IF($A523="","",INDEX(Project_Tracker!$T$2:$T$101,INT((ROW()-6)/17)+1))</f>
        <v/>
      </c>
      <c r="E523" s="18">
        <f t="shared" si="40"/>
        <v>8</v>
      </c>
      <c r="F523" s="23" t="str">
        <f>IF($A523="","",INDEX('Logic &amp; Lists'!$I$4:$I$20,$E523))</f>
        <v/>
      </c>
      <c r="G523" s="18" t="str">
        <f>IF($A523="","",INDEX('Logic &amp; Lists'!$J$4:$J$20,$E523))</f>
        <v/>
      </c>
      <c r="H523" s="6" t="str">
        <f t="shared" si="41"/>
        <v/>
      </c>
      <c r="I523" s="18" t="str">
        <f t="shared" ca="1" si="42"/>
        <v/>
      </c>
      <c r="J523" s="5" t="str">
        <f t="shared" si="43"/>
        <v/>
      </c>
      <c r="K523" s="25"/>
      <c r="L523" s="5" t="str">
        <f t="shared" si="44"/>
        <v/>
      </c>
      <c r="M523" s="7"/>
      <c r="N523" s="7"/>
      <c r="O523" s="7"/>
      <c r="P523" s="20" t="str">
        <f>IF($A523="","",INDEX(Project_Tracker!$I$2:$I$101,INT((ROW()-6)/17)+1))</f>
        <v/>
      </c>
      <c r="Q523" s="20" t="str">
        <f>IF($A523="","",INDEX(Project_Tracker!$K$2:$K$101,INT((ROW()-6)/17)+1))</f>
        <v/>
      </c>
    </row>
    <row r="524" spans="1:17" x14ac:dyDescent="0.2">
      <c r="A524" s="20" t="str">
        <f>IF(INDEX(Project_Tracker!$AL$2:$AL$101,INT((ROW()-6)/17)+1)="","",INDEX(Project_Tracker!$AL$2:$AL$101,INT((ROW()-6)/17)+1))</f>
        <v/>
      </c>
      <c r="B524" s="21" t="str">
        <f>IF($A524="","",INDEX(Project_Tracker!$AM$2:$AM$101,INT((ROW()-6)/17)+1))</f>
        <v/>
      </c>
      <c r="C524" s="20" t="str">
        <f>IF($A524="","",INDEX(Project_Tracker!$C$2:$C$101,INT((ROW()-6)/17)+1))</f>
        <v/>
      </c>
      <c r="D524" s="6" t="str">
        <f>IF($A524="","",INDEX(Project_Tracker!$T$2:$T$101,INT((ROW()-6)/17)+1))</f>
        <v/>
      </c>
      <c r="E524" s="18">
        <f t="shared" si="40"/>
        <v>9</v>
      </c>
      <c r="F524" s="23" t="str">
        <f>IF($A524="","",INDEX('Logic &amp; Lists'!$I$4:$I$20,$E524))</f>
        <v/>
      </c>
      <c r="G524" s="18" t="str">
        <f>IF($A524="","",INDEX('Logic &amp; Lists'!$J$4:$J$20,$E524))</f>
        <v/>
      </c>
      <c r="H524" s="6" t="str">
        <f t="shared" si="41"/>
        <v/>
      </c>
      <c r="I524" s="18" t="str">
        <f t="shared" ca="1" si="42"/>
        <v/>
      </c>
      <c r="J524" s="5" t="str">
        <f t="shared" si="43"/>
        <v/>
      </c>
      <c r="K524" s="25"/>
      <c r="L524" s="5" t="str">
        <f t="shared" si="44"/>
        <v/>
      </c>
      <c r="M524" s="7"/>
      <c r="N524" s="7"/>
      <c r="O524" s="7"/>
      <c r="P524" s="20" t="str">
        <f>IF($A524="","",INDEX(Project_Tracker!$I$2:$I$101,INT((ROW()-6)/17)+1))</f>
        <v/>
      </c>
      <c r="Q524" s="20" t="str">
        <f>IF($A524="","",INDEX(Project_Tracker!$K$2:$K$101,INT((ROW()-6)/17)+1))</f>
        <v/>
      </c>
    </row>
    <row r="525" spans="1:17" x14ac:dyDescent="0.2">
      <c r="A525" s="20" t="str">
        <f>IF(INDEX(Project_Tracker!$AL$2:$AL$101,INT((ROW()-6)/17)+1)="","",INDEX(Project_Tracker!$AL$2:$AL$101,INT((ROW()-6)/17)+1))</f>
        <v/>
      </c>
      <c r="B525" s="21" t="str">
        <f>IF($A525="","",INDEX(Project_Tracker!$AM$2:$AM$101,INT((ROW()-6)/17)+1))</f>
        <v/>
      </c>
      <c r="C525" s="20" t="str">
        <f>IF($A525="","",INDEX(Project_Tracker!$C$2:$C$101,INT((ROW()-6)/17)+1))</f>
        <v/>
      </c>
      <c r="D525" s="6" t="str">
        <f>IF($A525="","",INDEX(Project_Tracker!$T$2:$T$101,INT((ROW()-6)/17)+1))</f>
        <v/>
      </c>
      <c r="E525" s="18">
        <f t="shared" si="40"/>
        <v>10</v>
      </c>
      <c r="F525" s="23" t="str">
        <f>IF($A525="","",INDEX('Logic &amp; Lists'!$I$4:$I$20,$E525))</f>
        <v/>
      </c>
      <c r="G525" s="18" t="str">
        <f>IF($A525="","",INDEX('Logic &amp; Lists'!$J$4:$J$20,$E525))</f>
        <v/>
      </c>
      <c r="H525" s="6" t="str">
        <f t="shared" si="41"/>
        <v/>
      </c>
      <c r="I525" s="18" t="str">
        <f t="shared" ca="1" si="42"/>
        <v/>
      </c>
      <c r="J525" s="5" t="str">
        <f t="shared" si="43"/>
        <v/>
      </c>
      <c r="K525" s="25"/>
      <c r="L525" s="5" t="str">
        <f t="shared" si="44"/>
        <v/>
      </c>
      <c r="M525" s="7"/>
      <c r="N525" s="7"/>
      <c r="O525" s="7"/>
      <c r="P525" s="20" t="str">
        <f>IF($A525="","",INDEX(Project_Tracker!$I$2:$I$101,INT((ROW()-6)/17)+1))</f>
        <v/>
      </c>
      <c r="Q525" s="20" t="str">
        <f>IF($A525="","",INDEX(Project_Tracker!$K$2:$K$101,INT((ROW()-6)/17)+1))</f>
        <v/>
      </c>
    </row>
    <row r="526" spans="1:17" x14ac:dyDescent="0.2">
      <c r="A526" s="20" t="str">
        <f>IF(INDEX(Project_Tracker!$AL$2:$AL$101,INT((ROW()-6)/17)+1)="","",INDEX(Project_Tracker!$AL$2:$AL$101,INT((ROW()-6)/17)+1))</f>
        <v/>
      </c>
      <c r="B526" s="21" t="str">
        <f>IF($A526="","",INDEX(Project_Tracker!$AM$2:$AM$101,INT((ROW()-6)/17)+1))</f>
        <v/>
      </c>
      <c r="C526" s="20" t="str">
        <f>IF($A526="","",INDEX(Project_Tracker!$C$2:$C$101,INT((ROW()-6)/17)+1))</f>
        <v/>
      </c>
      <c r="D526" s="6" t="str">
        <f>IF($A526="","",INDEX(Project_Tracker!$T$2:$T$101,INT((ROW()-6)/17)+1))</f>
        <v/>
      </c>
      <c r="E526" s="18">
        <f t="shared" si="40"/>
        <v>11</v>
      </c>
      <c r="F526" s="23" t="str">
        <f>IF($A526="","",INDEX('Logic &amp; Lists'!$I$4:$I$20,$E526))</f>
        <v/>
      </c>
      <c r="G526" s="18" t="str">
        <f>IF($A526="","",INDEX('Logic &amp; Lists'!$J$4:$J$20,$E526))</f>
        <v/>
      </c>
      <c r="H526" s="6" t="str">
        <f t="shared" si="41"/>
        <v/>
      </c>
      <c r="I526" s="18" t="str">
        <f t="shared" ca="1" si="42"/>
        <v/>
      </c>
      <c r="J526" s="5" t="str">
        <f t="shared" si="43"/>
        <v/>
      </c>
      <c r="K526" s="25"/>
      <c r="L526" s="5" t="str">
        <f t="shared" si="44"/>
        <v/>
      </c>
      <c r="M526" s="7"/>
      <c r="N526" s="7"/>
      <c r="O526" s="7"/>
      <c r="P526" s="20" t="str">
        <f>IF($A526="","",INDEX(Project_Tracker!$I$2:$I$101,INT((ROW()-6)/17)+1))</f>
        <v/>
      </c>
      <c r="Q526" s="20" t="str">
        <f>IF($A526="","",INDEX(Project_Tracker!$K$2:$K$101,INT((ROW()-6)/17)+1))</f>
        <v/>
      </c>
    </row>
    <row r="527" spans="1:17" x14ac:dyDescent="0.2">
      <c r="A527" s="20" t="str">
        <f>IF(INDEX(Project_Tracker!$AL$2:$AL$101,INT((ROW()-6)/17)+1)="","",INDEX(Project_Tracker!$AL$2:$AL$101,INT((ROW()-6)/17)+1))</f>
        <v/>
      </c>
      <c r="B527" s="21" t="str">
        <f>IF($A527="","",INDEX(Project_Tracker!$AM$2:$AM$101,INT((ROW()-6)/17)+1))</f>
        <v/>
      </c>
      <c r="C527" s="20" t="str">
        <f>IF($A527="","",INDEX(Project_Tracker!$C$2:$C$101,INT((ROW()-6)/17)+1))</f>
        <v/>
      </c>
      <c r="D527" s="6" t="str">
        <f>IF($A527="","",INDEX(Project_Tracker!$T$2:$T$101,INT((ROW()-6)/17)+1))</f>
        <v/>
      </c>
      <c r="E527" s="18">
        <f t="shared" si="40"/>
        <v>12</v>
      </c>
      <c r="F527" s="23" t="str">
        <f>IF($A527="","",INDEX('Logic &amp; Lists'!$I$4:$I$20,$E527))</f>
        <v/>
      </c>
      <c r="G527" s="18" t="str">
        <f>IF($A527="","",INDEX('Logic &amp; Lists'!$J$4:$J$20,$E527))</f>
        <v/>
      </c>
      <c r="H527" s="6" t="str">
        <f t="shared" si="41"/>
        <v/>
      </c>
      <c r="I527" s="18" t="str">
        <f t="shared" ca="1" si="42"/>
        <v/>
      </c>
      <c r="J527" s="5" t="str">
        <f t="shared" si="43"/>
        <v/>
      </c>
      <c r="K527" s="25"/>
      <c r="L527" s="5" t="str">
        <f t="shared" si="44"/>
        <v/>
      </c>
      <c r="M527" s="7"/>
      <c r="N527" s="7"/>
      <c r="O527" s="7"/>
      <c r="P527" s="20" t="str">
        <f>IF($A527="","",INDEX(Project_Tracker!$I$2:$I$101,INT((ROW()-6)/17)+1))</f>
        <v/>
      </c>
      <c r="Q527" s="20" t="str">
        <f>IF($A527="","",INDEX(Project_Tracker!$K$2:$K$101,INT((ROW()-6)/17)+1))</f>
        <v/>
      </c>
    </row>
    <row r="528" spans="1:17" x14ac:dyDescent="0.2">
      <c r="A528" s="20" t="str">
        <f>IF(INDEX(Project_Tracker!$AL$2:$AL$101,INT((ROW()-6)/17)+1)="","",INDEX(Project_Tracker!$AL$2:$AL$101,INT((ROW()-6)/17)+1))</f>
        <v/>
      </c>
      <c r="B528" s="21" t="str">
        <f>IF($A528="","",INDEX(Project_Tracker!$AM$2:$AM$101,INT((ROW()-6)/17)+1))</f>
        <v/>
      </c>
      <c r="C528" s="20" t="str">
        <f>IF($A528="","",INDEX(Project_Tracker!$C$2:$C$101,INT((ROW()-6)/17)+1))</f>
        <v/>
      </c>
      <c r="D528" s="6" t="str">
        <f>IF($A528="","",INDEX(Project_Tracker!$T$2:$T$101,INT((ROW()-6)/17)+1))</f>
        <v/>
      </c>
      <c r="E528" s="18">
        <f t="shared" si="40"/>
        <v>13</v>
      </c>
      <c r="F528" s="23" t="str">
        <f>IF($A528="","",INDEX('Logic &amp; Lists'!$I$4:$I$20,$E528))</f>
        <v/>
      </c>
      <c r="G528" s="18" t="str">
        <f>IF($A528="","",INDEX('Logic &amp; Lists'!$J$4:$J$20,$E528))</f>
        <v/>
      </c>
      <c r="H528" s="6" t="str">
        <f t="shared" si="41"/>
        <v/>
      </c>
      <c r="I528" s="18" t="str">
        <f t="shared" ca="1" si="42"/>
        <v/>
      </c>
      <c r="J528" s="5" t="str">
        <f t="shared" si="43"/>
        <v/>
      </c>
      <c r="K528" s="25"/>
      <c r="L528" s="5" t="str">
        <f t="shared" si="44"/>
        <v/>
      </c>
      <c r="M528" s="7"/>
      <c r="N528" s="7"/>
      <c r="O528" s="7"/>
      <c r="P528" s="20" t="str">
        <f>IF($A528="","",INDEX(Project_Tracker!$I$2:$I$101,INT((ROW()-6)/17)+1))</f>
        <v/>
      </c>
      <c r="Q528" s="20" t="str">
        <f>IF($A528="","",INDEX(Project_Tracker!$K$2:$K$101,INT((ROW()-6)/17)+1))</f>
        <v/>
      </c>
    </row>
    <row r="529" spans="1:17" x14ac:dyDescent="0.2">
      <c r="A529" s="20" t="str">
        <f>IF(INDEX(Project_Tracker!$AL$2:$AL$101,INT((ROW()-6)/17)+1)="","",INDEX(Project_Tracker!$AL$2:$AL$101,INT((ROW()-6)/17)+1))</f>
        <v/>
      </c>
      <c r="B529" s="21" t="str">
        <f>IF($A529="","",INDEX(Project_Tracker!$AM$2:$AM$101,INT((ROW()-6)/17)+1))</f>
        <v/>
      </c>
      <c r="C529" s="20" t="str">
        <f>IF($A529="","",INDEX(Project_Tracker!$C$2:$C$101,INT((ROW()-6)/17)+1))</f>
        <v/>
      </c>
      <c r="D529" s="6" t="str">
        <f>IF($A529="","",INDEX(Project_Tracker!$T$2:$T$101,INT((ROW()-6)/17)+1))</f>
        <v/>
      </c>
      <c r="E529" s="18">
        <f t="shared" si="40"/>
        <v>14</v>
      </c>
      <c r="F529" s="23" t="str">
        <f>IF($A529="","",INDEX('Logic &amp; Lists'!$I$4:$I$20,$E529))</f>
        <v/>
      </c>
      <c r="G529" s="18" t="str">
        <f>IF($A529="","",INDEX('Logic &amp; Lists'!$J$4:$J$20,$E529))</f>
        <v/>
      </c>
      <c r="H529" s="6" t="str">
        <f t="shared" si="41"/>
        <v/>
      </c>
      <c r="I529" s="18" t="str">
        <f t="shared" ca="1" si="42"/>
        <v/>
      </c>
      <c r="J529" s="5" t="str">
        <f t="shared" si="43"/>
        <v/>
      </c>
      <c r="K529" s="25"/>
      <c r="L529" s="5" t="str">
        <f t="shared" si="44"/>
        <v/>
      </c>
      <c r="M529" s="7"/>
      <c r="N529" s="7"/>
      <c r="O529" s="7"/>
      <c r="P529" s="20" t="str">
        <f>IF($A529="","",INDEX(Project_Tracker!$I$2:$I$101,INT((ROW()-6)/17)+1))</f>
        <v/>
      </c>
      <c r="Q529" s="20" t="str">
        <f>IF($A529="","",INDEX(Project_Tracker!$K$2:$K$101,INT((ROW()-6)/17)+1))</f>
        <v/>
      </c>
    </row>
    <row r="530" spans="1:17" x14ac:dyDescent="0.2">
      <c r="A530" s="20" t="str">
        <f>IF(INDEX(Project_Tracker!$AL$2:$AL$101,INT((ROW()-6)/17)+1)="","",INDEX(Project_Tracker!$AL$2:$AL$101,INT((ROW()-6)/17)+1))</f>
        <v/>
      </c>
      <c r="B530" s="21" t="str">
        <f>IF($A530="","",INDEX(Project_Tracker!$AM$2:$AM$101,INT((ROW()-6)/17)+1))</f>
        <v/>
      </c>
      <c r="C530" s="20" t="str">
        <f>IF($A530="","",INDEX(Project_Tracker!$C$2:$C$101,INT((ROW()-6)/17)+1))</f>
        <v/>
      </c>
      <c r="D530" s="6" t="str">
        <f>IF($A530="","",INDEX(Project_Tracker!$T$2:$T$101,INT((ROW()-6)/17)+1))</f>
        <v/>
      </c>
      <c r="E530" s="18">
        <f t="shared" si="40"/>
        <v>15</v>
      </c>
      <c r="F530" s="23" t="str">
        <f>IF($A530="","",INDEX('Logic &amp; Lists'!$I$4:$I$20,$E530))</f>
        <v/>
      </c>
      <c r="G530" s="18" t="str">
        <f>IF($A530="","",INDEX('Logic &amp; Lists'!$J$4:$J$20,$E530))</f>
        <v/>
      </c>
      <c r="H530" s="6" t="str">
        <f t="shared" si="41"/>
        <v/>
      </c>
      <c r="I530" s="18" t="str">
        <f t="shared" ca="1" si="42"/>
        <v/>
      </c>
      <c r="J530" s="5" t="str">
        <f t="shared" si="43"/>
        <v/>
      </c>
      <c r="K530" s="25"/>
      <c r="L530" s="5" t="str">
        <f t="shared" si="44"/>
        <v/>
      </c>
      <c r="M530" s="7"/>
      <c r="N530" s="7"/>
      <c r="O530" s="7"/>
      <c r="P530" s="20" t="str">
        <f>IF($A530="","",INDEX(Project_Tracker!$I$2:$I$101,INT((ROW()-6)/17)+1))</f>
        <v/>
      </c>
      <c r="Q530" s="20" t="str">
        <f>IF($A530="","",INDEX(Project_Tracker!$K$2:$K$101,INT((ROW()-6)/17)+1))</f>
        <v/>
      </c>
    </row>
    <row r="531" spans="1:17" x14ac:dyDescent="0.2">
      <c r="A531" s="20" t="str">
        <f>IF(INDEX(Project_Tracker!$AL$2:$AL$101,INT((ROW()-6)/17)+1)="","",INDEX(Project_Tracker!$AL$2:$AL$101,INT((ROW()-6)/17)+1))</f>
        <v/>
      </c>
      <c r="B531" s="21" t="str">
        <f>IF($A531="","",INDEX(Project_Tracker!$AM$2:$AM$101,INT((ROW()-6)/17)+1))</f>
        <v/>
      </c>
      <c r="C531" s="20" t="str">
        <f>IF($A531="","",INDEX(Project_Tracker!$C$2:$C$101,INT((ROW()-6)/17)+1))</f>
        <v/>
      </c>
      <c r="D531" s="6" t="str">
        <f>IF($A531="","",INDEX(Project_Tracker!$T$2:$T$101,INT((ROW()-6)/17)+1))</f>
        <v/>
      </c>
      <c r="E531" s="18">
        <f t="shared" si="40"/>
        <v>16</v>
      </c>
      <c r="F531" s="23" t="str">
        <f>IF($A531="","",INDEX('Logic &amp; Lists'!$I$4:$I$20,$E531))</f>
        <v/>
      </c>
      <c r="G531" s="18" t="str">
        <f>IF($A531="","",INDEX('Logic &amp; Lists'!$J$4:$J$20,$E531))</f>
        <v/>
      </c>
      <c r="H531" s="6" t="str">
        <f t="shared" si="41"/>
        <v/>
      </c>
      <c r="I531" s="18" t="str">
        <f t="shared" ca="1" si="42"/>
        <v/>
      </c>
      <c r="J531" s="5" t="str">
        <f t="shared" si="43"/>
        <v/>
      </c>
      <c r="K531" s="25"/>
      <c r="L531" s="5" t="str">
        <f t="shared" si="44"/>
        <v/>
      </c>
      <c r="M531" s="7"/>
      <c r="N531" s="7"/>
      <c r="O531" s="7"/>
      <c r="P531" s="20" t="str">
        <f>IF($A531="","",INDEX(Project_Tracker!$I$2:$I$101,INT((ROW()-6)/17)+1))</f>
        <v/>
      </c>
      <c r="Q531" s="20" t="str">
        <f>IF($A531="","",INDEX(Project_Tracker!$K$2:$K$101,INT((ROW()-6)/17)+1))</f>
        <v/>
      </c>
    </row>
    <row r="532" spans="1:17" x14ac:dyDescent="0.2">
      <c r="A532" s="20" t="str">
        <f>IF(INDEX(Project_Tracker!$AL$2:$AL$101,INT((ROW()-6)/17)+1)="","",INDEX(Project_Tracker!$AL$2:$AL$101,INT((ROW()-6)/17)+1))</f>
        <v/>
      </c>
      <c r="B532" s="21" t="str">
        <f>IF($A532="","",INDEX(Project_Tracker!$AM$2:$AM$101,INT((ROW()-6)/17)+1))</f>
        <v/>
      </c>
      <c r="C532" s="20" t="str">
        <f>IF($A532="","",INDEX(Project_Tracker!$C$2:$C$101,INT((ROW()-6)/17)+1))</f>
        <v/>
      </c>
      <c r="D532" s="6" t="str">
        <f>IF($A532="","",INDEX(Project_Tracker!$T$2:$T$101,INT((ROW()-6)/17)+1))</f>
        <v/>
      </c>
      <c r="E532" s="18">
        <f t="shared" si="40"/>
        <v>17</v>
      </c>
      <c r="F532" s="23" t="str">
        <f>IF($A532="","",INDEX('Logic &amp; Lists'!$I$4:$I$20,$E532))</f>
        <v/>
      </c>
      <c r="G532" s="18" t="str">
        <f>IF($A532="","",INDEX('Logic &amp; Lists'!$J$4:$J$20,$E532))</f>
        <v/>
      </c>
      <c r="H532" s="6" t="str">
        <f t="shared" si="41"/>
        <v/>
      </c>
      <c r="I532" s="18" t="str">
        <f t="shared" ca="1" si="42"/>
        <v/>
      </c>
      <c r="J532" s="5" t="str">
        <f t="shared" si="43"/>
        <v/>
      </c>
      <c r="K532" s="25"/>
      <c r="L532" s="5" t="str">
        <f t="shared" si="44"/>
        <v/>
      </c>
      <c r="M532" s="7"/>
      <c r="N532" s="7"/>
      <c r="O532" s="7"/>
      <c r="P532" s="20" t="str">
        <f>IF($A532="","",INDEX(Project_Tracker!$I$2:$I$101,INT((ROW()-6)/17)+1))</f>
        <v/>
      </c>
      <c r="Q532" s="20" t="str">
        <f>IF($A532="","",INDEX(Project_Tracker!$K$2:$K$101,INT((ROW()-6)/17)+1))</f>
        <v/>
      </c>
    </row>
    <row r="533" spans="1:17" x14ac:dyDescent="0.2">
      <c r="A533" s="20" t="str">
        <f>IF(INDEX(Project_Tracker!$AL$2:$AL$101,INT((ROW()-6)/17)+1)="","",INDEX(Project_Tracker!$AL$2:$AL$101,INT((ROW()-6)/17)+1))</f>
        <v/>
      </c>
      <c r="B533" s="21" t="str">
        <f>IF($A533="","",INDEX(Project_Tracker!$AM$2:$AM$101,INT((ROW()-6)/17)+1))</f>
        <v/>
      </c>
      <c r="C533" s="20" t="str">
        <f>IF($A533="","",INDEX(Project_Tracker!$C$2:$C$101,INT((ROW()-6)/17)+1))</f>
        <v/>
      </c>
      <c r="D533" s="6" t="str">
        <f>IF($A533="","",INDEX(Project_Tracker!$T$2:$T$101,INT((ROW()-6)/17)+1))</f>
        <v/>
      </c>
      <c r="E533" s="18">
        <f t="shared" si="40"/>
        <v>1</v>
      </c>
      <c r="F533" s="23" t="str">
        <f>IF($A533="","",INDEX('Logic &amp; Lists'!$I$4:$I$20,$E533))</f>
        <v/>
      </c>
      <c r="G533" s="18" t="str">
        <f>IF($A533="","",INDEX('Logic &amp; Lists'!$J$4:$J$20,$E533))</f>
        <v/>
      </c>
      <c r="H533" s="6" t="str">
        <f t="shared" si="41"/>
        <v/>
      </c>
      <c r="I533" s="18" t="str">
        <f t="shared" ca="1" si="42"/>
        <v/>
      </c>
      <c r="J533" s="5" t="str">
        <f t="shared" si="43"/>
        <v/>
      </c>
      <c r="K533" s="25"/>
      <c r="L533" s="5" t="str">
        <f t="shared" si="44"/>
        <v/>
      </c>
      <c r="M533" s="7"/>
      <c r="N533" s="7"/>
      <c r="O533" s="7"/>
      <c r="P533" s="20" t="str">
        <f>IF($A533="","",INDEX(Project_Tracker!$I$2:$I$101,INT((ROW()-6)/17)+1))</f>
        <v/>
      </c>
      <c r="Q533" s="20" t="str">
        <f>IF($A533="","",INDEX(Project_Tracker!$K$2:$K$101,INT((ROW()-6)/17)+1))</f>
        <v/>
      </c>
    </row>
    <row r="534" spans="1:17" x14ac:dyDescent="0.2">
      <c r="A534" s="20" t="str">
        <f>IF(INDEX(Project_Tracker!$AL$2:$AL$101,INT((ROW()-6)/17)+1)="","",INDEX(Project_Tracker!$AL$2:$AL$101,INT((ROW()-6)/17)+1))</f>
        <v/>
      </c>
      <c r="B534" s="21" t="str">
        <f>IF($A534="","",INDEX(Project_Tracker!$AM$2:$AM$101,INT((ROW()-6)/17)+1))</f>
        <v/>
      </c>
      <c r="C534" s="20" t="str">
        <f>IF($A534="","",INDEX(Project_Tracker!$C$2:$C$101,INT((ROW()-6)/17)+1))</f>
        <v/>
      </c>
      <c r="D534" s="6" t="str">
        <f>IF($A534="","",INDEX(Project_Tracker!$T$2:$T$101,INT((ROW()-6)/17)+1))</f>
        <v/>
      </c>
      <c r="E534" s="18">
        <f t="shared" si="40"/>
        <v>2</v>
      </c>
      <c r="F534" s="23" t="str">
        <f>IF($A534="","",INDEX('Logic &amp; Lists'!$I$4:$I$20,$E534))</f>
        <v/>
      </c>
      <c r="G534" s="18" t="str">
        <f>IF($A534="","",INDEX('Logic &amp; Lists'!$J$4:$J$20,$E534))</f>
        <v/>
      </c>
      <c r="H534" s="6" t="str">
        <f t="shared" si="41"/>
        <v/>
      </c>
      <c r="I534" s="18" t="str">
        <f t="shared" ca="1" si="42"/>
        <v/>
      </c>
      <c r="J534" s="5" t="str">
        <f t="shared" si="43"/>
        <v/>
      </c>
      <c r="K534" s="25"/>
      <c r="L534" s="5" t="str">
        <f t="shared" si="44"/>
        <v/>
      </c>
      <c r="M534" s="7"/>
      <c r="N534" s="7"/>
      <c r="O534" s="7"/>
      <c r="P534" s="20" t="str">
        <f>IF($A534="","",INDEX(Project_Tracker!$I$2:$I$101,INT((ROW()-6)/17)+1))</f>
        <v/>
      </c>
      <c r="Q534" s="20" t="str">
        <f>IF($A534="","",INDEX(Project_Tracker!$K$2:$K$101,INT((ROW()-6)/17)+1))</f>
        <v/>
      </c>
    </row>
    <row r="535" spans="1:17" x14ac:dyDescent="0.2">
      <c r="A535" s="20" t="str">
        <f>IF(INDEX(Project_Tracker!$AL$2:$AL$101,INT((ROW()-6)/17)+1)="","",INDEX(Project_Tracker!$AL$2:$AL$101,INT((ROW()-6)/17)+1))</f>
        <v/>
      </c>
      <c r="B535" s="21" t="str">
        <f>IF($A535="","",INDEX(Project_Tracker!$AM$2:$AM$101,INT((ROW()-6)/17)+1))</f>
        <v/>
      </c>
      <c r="C535" s="20" t="str">
        <f>IF($A535="","",INDEX(Project_Tracker!$C$2:$C$101,INT((ROW()-6)/17)+1))</f>
        <v/>
      </c>
      <c r="D535" s="6" t="str">
        <f>IF($A535="","",INDEX(Project_Tracker!$T$2:$T$101,INT((ROW()-6)/17)+1))</f>
        <v/>
      </c>
      <c r="E535" s="18">
        <f t="shared" si="40"/>
        <v>3</v>
      </c>
      <c r="F535" s="23" t="str">
        <f>IF($A535="","",INDEX('Logic &amp; Lists'!$I$4:$I$20,$E535))</f>
        <v/>
      </c>
      <c r="G535" s="18" t="str">
        <f>IF($A535="","",INDEX('Logic &amp; Lists'!$J$4:$J$20,$E535))</f>
        <v/>
      </c>
      <c r="H535" s="6" t="str">
        <f t="shared" si="41"/>
        <v/>
      </c>
      <c r="I535" s="18" t="str">
        <f t="shared" ca="1" si="42"/>
        <v/>
      </c>
      <c r="J535" s="5" t="str">
        <f t="shared" si="43"/>
        <v/>
      </c>
      <c r="K535" s="25"/>
      <c r="L535" s="5" t="str">
        <f t="shared" si="44"/>
        <v/>
      </c>
      <c r="M535" s="7"/>
      <c r="N535" s="7"/>
      <c r="O535" s="7"/>
      <c r="P535" s="20" t="str">
        <f>IF($A535="","",INDEX(Project_Tracker!$I$2:$I$101,INT((ROW()-6)/17)+1))</f>
        <v/>
      </c>
      <c r="Q535" s="20" t="str">
        <f>IF($A535="","",INDEX(Project_Tracker!$K$2:$K$101,INT((ROW()-6)/17)+1))</f>
        <v/>
      </c>
    </row>
    <row r="536" spans="1:17" x14ac:dyDescent="0.2">
      <c r="A536" s="20" t="str">
        <f>IF(INDEX(Project_Tracker!$AL$2:$AL$101,INT((ROW()-6)/17)+1)="","",INDEX(Project_Tracker!$AL$2:$AL$101,INT((ROW()-6)/17)+1))</f>
        <v/>
      </c>
      <c r="B536" s="21" t="str">
        <f>IF($A536="","",INDEX(Project_Tracker!$AM$2:$AM$101,INT((ROW()-6)/17)+1))</f>
        <v/>
      </c>
      <c r="C536" s="20" t="str">
        <f>IF($A536="","",INDEX(Project_Tracker!$C$2:$C$101,INT((ROW()-6)/17)+1))</f>
        <v/>
      </c>
      <c r="D536" s="6" t="str">
        <f>IF($A536="","",INDEX(Project_Tracker!$T$2:$T$101,INT((ROW()-6)/17)+1))</f>
        <v/>
      </c>
      <c r="E536" s="18">
        <f t="shared" si="40"/>
        <v>4</v>
      </c>
      <c r="F536" s="23" t="str">
        <f>IF($A536="","",INDEX('Logic &amp; Lists'!$I$4:$I$20,$E536))</f>
        <v/>
      </c>
      <c r="G536" s="18" t="str">
        <f>IF($A536="","",INDEX('Logic &amp; Lists'!$J$4:$J$20,$E536))</f>
        <v/>
      </c>
      <c r="H536" s="6" t="str">
        <f t="shared" si="41"/>
        <v/>
      </c>
      <c r="I536" s="18" t="str">
        <f t="shared" ca="1" si="42"/>
        <v/>
      </c>
      <c r="J536" s="5" t="str">
        <f t="shared" si="43"/>
        <v/>
      </c>
      <c r="K536" s="25"/>
      <c r="L536" s="5" t="str">
        <f t="shared" si="44"/>
        <v/>
      </c>
      <c r="M536" s="7"/>
      <c r="N536" s="7"/>
      <c r="O536" s="7"/>
      <c r="P536" s="20" t="str">
        <f>IF($A536="","",INDEX(Project_Tracker!$I$2:$I$101,INT((ROW()-6)/17)+1))</f>
        <v/>
      </c>
      <c r="Q536" s="20" t="str">
        <f>IF($A536="","",INDEX(Project_Tracker!$K$2:$K$101,INT((ROW()-6)/17)+1))</f>
        <v/>
      </c>
    </row>
    <row r="537" spans="1:17" x14ac:dyDescent="0.2">
      <c r="A537" s="20" t="str">
        <f>IF(INDEX(Project_Tracker!$AL$2:$AL$101,INT((ROW()-6)/17)+1)="","",INDEX(Project_Tracker!$AL$2:$AL$101,INT((ROW()-6)/17)+1))</f>
        <v/>
      </c>
      <c r="B537" s="21" t="str">
        <f>IF($A537="","",INDEX(Project_Tracker!$AM$2:$AM$101,INT((ROW()-6)/17)+1))</f>
        <v/>
      </c>
      <c r="C537" s="20" t="str">
        <f>IF($A537="","",INDEX(Project_Tracker!$C$2:$C$101,INT((ROW()-6)/17)+1))</f>
        <v/>
      </c>
      <c r="D537" s="6" t="str">
        <f>IF($A537="","",INDEX(Project_Tracker!$T$2:$T$101,INT((ROW()-6)/17)+1))</f>
        <v/>
      </c>
      <c r="E537" s="18">
        <f t="shared" si="40"/>
        <v>5</v>
      </c>
      <c r="F537" s="23" t="str">
        <f>IF($A537="","",INDEX('Logic &amp; Lists'!$I$4:$I$20,$E537))</f>
        <v/>
      </c>
      <c r="G537" s="18" t="str">
        <f>IF($A537="","",INDEX('Logic &amp; Lists'!$J$4:$J$20,$E537))</f>
        <v/>
      </c>
      <c r="H537" s="6" t="str">
        <f t="shared" si="41"/>
        <v/>
      </c>
      <c r="I537" s="18" t="str">
        <f t="shared" ca="1" si="42"/>
        <v/>
      </c>
      <c r="J537" s="5" t="str">
        <f t="shared" si="43"/>
        <v/>
      </c>
      <c r="K537" s="25"/>
      <c r="L537" s="5" t="str">
        <f t="shared" si="44"/>
        <v/>
      </c>
      <c r="M537" s="7"/>
      <c r="N537" s="7"/>
      <c r="O537" s="7"/>
      <c r="P537" s="20" t="str">
        <f>IF($A537="","",INDEX(Project_Tracker!$I$2:$I$101,INT((ROW()-6)/17)+1))</f>
        <v/>
      </c>
      <c r="Q537" s="20" t="str">
        <f>IF($A537="","",INDEX(Project_Tracker!$K$2:$K$101,INT((ROW()-6)/17)+1))</f>
        <v/>
      </c>
    </row>
    <row r="538" spans="1:17" x14ac:dyDescent="0.2">
      <c r="A538" s="20" t="str">
        <f>IF(INDEX(Project_Tracker!$AL$2:$AL$101,INT((ROW()-6)/17)+1)="","",INDEX(Project_Tracker!$AL$2:$AL$101,INT((ROW()-6)/17)+1))</f>
        <v/>
      </c>
      <c r="B538" s="21" t="str">
        <f>IF($A538="","",INDEX(Project_Tracker!$AM$2:$AM$101,INT((ROW()-6)/17)+1))</f>
        <v/>
      </c>
      <c r="C538" s="20" t="str">
        <f>IF($A538="","",INDEX(Project_Tracker!$C$2:$C$101,INT((ROW()-6)/17)+1))</f>
        <v/>
      </c>
      <c r="D538" s="6" t="str">
        <f>IF($A538="","",INDEX(Project_Tracker!$T$2:$T$101,INT((ROW()-6)/17)+1))</f>
        <v/>
      </c>
      <c r="E538" s="18">
        <f t="shared" si="40"/>
        <v>6</v>
      </c>
      <c r="F538" s="23" t="str">
        <f>IF($A538="","",INDEX('Logic &amp; Lists'!$I$4:$I$20,$E538))</f>
        <v/>
      </c>
      <c r="G538" s="18" t="str">
        <f>IF($A538="","",INDEX('Logic &amp; Lists'!$J$4:$J$20,$E538))</f>
        <v/>
      </c>
      <c r="H538" s="6" t="str">
        <f t="shared" si="41"/>
        <v/>
      </c>
      <c r="I538" s="18" t="str">
        <f t="shared" ca="1" si="42"/>
        <v/>
      </c>
      <c r="J538" s="5" t="str">
        <f t="shared" si="43"/>
        <v/>
      </c>
      <c r="K538" s="25"/>
      <c r="L538" s="5" t="str">
        <f t="shared" si="44"/>
        <v/>
      </c>
      <c r="M538" s="7"/>
      <c r="N538" s="7"/>
      <c r="O538" s="7"/>
      <c r="P538" s="20" t="str">
        <f>IF($A538="","",INDEX(Project_Tracker!$I$2:$I$101,INT((ROW()-6)/17)+1))</f>
        <v/>
      </c>
      <c r="Q538" s="20" t="str">
        <f>IF($A538="","",INDEX(Project_Tracker!$K$2:$K$101,INT((ROW()-6)/17)+1))</f>
        <v/>
      </c>
    </row>
    <row r="539" spans="1:17" x14ac:dyDescent="0.2">
      <c r="A539" s="20" t="str">
        <f>IF(INDEX(Project_Tracker!$AL$2:$AL$101,INT((ROW()-6)/17)+1)="","",INDEX(Project_Tracker!$AL$2:$AL$101,INT((ROW()-6)/17)+1))</f>
        <v/>
      </c>
      <c r="B539" s="21" t="str">
        <f>IF($A539="","",INDEX(Project_Tracker!$AM$2:$AM$101,INT((ROW()-6)/17)+1))</f>
        <v/>
      </c>
      <c r="C539" s="20" t="str">
        <f>IF($A539="","",INDEX(Project_Tracker!$C$2:$C$101,INT((ROW()-6)/17)+1))</f>
        <v/>
      </c>
      <c r="D539" s="6" t="str">
        <f>IF($A539="","",INDEX(Project_Tracker!$T$2:$T$101,INT((ROW()-6)/17)+1))</f>
        <v/>
      </c>
      <c r="E539" s="18">
        <f t="shared" si="40"/>
        <v>7</v>
      </c>
      <c r="F539" s="23" t="str">
        <f>IF($A539="","",INDEX('Logic &amp; Lists'!$I$4:$I$20,$E539))</f>
        <v/>
      </c>
      <c r="G539" s="18" t="str">
        <f>IF($A539="","",INDEX('Logic &amp; Lists'!$J$4:$J$20,$E539))</f>
        <v/>
      </c>
      <c r="H539" s="6" t="str">
        <f t="shared" si="41"/>
        <v/>
      </c>
      <c r="I539" s="18" t="str">
        <f t="shared" ca="1" si="42"/>
        <v/>
      </c>
      <c r="J539" s="5" t="str">
        <f t="shared" si="43"/>
        <v/>
      </c>
      <c r="K539" s="25"/>
      <c r="L539" s="5" t="str">
        <f t="shared" si="44"/>
        <v/>
      </c>
      <c r="M539" s="7"/>
      <c r="N539" s="7"/>
      <c r="O539" s="7"/>
      <c r="P539" s="20" t="str">
        <f>IF($A539="","",INDEX(Project_Tracker!$I$2:$I$101,INT((ROW()-6)/17)+1))</f>
        <v/>
      </c>
      <c r="Q539" s="20" t="str">
        <f>IF($A539="","",INDEX(Project_Tracker!$K$2:$K$101,INT((ROW()-6)/17)+1))</f>
        <v/>
      </c>
    </row>
    <row r="540" spans="1:17" x14ac:dyDescent="0.2">
      <c r="A540" s="20" t="str">
        <f>IF(INDEX(Project_Tracker!$AL$2:$AL$101,INT((ROW()-6)/17)+1)="","",INDEX(Project_Tracker!$AL$2:$AL$101,INT((ROW()-6)/17)+1))</f>
        <v/>
      </c>
      <c r="B540" s="21" t="str">
        <f>IF($A540="","",INDEX(Project_Tracker!$AM$2:$AM$101,INT((ROW()-6)/17)+1))</f>
        <v/>
      </c>
      <c r="C540" s="20" t="str">
        <f>IF($A540="","",INDEX(Project_Tracker!$C$2:$C$101,INT((ROW()-6)/17)+1))</f>
        <v/>
      </c>
      <c r="D540" s="6" t="str">
        <f>IF($A540="","",INDEX(Project_Tracker!$T$2:$T$101,INT((ROW()-6)/17)+1))</f>
        <v/>
      </c>
      <c r="E540" s="18">
        <f t="shared" si="40"/>
        <v>8</v>
      </c>
      <c r="F540" s="23" t="str">
        <f>IF($A540="","",INDEX('Logic &amp; Lists'!$I$4:$I$20,$E540))</f>
        <v/>
      </c>
      <c r="G540" s="18" t="str">
        <f>IF($A540="","",INDEX('Logic &amp; Lists'!$J$4:$J$20,$E540))</f>
        <v/>
      </c>
      <c r="H540" s="6" t="str">
        <f t="shared" si="41"/>
        <v/>
      </c>
      <c r="I540" s="18" t="str">
        <f t="shared" ca="1" si="42"/>
        <v/>
      </c>
      <c r="J540" s="5" t="str">
        <f t="shared" si="43"/>
        <v/>
      </c>
      <c r="K540" s="25"/>
      <c r="L540" s="5" t="str">
        <f t="shared" si="44"/>
        <v/>
      </c>
      <c r="M540" s="7"/>
      <c r="N540" s="7"/>
      <c r="O540" s="7"/>
      <c r="P540" s="20" t="str">
        <f>IF($A540="","",INDEX(Project_Tracker!$I$2:$I$101,INT((ROW()-6)/17)+1))</f>
        <v/>
      </c>
      <c r="Q540" s="20" t="str">
        <f>IF($A540="","",INDEX(Project_Tracker!$K$2:$K$101,INT((ROW()-6)/17)+1))</f>
        <v/>
      </c>
    </row>
    <row r="541" spans="1:17" x14ac:dyDescent="0.2">
      <c r="A541" s="20" t="str">
        <f>IF(INDEX(Project_Tracker!$AL$2:$AL$101,INT((ROW()-6)/17)+1)="","",INDEX(Project_Tracker!$AL$2:$AL$101,INT((ROW()-6)/17)+1))</f>
        <v/>
      </c>
      <c r="B541" s="21" t="str">
        <f>IF($A541="","",INDEX(Project_Tracker!$AM$2:$AM$101,INT((ROW()-6)/17)+1))</f>
        <v/>
      </c>
      <c r="C541" s="20" t="str">
        <f>IF($A541="","",INDEX(Project_Tracker!$C$2:$C$101,INT((ROW()-6)/17)+1))</f>
        <v/>
      </c>
      <c r="D541" s="6" t="str">
        <f>IF($A541="","",INDEX(Project_Tracker!$T$2:$T$101,INT((ROW()-6)/17)+1))</f>
        <v/>
      </c>
      <c r="E541" s="18">
        <f t="shared" si="40"/>
        <v>9</v>
      </c>
      <c r="F541" s="23" t="str">
        <f>IF($A541="","",INDEX('Logic &amp; Lists'!$I$4:$I$20,$E541))</f>
        <v/>
      </c>
      <c r="G541" s="18" t="str">
        <f>IF($A541="","",INDEX('Logic &amp; Lists'!$J$4:$J$20,$E541))</f>
        <v/>
      </c>
      <c r="H541" s="6" t="str">
        <f t="shared" si="41"/>
        <v/>
      </c>
      <c r="I541" s="18" t="str">
        <f t="shared" ca="1" si="42"/>
        <v/>
      </c>
      <c r="J541" s="5" t="str">
        <f t="shared" si="43"/>
        <v/>
      </c>
      <c r="K541" s="25"/>
      <c r="L541" s="5" t="str">
        <f t="shared" si="44"/>
        <v/>
      </c>
      <c r="M541" s="7"/>
      <c r="N541" s="7"/>
      <c r="O541" s="7"/>
      <c r="P541" s="20" t="str">
        <f>IF($A541="","",INDEX(Project_Tracker!$I$2:$I$101,INT((ROW()-6)/17)+1))</f>
        <v/>
      </c>
      <c r="Q541" s="20" t="str">
        <f>IF($A541="","",INDEX(Project_Tracker!$K$2:$K$101,INT((ROW()-6)/17)+1))</f>
        <v/>
      </c>
    </row>
    <row r="542" spans="1:17" x14ac:dyDescent="0.2">
      <c r="A542" s="20" t="str">
        <f>IF(INDEX(Project_Tracker!$AL$2:$AL$101,INT((ROW()-6)/17)+1)="","",INDEX(Project_Tracker!$AL$2:$AL$101,INT((ROW()-6)/17)+1))</f>
        <v/>
      </c>
      <c r="B542" s="21" t="str">
        <f>IF($A542="","",INDEX(Project_Tracker!$AM$2:$AM$101,INT((ROW()-6)/17)+1))</f>
        <v/>
      </c>
      <c r="C542" s="20" t="str">
        <f>IF($A542="","",INDEX(Project_Tracker!$C$2:$C$101,INT((ROW()-6)/17)+1))</f>
        <v/>
      </c>
      <c r="D542" s="6" t="str">
        <f>IF($A542="","",INDEX(Project_Tracker!$T$2:$T$101,INT((ROW()-6)/17)+1))</f>
        <v/>
      </c>
      <c r="E542" s="18">
        <f t="shared" si="40"/>
        <v>10</v>
      </c>
      <c r="F542" s="23" t="str">
        <f>IF($A542="","",INDEX('Logic &amp; Lists'!$I$4:$I$20,$E542))</f>
        <v/>
      </c>
      <c r="G542" s="18" t="str">
        <f>IF($A542="","",INDEX('Logic &amp; Lists'!$J$4:$J$20,$E542))</f>
        <v/>
      </c>
      <c r="H542" s="6" t="str">
        <f t="shared" si="41"/>
        <v/>
      </c>
      <c r="I542" s="18" t="str">
        <f t="shared" ca="1" si="42"/>
        <v/>
      </c>
      <c r="J542" s="5" t="str">
        <f t="shared" si="43"/>
        <v/>
      </c>
      <c r="K542" s="25"/>
      <c r="L542" s="5" t="str">
        <f t="shared" si="44"/>
        <v/>
      </c>
      <c r="M542" s="7"/>
      <c r="N542" s="7"/>
      <c r="O542" s="7"/>
      <c r="P542" s="20" t="str">
        <f>IF($A542="","",INDEX(Project_Tracker!$I$2:$I$101,INT((ROW()-6)/17)+1))</f>
        <v/>
      </c>
      <c r="Q542" s="20" t="str">
        <f>IF($A542="","",INDEX(Project_Tracker!$K$2:$K$101,INT((ROW()-6)/17)+1))</f>
        <v/>
      </c>
    </row>
    <row r="543" spans="1:17" x14ac:dyDescent="0.2">
      <c r="A543" s="20" t="str">
        <f>IF(INDEX(Project_Tracker!$AL$2:$AL$101,INT((ROW()-6)/17)+1)="","",INDEX(Project_Tracker!$AL$2:$AL$101,INT((ROW()-6)/17)+1))</f>
        <v/>
      </c>
      <c r="B543" s="21" t="str">
        <f>IF($A543="","",INDEX(Project_Tracker!$AM$2:$AM$101,INT((ROW()-6)/17)+1))</f>
        <v/>
      </c>
      <c r="C543" s="20" t="str">
        <f>IF($A543="","",INDEX(Project_Tracker!$C$2:$C$101,INT((ROW()-6)/17)+1))</f>
        <v/>
      </c>
      <c r="D543" s="6" t="str">
        <f>IF($A543="","",INDEX(Project_Tracker!$T$2:$T$101,INT((ROW()-6)/17)+1))</f>
        <v/>
      </c>
      <c r="E543" s="18">
        <f t="shared" si="40"/>
        <v>11</v>
      </c>
      <c r="F543" s="23" t="str">
        <f>IF($A543="","",INDEX('Logic &amp; Lists'!$I$4:$I$20,$E543))</f>
        <v/>
      </c>
      <c r="G543" s="18" t="str">
        <f>IF($A543="","",INDEX('Logic &amp; Lists'!$J$4:$J$20,$E543))</f>
        <v/>
      </c>
      <c r="H543" s="6" t="str">
        <f t="shared" si="41"/>
        <v/>
      </c>
      <c r="I543" s="18" t="str">
        <f t="shared" ca="1" si="42"/>
        <v/>
      </c>
      <c r="J543" s="5" t="str">
        <f t="shared" si="43"/>
        <v/>
      </c>
      <c r="K543" s="25"/>
      <c r="L543" s="5" t="str">
        <f t="shared" si="44"/>
        <v/>
      </c>
      <c r="M543" s="7"/>
      <c r="N543" s="7"/>
      <c r="O543" s="7"/>
      <c r="P543" s="20" t="str">
        <f>IF($A543="","",INDEX(Project_Tracker!$I$2:$I$101,INT((ROW()-6)/17)+1))</f>
        <v/>
      </c>
      <c r="Q543" s="20" t="str">
        <f>IF($A543="","",INDEX(Project_Tracker!$K$2:$K$101,INT((ROW()-6)/17)+1))</f>
        <v/>
      </c>
    </row>
    <row r="544" spans="1:17" x14ac:dyDescent="0.2">
      <c r="A544" s="20" t="str">
        <f>IF(INDEX(Project_Tracker!$AL$2:$AL$101,INT((ROW()-6)/17)+1)="","",INDEX(Project_Tracker!$AL$2:$AL$101,INT((ROW()-6)/17)+1))</f>
        <v/>
      </c>
      <c r="B544" s="21" t="str">
        <f>IF($A544="","",INDEX(Project_Tracker!$AM$2:$AM$101,INT((ROW()-6)/17)+1))</f>
        <v/>
      </c>
      <c r="C544" s="20" t="str">
        <f>IF($A544="","",INDEX(Project_Tracker!$C$2:$C$101,INT((ROW()-6)/17)+1))</f>
        <v/>
      </c>
      <c r="D544" s="6" t="str">
        <f>IF($A544="","",INDEX(Project_Tracker!$T$2:$T$101,INT((ROW()-6)/17)+1))</f>
        <v/>
      </c>
      <c r="E544" s="18">
        <f t="shared" si="40"/>
        <v>12</v>
      </c>
      <c r="F544" s="23" t="str">
        <f>IF($A544="","",INDEX('Logic &amp; Lists'!$I$4:$I$20,$E544))</f>
        <v/>
      </c>
      <c r="G544" s="18" t="str">
        <f>IF($A544="","",INDEX('Logic &amp; Lists'!$J$4:$J$20,$E544))</f>
        <v/>
      </c>
      <c r="H544" s="6" t="str">
        <f t="shared" si="41"/>
        <v/>
      </c>
      <c r="I544" s="18" t="str">
        <f t="shared" ca="1" si="42"/>
        <v/>
      </c>
      <c r="J544" s="5" t="str">
        <f t="shared" si="43"/>
        <v/>
      </c>
      <c r="K544" s="25"/>
      <c r="L544" s="5" t="str">
        <f t="shared" si="44"/>
        <v/>
      </c>
      <c r="M544" s="7"/>
      <c r="N544" s="7"/>
      <c r="O544" s="7"/>
      <c r="P544" s="20" t="str">
        <f>IF($A544="","",INDEX(Project_Tracker!$I$2:$I$101,INT((ROW()-6)/17)+1))</f>
        <v/>
      </c>
      <c r="Q544" s="20" t="str">
        <f>IF($A544="","",INDEX(Project_Tracker!$K$2:$K$101,INT((ROW()-6)/17)+1))</f>
        <v/>
      </c>
    </row>
    <row r="545" spans="1:17" x14ac:dyDescent="0.2">
      <c r="A545" s="20" t="str">
        <f>IF(INDEX(Project_Tracker!$AL$2:$AL$101,INT((ROW()-6)/17)+1)="","",INDEX(Project_Tracker!$AL$2:$AL$101,INT((ROW()-6)/17)+1))</f>
        <v/>
      </c>
      <c r="B545" s="21" t="str">
        <f>IF($A545="","",INDEX(Project_Tracker!$AM$2:$AM$101,INT((ROW()-6)/17)+1))</f>
        <v/>
      </c>
      <c r="C545" s="20" t="str">
        <f>IF($A545="","",INDEX(Project_Tracker!$C$2:$C$101,INT((ROW()-6)/17)+1))</f>
        <v/>
      </c>
      <c r="D545" s="6" t="str">
        <f>IF($A545="","",INDEX(Project_Tracker!$T$2:$T$101,INT((ROW()-6)/17)+1))</f>
        <v/>
      </c>
      <c r="E545" s="18">
        <f t="shared" si="40"/>
        <v>13</v>
      </c>
      <c r="F545" s="23" t="str">
        <f>IF($A545="","",INDEX('Logic &amp; Lists'!$I$4:$I$20,$E545))</f>
        <v/>
      </c>
      <c r="G545" s="18" t="str">
        <f>IF($A545="","",INDEX('Logic &amp; Lists'!$J$4:$J$20,$E545))</f>
        <v/>
      </c>
      <c r="H545" s="6" t="str">
        <f t="shared" si="41"/>
        <v/>
      </c>
      <c r="I545" s="18" t="str">
        <f t="shared" ca="1" si="42"/>
        <v/>
      </c>
      <c r="J545" s="5" t="str">
        <f t="shared" si="43"/>
        <v/>
      </c>
      <c r="K545" s="25"/>
      <c r="L545" s="5" t="str">
        <f t="shared" si="44"/>
        <v/>
      </c>
      <c r="M545" s="7"/>
      <c r="N545" s="7"/>
      <c r="O545" s="7"/>
      <c r="P545" s="20" t="str">
        <f>IF($A545="","",INDEX(Project_Tracker!$I$2:$I$101,INT((ROW()-6)/17)+1))</f>
        <v/>
      </c>
      <c r="Q545" s="20" t="str">
        <f>IF($A545="","",INDEX(Project_Tracker!$K$2:$K$101,INT((ROW()-6)/17)+1))</f>
        <v/>
      </c>
    </row>
    <row r="546" spans="1:17" x14ac:dyDescent="0.2">
      <c r="A546" s="20" t="str">
        <f>IF(INDEX(Project_Tracker!$AL$2:$AL$101,INT((ROW()-6)/17)+1)="","",INDEX(Project_Tracker!$AL$2:$AL$101,INT((ROW()-6)/17)+1))</f>
        <v/>
      </c>
      <c r="B546" s="21" t="str">
        <f>IF($A546="","",INDEX(Project_Tracker!$AM$2:$AM$101,INT((ROW()-6)/17)+1))</f>
        <v/>
      </c>
      <c r="C546" s="20" t="str">
        <f>IF($A546="","",INDEX(Project_Tracker!$C$2:$C$101,INT((ROW()-6)/17)+1))</f>
        <v/>
      </c>
      <c r="D546" s="6" t="str">
        <f>IF($A546="","",INDEX(Project_Tracker!$T$2:$T$101,INT((ROW()-6)/17)+1))</f>
        <v/>
      </c>
      <c r="E546" s="18">
        <f t="shared" si="40"/>
        <v>14</v>
      </c>
      <c r="F546" s="23" t="str">
        <f>IF($A546="","",INDEX('Logic &amp; Lists'!$I$4:$I$20,$E546))</f>
        <v/>
      </c>
      <c r="G546" s="18" t="str">
        <f>IF($A546="","",INDEX('Logic &amp; Lists'!$J$4:$J$20,$E546))</f>
        <v/>
      </c>
      <c r="H546" s="6" t="str">
        <f t="shared" si="41"/>
        <v/>
      </c>
      <c r="I546" s="18" t="str">
        <f t="shared" ca="1" si="42"/>
        <v/>
      </c>
      <c r="J546" s="5" t="str">
        <f t="shared" si="43"/>
        <v/>
      </c>
      <c r="K546" s="25"/>
      <c r="L546" s="5" t="str">
        <f t="shared" si="44"/>
        <v/>
      </c>
      <c r="M546" s="7"/>
      <c r="N546" s="7"/>
      <c r="O546" s="7"/>
      <c r="P546" s="20" t="str">
        <f>IF($A546="","",INDEX(Project_Tracker!$I$2:$I$101,INT((ROW()-6)/17)+1))</f>
        <v/>
      </c>
      <c r="Q546" s="20" t="str">
        <f>IF($A546="","",INDEX(Project_Tracker!$K$2:$K$101,INT((ROW()-6)/17)+1))</f>
        <v/>
      </c>
    </row>
    <row r="547" spans="1:17" x14ac:dyDescent="0.2">
      <c r="A547" s="20" t="str">
        <f>IF(INDEX(Project_Tracker!$AL$2:$AL$101,INT((ROW()-6)/17)+1)="","",INDEX(Project_Tracker!$AL$2:$AL$101,INT((ROW()-6)/17)+1))</f>
        <v/>
      </c>
      <c r="B547" s="21" t="str">
        <f>IF($A547="","",INDEX(Project_Tracker!$AM$2:$AM$101,INT((ROW()-6)/17)+1))</f>
        <v/>
      </c>
      <c r="C547" s="20" t="str">
        <f>IF($A547="","",INDEX(Project_Tracker!$C$2:$C$101,INT((ROW()-6)/17)+1))</f>
        <v/>
      </c>
      <c r="D547" s="6" t="str">
        <f>IF($A547="","",INDEX(Project_Tracker!$T$2:$T$101,INT((ROW()-6)/17)+1))</f>
        <v/>
      </c>
      <c r="E547" s="18">
        <f t="shared" si="40"/>
        <v>15</v>
      </c>
      <c r="F547" s="23" t="str">
        <f>IF($A547="","",INDEX('Logic &amp; Lists'!$I$4:$I$20,$E547))</f>
        <v/>
      </c>
      <c r="G547" s="18" t="str">
        <f>IF($A547="","",INDEX('Logic &amp; Lists'!$J$4:$J$20,$E547))</f>
        <v/>
      </c>
      <c r="H547" s="6" t="str">
        <f t="shared" si="41"/>
        <v/>
      </c>
      <c r="I547" s="18" t="str">
        <f t="shared" ca="1" si="42"/>
        <v/>
      </c>
      <c r="J547" s="5" t="str">
        <f t="shared" si="43"/>
        <v/>
      </c>
      <c r="K547" s="25"/>
      <c r="L547" s="5" t="str">
        <f t="shared" si="44"/>
        <v/>
      </c>
      <c r="M547" s="7"/>
      <c r="N547" s="7"/>
      <c r="O547" s="7"/>
      <c r="P547" s="20" t="str">
        <f>IF($A547="","",INDEX(Project_Tracker!$I$2:$I$101,INT((ROW()-6)/17)+1))</f>
        <v/>
      </c>
      <c r="Q547" s="20" t="str">
        <f>IF($A547="","",INDEX(Project_Tracker!$K$2:$K$101,INT((ROW()-6)/17)+1))</f>
        <v/>
      </c>
    </row>
    <row r="548" spans="1:17" x14ac:dyDescent="0.2">
      <c r="A548" s="20" t="str">
        <f>IF(INDEX(Project_Tracker!$AL$2:$AL$101,INT((ROW()-6)/17)+1)="","",INDEX(Project_Tracker!$AL$2:$AL$101,INT((ROW()-6)/17)+1))</f>
        <v/>
      </c>
      <c r="B548" s="21" t="str">
        <f>IF($A548="","",INDEX(Project_Tracker!$AM$2:$AM$101,INT((ROW()-6)/17)+1))</f>
        <v/>
      </c>
      <c r="C548" s="20" t="str">
        <f>IF($A548="","",INDEX(Project_Tracker!$C$2:$C$101,INT((ROW()-6)/17)+1))</f>
        <v/>
      </c>
      <c r="D548" s="6" t="str">
        <f>IF($A548="","",INDEX(Project_Tracker!$T$2:$T$101,INT((ROW()-6)/17)+1))</f>
        <v/>
      </c>
      <c r="E548" s="18">
        <f t="shared" si="40"/>
        <v>16</v>
      </c>
      <c r="F548" s="23" t="str">
        <f>IF($A548="","",INDEX('Logic &amp; Lists'!$I$4:$I$20,$E548))</f>
        <v/>
      </c>
      <c r="G548" s="18" t="str">
        <f>IF($A548="","",INDEX('Logic &amp; Lists'!$J$4:$J$20,$E548))</f>
        <v/>
      </c>
      <c r="H548" s="6" t="str">
        <f t="shared" si="41"/>
        <v/>
      </c>
      <c r="I548" s="18" t="str">
        <f t="shared" ca="1" si="42"/>
        <v/>
      </c>
      <c r="J548" s="5" t="str">
        <f t="shared" si="43"/>
        <v/>
      </c>
      <c r="K548" s="25"/>
      <c r="L548" s="5" t="str">
        <f t="shared" si="44"/>
        <v/>
      </c>
      <c r="M548" s="7"/>
      <c r="N548" s="7"/>
      <c r="O548" s="7"/>
      <c r="P548" s="20" t="str">
        <f>IF($A548="","",INDEX(Project_Tracker!$I$2:$I$101,INT((ROW()-6)/17)+1))</f>
        <v/>
      </c>
      <c r="Q548" s="20" t="str">
        <f>IF($A548="","",INDEX(Project_Tracker!$K$2:$K$101,INT((ROW()-6)/17)+1))</f>
        <v/>
      </c>
    </row>
    <row r="549" spans="1:17" x14ac:dyDescent="0.2">
      <c r="A549" s="20" t="str">
        <f>IF(INDEX(Project_Tracker!$AL$2:$AL$101,INT((ROW()-6)/17)+1)="","",INDEX(Project_Tracker!$AL$2:$AL$101,INT((ROW()-6)/17)+1))</f>
        <v/>
      </c>
      <c r="B549" s="21" t="str">
        <f>IF($A549="","",INDEX(Project_Tracker!$AM$2:$AM$101,INT((ROW()-6)/17)+1))</f>
        <v/>
      </c>
      <c r="C549" s="20" t="str">
        <f>IF($A549="","",INDEX(Project_Tracker!$C$2:$C$101,INT((ROW()-6)/17)+1))</f>
        <v/>
      </c>
      <c r="D549" s="6" t="str">
        <f>IF($A549="","",INDEX(Project_Tracker!$T$2:$T$101,INT((ROW()-6)/17)+1))</f>
        <v/>
      </c>
      <c r="E549" s="18">
        <f t="shared" si="40"/>
        <v>17</v>
      </c>
      <c r="F549" s="23" t="str">
        <f>IF($A549="","",INDEX('Logic &amp; Lists'!$I$4:$I$20,$E549))</f>
        <v/>
      </c>
      <c r="G549" s="18" t="str">
        <f>IF($A549="","",INDEX('Logic &amp; Lists'!$J$4:$J$20,$E549))</f>
        <v/>
      </c>
      <c r="H549" s="6" t="str">
        <f t="shared" si="41"/>
        <v/>
      </c>
      <c r="I549" s="18" t="str">
        <f t="shared" ca="1" si="42"/>
        <v/>
      </c>
      <c r="J549" s="5" t="str">
        <f t="shared" si="43"/>
        <v/>
      </c>
      <c r="K549" s="25"/>
      <c r="L549" s="5" t="str">
        <f t="shared" si="44"/>
        <v/>
      </c>
      <c r="M549" s="7"/>
      <c r="N549" s="7"/>
      <c r="O549" s="7"/>
      <c r="P549" s="20" t="str">
        <f>IF($A549="","",INDEX(Project_Tracker!$I$2:$I$101,INT((ROW()-6)/17)+1))</f>
        <v/>
      </c>
      <c r="Q549" s="20" t="str">
        <f>IF($A549="","",INDEX(Project_Tracker!$K$2:$K$101,INT((ROW()-6)/17)+1))</f>
        <v/>
      </c>
    </row>
    <row r="550" spans="1:17" x14ac:dyDescent="0.2">
      <c r="A550" s="20" t="str">
        <f>IF(INDEX(Project_Tracker!$AL$2:$AL$101,INT((ROW()-6)/17)+1)="","",INDEX(Project_Tracker!$AL$2:$AL$101,INT((ROW()-6)/17)+1))</f>
        <v/>
      </c>
      <c r="B550" s="21" t="str">
        <f>IF($A550="","",INDEX(Project_Tracker!$AM$2:$AM$101,INT((ROW()-6)/17)+1))</f>
        <v/>
      </c>
      <c r="C550" s="20" t="str">
        <f>IF($A550="","",INDEX(Project_Tracker!$C$2:$C$101,INT((ROW()-6)/17)+1))</f>
        <v/>
      </c>
      <c r="D550" s="6" t="str">
        <f>IF($A550="","",INDEX(Project_Tracker!$T$2:$T$101,INT((ROW()-6)/17)+1))</f>
        <v/>
      </c>
      <c r="E550" s="18">
        <f t="shared" si="40"/>
        <v>1</v>
      </c>
      <c r="F550" s="23" t="str">
        <f>IF($A550="","",INDEX('Logic &amp; Lists'!$I$4:$I$20,$E550))</f>
        <v/>
      </c>
      <c r="G550" s="18" t="str">
        <f>IF($A550="","",INDEX('Logic &amp; Lists'!$J$4:$J$20,$E550))</f>
        <v/>
      </c>
      <c r="H550" s="6" t="str">
        <f t="shared" si="41"/>
        <v/>
      </c>
      <c r="I550" s="18" t="str">
        <f t="shared" ca="1" si="42"/>
        <v/>
      </c>
      <c r="J550" s="5" t="str">
        <f t="shared" si="43"/>
        <v/>
      </c>
      <c r="K550" s="25"/>
      <c r="L550" s="5" t="str">
        <f t="shared" si="44"/>
        <v/>
      </c>
      <c r="M550" s="7"/>
      <c r="N550" s="7"/>
      <c r="O550" s="7"/>
      <c r="P550" s="20" t="str">
        <f>IF($A550="","",INDEX(Project_Tracker!$I$2:$I$101,INT((ROW()-6)/17)+1))</f>
        <v/>
      </c>
      <c r="Q550" s="20" t="str">
        <f>IF($A550="","",INDEX(Project_Tracker!$K$2:$K$101,INT((ROW()-6)/17)+1))</f>
        <v/>
      </c>
    </row>
    <row r="551" spans="1:17" x14ac:dyDescent="0.2">
      <c r="A551" s="20" t="str">
        <f>IF(INDEX(Project_Tracker!$AL$2:$AL$101,INT((ROW()-6)/17)+1)="","",INDEX(Project_Tracker!$AL$2:$AL$101,INT((ROW()-6)/17)+1))</f>
        <v/>
      </c>
      <c r="B551" s="21" t="str">
        <f>IF($A551="","",INDEX(Project_Tracker!$AM$2:$AM$101,INT((ROW()-6)/17)+1))</f>
        <v/>
      </c>
      <c r="C551" s="20" t="str">
        <f>IF($A551="","",INDEX(Project_Tracker!$C$2:$C$101,INT((ROW()-6)/17)+1))</f>
        <v/>
      </c>
      <c r="D551" s="6" t="str">
        <f>IF($A551="","",INDEX(Project_Tracker!$T$2:$T$101,INT((ROW()-6)/17)+1))</f>
        <v/>
      </c>
      <c r="E551" s="18">
        <f t="shared" si="40"/>
        <v>2</v>
      </c>
      <c r="F551" s="23" t="str">
        <f>IF($A551="","",INDEX('Logic &amp; Lists'!$I$4:$I$20,$E551))</f>
        <v/>
      </c>
      <c r="G551" s="18" t="str">
        <f>IF($A551="","",INDEX('Logic &amp; Lists'!$J$4:$J$20,$E551))</f>
        <v/>
      </c>
      <c r="H551" s="6" t="str">
        <f t="shared" si="41"/>
        <v/>
      </c>
      <c r="I551" s="18" t="str">
        <f t="shared" ca="1" si="42"/>
        <v/>
      </c>
      <c r="J551" s="5" t="str">
        <f t="shared" si="43"/>
        <v/>
      </c>
      <c r="K551" s="25"/>
      <c r="L551" s="5" t="str">
        <f t="shared" si="44"/>
        <v/>
      </c>
      <c r="M551" s="7"/>
      <c r="N551" s="7"/>
      <c r="O551" s="7"/>
      <c r="P551" s="20" t="str">
        <f>IF($A551="","",INDEX(Project_Tracker!$I$2:$I$101,INT((ROW()-6)/17)+1))</f>
        <v/>
      </c>
      <c r="Q551" s="20" t="str">
        <f>IF($A551="","",INDEX(Project_Tracker!$K$2:$K$101,INT((ROW()-6)/17)+1))</f>
        <v/>
      </c>
    </row>
    <row r="552" spans="1:17" x14ac:dyDescent="0.2">
      <c r="A552" s="20" t="str">
        <f>IF(INDEX(Project_Tracker!$AL$2:$AL$101,INT((ROW()-6)/17)+1)="","",INDEX(Project_Tracker!$AL$2:$AL$101,INT((ROW()-6)/17)+1))</f>
        <v/>
      </c>
      <c r="B552" s="21" t="str">
        <f>IF($A552="","",INDEX(Project_Tracker!$AM$2:$AM$101,INT((ROW()-6)/17)+1))</f>
        <v/>
      </c>
      <c r="C552" s="20" t="str">
        <f>IF($A552="","",INDEX(Project_Tracker!$C$2:$C$101,INT((ROW()-6)/17)+1))</f>
        <v/>
      </c>
      <c r="D552" s="6" t="str">
        <f>IF($A552="","",INDEX(Project_Tracker!$T$2:$T$101,INT((ROW()-6)/17)+1))</f>
        <v/>
      </c>
      <c r="E552" s="18">
        <f t="shared" si="40"/>
        <v>3</v>
      </c>
      <c r="F552" s="23" t="str">
        <f>IF($A552="","",INDEX('Logic &amp; Lists'!$I$4:$I$20,$E552))</f>
        <v/>
      </c>
      <c r="G552" s="18" t="str">
        <f>IF($A552="","",INDEX('Logic &amp; Lists'!$J$4:$J$20,$E552))</f>
        <v/>
      </c>
      <c r="H552" s="6" t="str">
        <f t="shared" si="41"/>
        <v/>
      </c>
      <c r="I552" s="18" t="str">
        <f t="shared" ca="1" si="42"/>
        <v/>
      </c>
      <c r="J552" s="5" t="str">
        <f t="shared" si="43"/>
        <v/>
      </c>
      <c r="K552" s="25"/>
      <c r="L552" s="5" t="str">
        <f t="shared" si="44"/>
        <v/>
      </c>
      <c r="M552" s="7"/>
      <c r="N552" s="7"/>
      <c r="O552" s="7"/>
      <c r="P552" s="20" t="str">
        <f>IF($A552="","",INDEX(Project_Tracker!$I$2:$I$101,INT((ROW()-6)/17)+1))</f>
        <v/>
      </c>
      <c r="Q552" s="20" t="str">
        <f>IF($A552="","",INDEX(Project_Tracker!$K$2:$K$101,INT((ROW()-6)/17)+1))</f>
        <v/>
      </c>
    </row>
    <row r="553" spans="1:17" x14ac:dyDescent="0.2">
      <c r="A553" s="20" t="str">
        <f>IF(INDEX(Project_Tracker!$AL$2:$AL$101,INT((ROW()-6)/17)+1)="","",INDEX(Project_Tracker!$AL$2:$AL$101,INT((ROW()-6)/17)+1))</f>
        <v/>
      </c>
      <c r="B553" s="21" t="str">
        <f>IF($A553="","",INDEX(Project_Tracker!$AM$2:$AM$101,INT((ROW()-6)/17)+1))</f>
        <v/>
      </c>
      <c r="C553" s="20" t="str">
        <f>IF($A553="","",INDEX(Project_Tracker!$C$2:$C$101,INT((ROW()-6)/17)+1))</f>
        <v/>
      </c>
      <c r="D553" s="6" t="str">
        <f>IF($A553="","",INDEX(Project_Tracker!$T$2:$T$101,INT((ROW()-6)/17)+1))</f>
        <v/>
      </c>
      <c r="E553" s="18">
        <f t="shared" si="40"/>
        <v>4</v>
      </c>
      <c r="F553" s="23" t="str">
        <f>IF($A553="","",INDEX('Logic &amp; Lists'!$I$4:$I$20,$E553))</f>
        <v/>
      </c>
      <c r="G553" s="18" t="str">
        <f>IF($A553="","",INDEX('Logic &amp; Lists'!$J$4:$J$20,$E553))</f>
        <v/>
      </c>
      <c r="H553" s="6" t="str">
        <f t="shared" si="41"/>
        <v/>
      </c>
      <c r="I553" s="18" t="str">
        <f t="shared" ca="1" si="42"/>
        <v/>
      </c>
      <c r="J553" s="5" t="str">
        <f t="shared" si="43"/>
        <v/>
      </c>
      <c r="K553" s="25"/>
      <c r="L553" s="5" t="str">
        <f t="shared" si="44"/>
        <v/>
      </c>
      <c r="M553" s="7"/>
      <c r="N553" s="7"/>
      <c r="O553" s="7"/>
      <c r="P553" s="20" t="str">
        <f>IF($A553="","",INDEX(Project_Tracker!$I$2:$I$101,INT((ROW()-6)/17)+1))</f>
        <v/>
      </c>
      <c r="Q553" s="20" t="str">
        <f>IF($A553="","",INDEX(Project_Tracker!$K$2:$K$101,INT((ROW()-6)/17)+1))</f>
        <v/>
      </c>
    </row>
    <row r="554" spans="1:17" x14ac:dyDescent="0.2">
      <c r="A554" s="20" t="str">
        <f>IF(INDEX(Project_Tracker!$AL$2:$AL$101,INT((ROW()-6)/17)+1)="","",INDEX(Project_Tracker!$AL$2:$AL$101,INT((ROW()-6)/17)+1))</f>
        <v/>
      </c>
      <c r="B554" s="21" t="str">
        <f>IF($A554="","",INDEX(Project_Tracker!$AM$2:$AM$101,INT((ROW()-6)/17)+1))</f>
        <v/>
      </c>
      <c r="C554" s="20" t="str">
        <f>IF($A554="","",INDEX(Project_Tracker!$C$2:$C$101,INT((ROW()-6)/17)+1))</f>
        <v/>
      </c>
      <c r="D554" s="6" t="str">
        <f>IF($A554="","",INDEX(Project_Tracker!$T$2:$T$101,INT((ROW()-6)/17)+1))</f>
        <v/>
      </c>
      <c r="E554" s="18">
        <f t="shared" si="40"/>
        <v>5</v>
      </c>
      <c r="F554" s="23" t="str">
        <f>IF($A554="","",INDEX('Logic &amp; Lists'!$I$4:$I$20,$E554))</f>
        <v/>
      </c>
      <c r="G554" s="18" t="str">
        <f>IF($A554="","",INDEX('Logic &amp; Lists'!$J$4:$J$20,$E554))</f>
        <v/>
      </c>
      <c r="H554" s="6" t="str">
        <f t="shared" si="41"/>
        <v/>
      </c>
      <c r="I554" s="18" t="str">
        <f t="shared" ca="1" si="42"/>
        <v/>
      </c>
      <c r="J554" s="5" t="str">
        <f t="shared" si="43"/>
        <v/>
      </c>
      <c r="K554" s="25"/>
      <c r="L554" s="5" t="str">
        <f t="shared" si="44"/>
        <v/>
      </c>
      <c r="M554" s="7"/>
      <c r="N554" s="7"/>
      <c r="O554" s="7"/>
      <c r="P554" s="20" t="str">
        <f>IF($A554="","",INDEX(Project_Tracker!$I$2:$I$101,INT((ROW()-6)/17)+1))</f>
        <v/>
      </c>
      <c r="Q554" s="20" t="str">
        <f>IF($A554="","",INDEX(Project_Tracker!$K$2:$K$101,INT((ROW()-6)/17)+1))</f>
        <v/>
      </c>
    </row>
    <row r="555" spans="1:17" x14ac:dyDescent="0.2">
      <c r="A555" s="20" t="str">
        <f>IF(INDEX(Project_Tracker!$AL$2:$AL$101,INT((ROW()-6)/17)+1)="","",INDEX(Project_Tracker!$AL$2:$AL$101,INT((ROW()-6)/17)+1))</f>
        <v/>
      </c>
      <c r="B555" s="21" t="str">
        <f>IF($A555="","",INDEX(Project_Tracker!$AM$2:$AM$101,INT((ROW()-6)/17)+1))</f>
        <v/>
      </c>
      <c r="C555" s="20" t="str">
        <f>IF($A555="","",INDEX(Project_Tracker!$C$2:$C$101,INT((ROW()-6)/17)+1))</f>
        <v/>
      </c>
      <c r="D555" s="6" t="str">
        <f>IF($A555="","",INDEX(Project_Tracker!$T$2:$T$101,INT((ROW()-6)/17)+1))</f>
        <v/>
      </c>
      <c r="E555" s="18">
        <f t="shared" si="40"/>
        <v>6</v>
      </c>
      <c r="F555" s="23" t="str">
        <f>IF($A555="","",INDEX('Logic &amp; Lists'!$I$4:$I$20,$E555))</f>
        <v/>
      </c>
      <c r="G555" s="18" t="str">
        <f>IF($A555="","",INDEX('Logic &amp; Lists'!$J$4:$J$20,$E555))</f>
        <v/>
      </c>
      <c r="H555" s="6" t="str">
        <f t="shared" si="41"/>
        <v/>
      </c>
      <c r="I555" s="18" t="str">
        <f t="shared" ca="1" si="42"/>
        <v/>
      </c>
      <c r="J555" s="5" t="str">
        <f t="shared" si="43"/>
        <v/>
      </c>
      <c r="K555" s="25"/>
      <c r="L555" s="5" t="str">
        <f t="shared" si="44"/>
        <v/>
      </c>
      <c r="M555" s="7"/>
      <c r="N555" s="7"/>
      <c r="O555" s="7"/>
      <c r="P555" s="20" t="str">
        <f>IF($A555="","",INDEX(Project_Tracker!$I$2:$I$101,INT((ROW()-6)/17)+1))</f>
        <v/>
      </c>
      <c r="Q555" s="20" t="str">
        <f>IF($A555="","",INDEX(Project_Tracker!$K$2:$K$101,INT((ROW()-6)/17)+1))</f>
        <v/>
      </c>
    </row>
    <row r="556" spans="1:17" x14ac:dyDescent="0.2">
      <c r="A556" s="20" t="str">
        <f>IF(INDEX(Project_Tracker!$AL$2:$AL$101,INT((ROW()-6)/17)+1)="","",INDEX(Project_Tracker!$AL$2:$AL$101,INT((ROW()-6)/17)+1))</f>
        <v/>
      </c>
      <c r="B556" s="21" t="str">
        <f>IF($A556="","",INDEX(Project_Tracker!$AM$2:$AM$101,INT((ROW()-6)/17)+1))</f>
        <v/>
      </c>
      <c r="C556" s="20" t="str">
        <f>IF($A556="","",INDEX(Project_Tracker!$C$2:$C$101,INT((ROW()-6)/17)+1))</f>
        <v/>
      </c>
      <c r="D556" s="6" t="str">
        <f>IF($A556="","",INDEX(Project_Tracker!$T$2:$T$101,INT((ROW()-6)/17)+1))</f>
        <v/>
      </c>
      <c r="E556" s="18">
        <f t="shared" si="40"/>
        <v>7</v>
      </c>
      <c r="F556" s="23" t="str">
        <f>IF($A556="","",INDEX('Logic &amp; Lists'!$I$4:$I$20,$E556))</f>
        <v/>
      </c>
      <c r="G556" s="18" t="str">
        <f>IF($A556="","",INDEX('Logic &amp; Lists'!$J$4:$J$20,$E556))</f>
        <v/>
      </c>
      <c r="H556" s="6" t="str">
        <f t="shared" si="41"/>
        <v/>
      </c>
      <c r="I556" s="18" t="str">
        <f t="shared" ca="1" si="42"/>
        <v/>
      </c>
      <c r="J556" s="5" t="str">
        <f t="shared" si="43"/>
        <v/>
      </c>
      <c r="K556" s="25"/>
      <c r="L556" s="5" t="str">
        <f t="shared" si="44"/>
        <v/>
      </c>
      <c r="M556" s="7"/>
      <c r="N556" s="7"/>
      <c r="O556" s="7"/>
      <c r="P556" s="20" t="str">
        <f>IF($A556="","",INDEX(Project_Tracker!$I$2:$I$101,INT((ROW()-6)/17)+1))</f>
        <v/>
      </c>
      <c r="Q556" s="20" t="str">
        <f>IF($A556="","",INDEX(Project_Tracker!$K$2:$K$101,INT((ROW()-6)/17)+1))</f>
        <v/>
      </c>
    </row>
    <row r="557" spans="1:17" x14ac:dyDescent="0.2">
      <c r="A557" s="20" t="str">
        <f>IF(INDEX(Project_Tracker!$AL$2:$AL$101,INT((ROW()-6)/17)+1)="","",INDEX(Project_Tracker!$AL$2:$AL$101,INT((ROW()-6)/17)+1))</f>
        <v/>
      </c>
      <c r="B557" s="21" t="str">
        <f>IF($A557="","",INDEX(Project_Tracker!$AM$2:$AM$101,INT((ROW()-6)/17)+1))</f>
        <v/>
      </c>
      <c r="C557" s="20" t="str">
        <f>IF($A557="","",INDEX(Project_Tracker!$C$2:$C$101,INT((ROW()-6)/17)+1))</f>
        <v/>
      </c>
      <c r="D557" s="6" t="str">
        <f>IF($A557="","",INDEX(Project_Tracker!$T$2:$T$101,INT((ROW()-6)/17)+1))</f>
        <v/>
      </c>
      <c r="E557" s="18">
        <f t="shared" si="40"/>
        <v>8</v>
      </c>
      <c r="F557" s="23" t="str">
        <f>IF($A557="","",INDEX('Logic &amp; Lists'!$I$4:$I$20,$E557))</f>
        <v/>
      </c>
      <c r="G557" s="18" t="str">
        <f>IF($A557="","",INDEX('Logic &amp; Lists'!$J$4:$J$20,$E557))</f>
        <v/>
      </c>
      <c r="H557" s="6" t="str">
        <f t="shared" si="41"/>
        <v/>
      </c>
      <c r="I557" s="18" t="str">
        <f t="shared" ca="1" si="42"/>
        <v/>
      </c>
      <c r="J557" s="5" t="str">
        <f t="shared" si="43"/>
        <v/>
      </c>
      <c r="K557" s="25"/>
      <c r="L557" s="5" t="str">
        <f t="shared" si="44"/>
        <v/>
      </c>
      <c r="M557" s="7"/>
      <c r="N557" s="7"/>
      <c r="O557" s="7"/>
      <c r="P557" s="20" t="str">
        <f>IF($A557="","",INDEX(Project_Tracker!$I$2:$I$101,INT((ROW()-6)/17)+1))</f>
        <v/>
      </c>
      <c r="Q557" s="20" t="str">
        <f>IF($A557="","",INDEX(Project_Tracker!$K$2:$K$101,INT((ROW()-6)/17)+1))</f>
        <v/>
      </c>
    </row>
    <row r="558" spans="1:17" x14ac:dyDescent="0.2">
      <c r="A558" s="20" t="str">
        <f>IF(INDEX(Project_Tracker!$AL$2:$AL$101,INT((ROW()-6)/17)+1)="","",INDEX(Project_Tracker!$AL$2:$AL$101,INT((ROW()-6)/17)+1))</f>
        <v/>
      </c>
      <c r="B558" s="21" t="str">
        <f>IF($A558="","",INDEX(Project_Tracker!$AM$2:$AM$101,INT((ROW()-6)/17)+1))</f>
        <v/>
      </c>
      <c r="C558" s="20" t="str">
        <f>IF($A558="","",INDEX(Project_Tracker!$C$2:$C$101,INT((ROW()-6)/17)+1))</f>
        <v/>
      </c>
      <c r="D558" s="6" t="str">
        <f>IF($A558="","",INDEX(Project_Tracker!$T$2:$T$101,INT((ROW()-6)/17)+1))</f>
        <v/>
      </c>
      <c r="E558" s="18">
        <f t="shared" si="40"/>
        <v>9</v>
      </c>
      <c r="F558" s="23" t="str">
        <f>IF($A558="","",INDEX('Logic &amp; Lists'!$I$4:$I$20,$E558))</f>
        <v/>
      </c>
      <c r="G558" s="18" t="str">
        <f>IF($A558="","",INDEX('Logic &amp; Lists'!$J$4:$J$20,$E558))</f>
        <v/>
      </c>
      <c r="H558" s="6" t="str">
        <f t="shared" si="41"/>
        <v/>
      </c>
      <c r="I558" s="18" t="str">
        <f t="shared" ca="1" si="42"/>
        <v/>
      </c>
      <c r="J558" s="5" t="str">
        <f t="shared" si="43"/>
        <v/>
      </c>
      <c r="K558" s="25"/>
      <c r="L558" s="5" t="str">
        <f t="shared" si="44"/>
        <v/>
      </c>
      <c r="M558" s="7"/>
      <c r="N558" s="7"/>
      <c r="O558" s="7"/>
      <c r="P558" s="20" t="str">
        <f>IF($A558="","",INDEX(Project_Tracker!$I$2:$I$101,INT((ROW()-6)/17)+1))</f>
        <v/>
      </c>
      <c r="Q558" s="20" t="str">
        <f>IF($A558="","",INDEX(Project_Tracker!$K$2:$K$101,INT((ROW()-6)/17)+1))</f>
        <v/>
      </c>
    </row>
    <row r="559" spans="1:17" x14ac:dyDescent="0.2">
      <c r="A559" s="20" t="str">
        <f>IF(INDEX(Project_Tracker!$AL$2:$AL$101,INT((ROW()-6)/17)+1)="","",INDEX(Project_Tracker!$AL$2:$AL$101,INT((ROW()-6)/17)+1))</f>
        <v/>
      </c>
      <c r="B559" s="21" t="str">
        <f>IF($A559="","",INDEX(Project_Tracker!$AM$2:$AM$101,INT((ROW()-6)/17)+1))</f>
        <v/>
      </c>
      <c r="C559" s="20" t="str">
        <f>IF($A559="","",INDEX(Project_Tracker!$C$2:$C$101,INT((ROW()-6)/17)+1))</f>
        <v/>
      </c>
      <c r="D559" s="6" t="str">
        <f>IF($A559="","",INDEX(Project_Tracker!$T$2:$T$101,INT((ROW()-6)/17)+1))</f>
        <v/>
      </c>
      <c r="E559" s="18">
        <f t="shared" si="40"/>
        <v>10</v>
      </c>
      <c r="F559" s="23" t="str">
        <f>IF($A559="","",INDEX('Logic &amp; Lists'!$I$4:$I$20,$E559))</f>
        <v/>
      </c>
      <c r="G559" s="18" t="str">
        <f>IF($A559="","",INDEX('Logic &amp; Lists'!$J$4:$J$20,$E559))</f>
        <v/>
      </c>
      <c r="H559" s="6" t="str">
        <f t="shared" si="41"/>
        <v/>
      </c>
      <c r="I559" s="18" t="str">
        <f t="shared" ca="1" si="42"/>
        <v/>
      </c>
      <c r="J559" s="5" t="str">
        <f t="shared" si="43"/>
        <v/>
      </c>
      <c r="K559" s="25"/>
      <c r="L559" s="5" t="str">
        <f t="shared" si="44"/>
        <v/>
      </c>
      <c r="M559" s="7"/>
      <c r="N559" s="7"/>
      <c r="O559" s="7"/>
      <c r="P559" s="20" t="str">
        <f>IF($A559="","",INDEX(Project_Tracker!$I$2:$I$101,INT((ROW()-6)/17)+1))</f>
        <v/>
      </c>
      <c r="Q559" s="20" t="str">
        <f>IF($A559="","",INDEX(Project_Tracker!$K$2:$K$101,INT((ROW()-6)/17)+1))</f>
        <v/>
      </c>
    </row>
    <row r="560" spans="1:17" x14ac:dyDescent="0.2">
      <c r="A560" s="20" t="str">
        <f>IF(INDEX(Project_Tracker!$AL$2:$AL$101,INT((ROW()-6)/17)+1)="","",INDEX(Project_Tracker!$AL$2:$AL$101,INT((ROW()-6)/17)+1))</f>
        <v/>
      </c>
      <c r="B560" s="21" t="str">
        <f>IF($A560="","",INDEX(Project_Tracker!$AM$2:$AM$101,INT((ROW()-6)/17)+1))</f>
        <v/>
      </c>
      <c r="C560" s="20" t="str">
        <f>IF($A560="","",INDEX(Project_Tracker!$C$2:$C$101,INT((ROW()-6)/17)+1))</f>
        <v/>
      </c>
      <c r="D560" s="6" t="str">
        <f>IF($A560="","",INDEX(Project_Tracker!$T$2:$T$101,INT((ROW()-6)/17)+1))</f>
        <v/>
      </c>
      <c r="E560" s="18">
        <f t="shared" si="40"/>
        <v>11</v>
      </c>
      <c r="F560" s="23" t="str">
        <f>IF($A560="","",INDEX('Logic &amp; Lists'!$I$4:$I$20,$E560))</f>
        <v/>
      </c>
      <c r="G560" s="18" t="str">
        <f>IF($A560="","",INDEX('Logic &amp; Lists'!$J$4:$J$20,$E560))</f>
        <v/>
      </c>
      <c r="H560" s="6" t="str">
        <f t="shared" si="41"/>
        <v/>
      </c>
      <c r="I560" s="18" t="str">
        <f t="shared" ca="1" si="42"/>
        <v/>
      </c>
      <c r="J560" s="5" t="str">
        <f t="shared" si="43"/>
        <v/>
      </c>
      <c r="K560" s="25"/>
      <c r="L560" s="5" t="str">
        <f t="shared" si="44"/>
        <v/>
      </c>
      <c r="M560" s="7"/>
      <c r="N560" s="7"/>
      <c r="O560" s="7"/>
      <c r="P560" s="20" t="str">
        <f>IF($A560="","",INDEX(Project_Tracker!$I$2:$I$101,INT((ROW()-6)/17)+1))</f>
        <v/>
      </c>
      <c r="Q560" s="20" t="str">
        <f>IF($A560="","",INDEX(Project_Tracker!$K$2:$K$101,INT((ROW()-6)/17)+1))</f>
        <v/>
      </c>
    </row>
    <row r="561" spans="1:17" x14ac:dyDescent="0.2">
      <c r="A561" s="20" t="str">
        <f>IF(INDEX(Project_Tracker!$AL$2:$AL$101,INT((ROW()-6)/17)+1)="","",INDEX(Project_Tracker!$AL$2:$AL$101,INT((ROW()-6)/17)+1))</f>
        <v/>
      </c>
      <c r="B561" s="21" t="str">
        <f>IF($A561="","",INDEX(Project_Tracker!$AM$2:$AM$101,INT((ROW()-6)/17)+1))</f>
        <v/>
      </c>
      <c r="C561" s="20" t="str">
        <f>IF($A561="","",INDEX(Project_Tracker!$C$2:$C$101,INT((ROW()-6)/17)+1))</f>
        <v/>
      </c>
      <c r="D561" s="6" t="str">
        <f>IF($A561="","",INDEX(Project_Tracker!$T$2:$T$101,INT((ROW()-6)/17)+1))</f>
        <v/>
      </c>
      <c r="E561" s="18">
        <f t="shared" si="40"/>
        <v>12</v>
      </c>
      <c r="F561" s="23" t="str">
        <f>IF($A561="","",INDEX('Logic &amp; Lists'!$I$4:$I$20,$E561))</f>
        <v/>
      </c>
      <c r="G561" s="18" t="str">
        <f>IF($A561="","",INDEX('Logic &amp; Lists'!$J$4:$J$20,$E561))</f>
        <v/>
      </c>
      <c r="H561" s="6" t="str">
        <f t="shared" si="41"/>
        <v/>
      </c>
      <c r="I561" s="18" t="str">
        <f t="shared" ca="1" si="42"/>
        <v/>
      </c>
      <c r="J561" s="5" t="str">
        <f t="shared" si="43"/>
        <v/>
      </c>
      <c r="K561" s="25"/>
      <c r="L561" s="5" t="str">
        <f t="shared" si="44"/>
        <v/>
      </c>
      <c r="M561" s="7"/>
      <c r="N561" s="7"/>
      <c r="O561" s="7"/>
      <c r="P561" s="20" t="str">
        <f>IF($A561="","",INDEX(Project_Tracker!$I$2:$I$101,INT((ROW()-6)/17)+1))</f>
        <v/>
      </c>
      <c r="Q561" s="20" t="str">
        <f>IF($A561="","",INDEX(Project_Tracker!$K$2:$K$101,INT((ROW()-6)/17)+1))</f>
        <v/>
      </c>
    </row>
    <row r="562" spans="1:17" x14ac:dyDescent="0.2">
      <c r="A562" s="20" t="str">
        <f>IF(INDEX(Project_Tracker!$AL$2:$AL$101,INT((ROW()-6)/17)+1)="","",INDEX(Project_Tracker!$AL$2:$AL$101,INT((ROW()-6)/17)+1))</f>
        <v/>
      </c>
      <c r="B562" s="21" t="str">
        <f>IF($A562="","",INDEX(Project_Tracker!$AM$2:$AM$101,INT((ROW()-6)/17)+1))</f>
        <v/>
      </c>
      <c r="C562" s="20" t="str">
        <f>IF($A562="","",INDEX(Project_Tracker!$C$2:$C$101,INT((ROW()-6)/17)+1))</f>
        <v/>
      </c>
      <c r="D562" s="6" t="str">
        <f>IF($A562="","",INDEX(Project_Tracker!$T$2:$T$101,INT((ROW()-6)/17)+1))</f>
        <v/>
      </c>
      <c r="E562" s="18">
        <f t="shared" si="40"/>
        <v>13</v>
      </c>
      <c r="F562" s="23" t="str">
        <f>IF($A562="","",INDEX('Logic &amp; Lists'!$I$4:$I$20,$E562))</f>
        <v/>
      </c>
      <c r="G562" s="18" t="str">
        <f>IF($A562="","",INDEX('Logic &amp; Lists'!$J$4:$J$20,$E562))</f>
        <v/>
      </c>
      <c r="H562" s="6" t="str">
        <f t="shared" si="41"/>
        <v/>
      </c>
      <c r="I562" s="18" t="str">
        <f t="shared" ca="1" si="42"/>
        <v/>
      </c>
      <c r="J562" s="5" t="str">
        <f t="shared" si="43"/>
        <v/>
      </c>
      <c r="K562" s="25"/>
      <c r="L562" s="5" t="str">
        <f t="shared" si="44"/>
        <v/>
      </c>
      <c r="M562" s="7"/>
      <c r="N562" s="7"/>
      <c r="O562" s="7"/>
      <c r="P562" s="20" t="str">
        <f>IF($A562="","",INDEX(Project_Tracker!$I$2:$I$101,INT((ROW()-6)/17)+1))</f>
        <v/>
      </c>
      <c r="Q562" s="20" t="str">
        <f>IF($A562="","",INDEX(Project_Tracker!$K$2:$K$101,INT((ROW()-6)/17)+1))</f>
        <v/>
      </c>
    </row>
    <row r="563" spans="1:17" x14ac:dyDescent="0.2">
      <c r="A563" s="20" t="str">
        <f>IF(INDEX(Project_Tracker!$AL$2:$AL$101,INT((ROW()-6)/17)+1)="","",INDEX(Project_Tracker!$AL$2:$AL$101,INT((ROW()-6)/17)+1))</f>
        <v/>
      </c>
      <c r="B563" s="21" t="str">
        <f>IF($A563="","",INDEX(Project_Tracker!$AM$2:$AM$101,INT((ROW()-6)/17)+1))</f>
        <v/>
      </c>
      <c r="C563" s="20" t="str">
        <f>IF($A563="","",INDEX(Project_Tracker!$C$2:$C$101,INT((ROW()-6)/17)+1))</f>
        <v/>
      </c>
      <c r="D563" s="6" t="str">
        <f>IF($A563="","",INDEX(Project_Tracker!$T$2:$T$101,INT((ROW()-6)/17)+1))</f>
        <v/>
      </c>
      <c r="E563" s="18">
        <f t="shared" si="40"/>
        <v>14</v>
      </c>
      <c r="F563" s="23" t="str">
        <f>IF($A563="","",INDEX('Logic &amp; Lists'!$I$4:$I$20,$E563))</f>
        <v/>
      </c>
      <c r="G563" s="18" t="str">
        <f>IF($A563="","",INDEX('Logic &amp; Lists'!$J$4:$J$20,$E563))</f>
        <v/>
      </c>
      <c r="H563" s="6" t="str">
        <f t="shared" si="41"/>
        <v/>
      </c>
      <c r="I563" s="18" t="str">
        <f t="shared" ca="1" si="42"/>
        <v/>
      </c>
      <c r="J563" s="5" t="str">
        <f t="shared" si="43"/>
        <v/>
      </c>
      <c r="K563" s="25"/>
      <c r="L563" s="5" t="str">
        <f t="shared" si="44"/>
        <v/>
      </c>
      <c r="M563" s="7"/>
      <c r="N563" s="7"/>
      <c r="O563" s="7"/>
      <c r="P563" s="20" t="str">
        <f>IF($A563="","",INDEX(Project_Tracker!$I$2:$I$101,INT((ROW()-6)/17)+1))</f>
        <v/>
      </c>
      <c r="Q563" s="20" t="str">
        <f>IF($A563="","",INDEX(Project_Tracker!$K$2:$K$101,INT((ROW()-6)/17)+1))</f>
        <v/>
      </c>
    </row>
    <row r="564" spans="1:17" x14ac:dyDescent="0.2">
      <c r="A564" s="20" t="str">
        <f>IF(INDEX(Project_Tracker!$AL$2:$AL$101,INT((ROW()-6)/17)+1)="","",INDEX(Project_Tracker!$AL$2:$AL$101,INT((ROW()-6)/17)+1))</f>
        <v/>
      </c>
      <c r="B564" s="21" t="str">
        <f>IF($A564="","",INDEX(Project_Tracker!$AM$2:$AM$101,INT((ROW()-6)/17)+1))</f>
        <v/>
      </c>
      <c r="C564" s="20" t="str">
        <f>IF($A564="","",INDEX(Project_Tracker!$C$2:$C$101,INT((ROW()-6)/17)+1))</f>
        <v/>
      </c>
      <c r="D564" s="6" t="str">
        <f>IF($A564="","",INDEX(Project_Tracker!$T$2:$T$101,INT((ROW()-6)/17)+1))</f>
        <v/>
      </c>
      <c r="E564" s="18">
        <f t="shared" si="40"/>
        <v>15</v>
      </c>
      <c r="F564" s="23" t="str">
        <f>IF($A564="","",INDEX('Logic &amp; Lists'!$I$4:$I$20,$E564))</f>
        <v/>
      </c>
      <c r="G564" s="18" t="str">
        <f>IF($A564="","",INDEX('Logic &amp; Lists'!$J$4:$J$20,$E564))</f>
        <v/>
      </c>
      <c r="H564" s="6" t="str">
        <f t="shared" si="41"/>
        <v/>
      </c>
      <c r="I564" s="18" t="str">
        <f t="shared" ca="1" si="42"/>
        <v/>
      </c>
      <c r="J564" s="5" t="str">
        <f t="shared" si="43"/>
        <v/>
      </c>
      <c r="K564" s="25"/>
      <c r="L564" s="5" t="str">
        <f t="shared" si="44"/>
        <v/>
      </c>
      <c r="M564" s="7"/>
      <c r="N564" s="7"/>
      <c r="O564" s="7"/>
      <c r="P564" s="20" t="str">
        <f>IF($A564="","",INDEX(Project_Tracker!$I$2:$I$101,INT((ROW()-6)/17)+1))</f>
        <v/>
      </c>
      <c r="Q564" s="20" t="str">
        <f>IF($A564="","",INDEX(Project_Tracker!$K$2:$K$101,INT((ROW()-6)/17)+1))</f>
        <v/>
      </c>
    </row>
    <row r="565" spans="1:17" x14ac:dyDescent="0.2">
      <c r="A565" s="20" t="str">
        <f>IF(INDEX(Project_Tracker!$AL$2:$AL$101,INT((ROW()-6)/17)+1)="","",INDEX(Project_Tracker!$AL$2:$AL$101,INT((ROW()-6)/17)+1))</f>
        <v/>
      </c>
      <c r="B565" s="21" t="str">
        <f>IF($A565="","",INDEX(Project_Tracker!$AM$2:$AM$101,INT((ROW()-6)/17)+1))</f>
        <v/>
      </c>
      <c r="C565" s="20" t="str">
        <f>IF($A565="","",INDEX(Project_Tracker!$C$2:$C$101,INT((ROW()-6)/17)+1))</f>
        <v/>
      </c>
      <c r="D565" s="6" t="str">
        <f>IF($A565="","",INDEX(Project_Tracker!$T$2:$T$101,INT((ROW()-6)/17)+1))</f>
        <v/>
      </c>
      <c r="E565" s="18">
        <f t="shared" si="40"/>
        <v>16</v>
      </c>
      <c r="F565" s="23" t="str">
        <f>IF($A565="","",INDEX('Logic &amp; Lists'!$I$4:$I$20,$E565))</f>
        <v/>
      </c>
      <c r="G565" s="18" t="str">
        <f>IF($A565="","",INDEX('Logic &amp; Lists'!$J$4:$J$20,$E565))</f>
        <v/>
      </c>
      <c r="H565" s="6" t="str">
        <f t="shared" si="41"/>
        <v/>
      </c>
      <c r="I565" s="18" t="str">
        <f t="shared" ca="1" si="42"/>
        <v/>
      </c>
      <c r="J565" s="5" t="str">
        <f t="shared" si="43"/>
        <v/>
      </c>
      <c r="K565" s="25"/>
      <c r="L565" s="5" t="str">
        <f t="shared" si="44"/>
        <v/>
      </c>
      <c r="M565" s="7"/>
      <c r="N565" s="7"/>
      <c r="O565" s="7"/>
      <c r="P565" s="20" t="str">
        <f>IF($A565="","",INDEX(Project_Tracker!$I$2:$I$101,INT((ROW()-6)/17)+1))</f>
        <v/>
      </c>
      <c r="Q565" s="20" t="str">
        <f>IF($A565="","",INDEX(Project_Tracker!$K$2:$K$101,INT((ROW()-6)/17)+1))</f>
        <v/>
      </c>
    </row>
    <row r="566" spans="1:17" x14ac:dyDescent="0.2">
      <c r="A566" s="20" t="str">
        <f>IF(INDEX(Project_Tracker!$AL$2:$AL$101,INT((ROW()-6)/17)+1)="","",INDEX(Project_Tracker!$AL$2:$AL$101,INT((ROW()-6)/17)+1))</f>
        <v/>
      </c>
      <c r="B566" s="21" t="str">
        <f>IF($A566="","",INDEX(Project_Tracker!$AM$2:$AM$101,INT((ROW()-6)/17)+1))</f>
        <v/>
      </c>
      <c r="C566" s="20" t="str">
        <f>IF($A566="","",INDEX(Project_Tracker!$C$2:$C$101,INT((ROW()-6)/17)+1))</f>
        <v/>
      </c>
      <c r="D566" s="6" t="str">
        <f>IF($A566="","",INDEX(Project_Tracker!$T$2:$T$101,INT((ROW()-6)/17)+1))</f>
        <v/>
      </c>
      <c r="E566" s="18">
        <f t="shared" si="40"/>
        <v>17</v>
      </c>
      <c r="F566" s="23" t="str">
        <f>IF($A566="","",INDEX('Logic &amp; Lists'!$I$4:$I$20,$E566))</f>
        <v/>
      </c>
      <c r="G566" s="18" t="str">
        <f>IF($A566="","",INDEX('Logic &amp; Lists'!$J$4:$J$20,$E566))</f>
        <v/>
      </c>
      <c r="H566" s="6" t="str">
        <f t="shared" si="41"/>
        <v/>
      </c>
      <c r="I566" s="18" t="str">
        <f t="shared" ca="1" si="42"/>
        <v/>
      </c>
      <c r="J566" s="5" t="str">
        <f t="shared" si="43"/>
        <v/>
      </c>
      <c r="K566" s="25"/>
      <c r="L566" s="5" t="str">
        <f t="shared" si="44"/>
        <v/>
      </c>
      <c r="M566" s="7"/>
      <c r="N566" s="7"/>
      <c r="O566" s="7"/>
      <c r="P566" s="20" t="str">
        <f>IF($A566="","",INDEX(Project_Tracker!$I$2:$I$101,INT((ROW()-6)/17)+1))</f>
        <v/>
      </c>
      <c r="Q566" s="20" t="str">
        <f>IF($A566="","",INDEX(Project_Tracker!$K$2:$K$101,INT((ROW()-6)/17)+1))</f>
        <v/>
      </c>
    </row>
    <row r="567" spans="1:17" x14ac:dyDescent="0.2">
      <c r="A567" s="20" t="str">
        <f>IF(INDEX(Project_Tracker!$AL$2:$AL$101,INT((ROW()-6)/17)+1)="","",INDEX(Project_Tracker!$AL$2:$AL$101,INT((ROW()-6)/17)+1))</f>
        <v/>
      </c>
      <c r="B567" s="21" t="str">
        <f>IF($A567="","",INDEX(Project_Tracker!$AM$2:$AM$101,INT((ROW()-6)/17)+1))</f>
        <v/>
      </c>
      <c r="C567" s="20" t="str">
        <f>IF($A567="","",INDEX(Project_Tracker!$C$2:$C$101,INT((ROW()-6)/17)+1))</f>
        <v/>
      </c>
      <c r="D567" s="6" t="str">
        <f>IF($A567="","",INDEX(Project_Tracker!$T$2:$T$101,INT((ROW()-6)/17)+1))</f>
        <v/>
      </c>
      <c r="E567" s="18">
        <f t="shared" si="40"/>
        <v>1</v>
      </c>
      <c r="F567" s="23" t="str">
        <f>IF($A567="","",INDEX('Logic &amp; Lists'!$I$4:$I$20,$E567))</f>
        <v/>
      </c>
      <c r="G567" s="18" t="str">
        <f>IF($A567="","",INDEX('Logic &amp; Lists'!$J$4:$J$20,$E567))</f>
        <v/>
      </c>
      <c r="H567" s="6" t="str">
        <f t="shared" si="41"/>
        <v/>
      </c>
      <c r="I567" s="18" t="str">
        <f t="shared" ca="1" si="42"/>
        <v/>
      </c>
      <c r="J567" s="5" t="str">
        <f t="shared" si="43"/>
        <v/>
      </c>
      <c r="K567" s="25"/>
      <c r="L567" s="5" t="str">
        <f t="shared" si="44"/>
        <v/>
      </c>
      <c r="M567" s="7"/>
      <c r="N567" s="7"/>
      <c r="O567" s="7"/>
      <c r="P567" s="20" t="str">
        <f>IF($A567="","",INDEX(Project_Tracker!$I$2:$I$101,INT((ROW()-6)/17)+1))</f>
        <v/>
      </c>
      <c r="Q567" s="20" t="str">
        <f>IF($A567="","",INDEX(Project_Tracker!$K$2:$K$101,INT((ROW()-6)/17)+1))</f>
        <v/>
      </c>
    </row>
    <row r="568" spans="1:17" x14ac:dyDescent="0.2">
      <c r="A568" s="20" t="str">
        <f>IF(INDEX(Project_Tracker!$AL$2:$AL$101,INT((ROW()-6)/17)+1)="","",INDEX(Project_Tracker!$AL$2:$AL$101,INT((ROW()-6)/17)+1))</f>
        <v/>
      </c>
      <c r="B568" s="21" t="str">
        <f>IF($A568="","",INDEX(Project_Tracker!$AM$2:$AM$101,INT((ROW()-6)/17)+1))</f>
        <v/>
      </c>
      <c r="C568" s="20" t="str">
        <f>IF($A568="","",INDEX(Project_Tracker!$C$2:$C$101,INT((ROW()-6)/17)+1))</f>
        <v/>
      </c>
      <c r="D568" s="6" t="str">
        <f>IF($A568="","",INDEX(Project_Tracker!$T$2:$T$101,INT((ROW()-6)/17)+1))</f>
        <v/>
      </c>
      <c r="E568" s="18">
        <f t="shared" si="40"/>
        <v>2</v>
      </c>
      <c r="F568" s="23" t="str">
        <f>IF($A568="","",INDEX('Logic &amp; Lists'!$I$4:$I$20,$E568))</f>
        <v/>
      </c>
      <c r="G568" s="18" t="str">
        <f>IF($A568="","",INDEX('Logic &amp; Lists'!$J$4:$J$20,$E568))</f>
        <v/>
      </c>
      <c r="H568" s="6" t="str">
        <f t="shared" si="41"/>
        <v/>
      </c>
      <c r="I568" s="18" t="str">
        <f t="shared" ca="1" si="42"/>
        <v/>
      </c>
      <c r="J568" s="5" t="str">
        <f t="shared" si="43"/>
        <v/>
      </c>
      <c r="K568" s="25"/>
      <c r="L568" s="5" t="str">
        <f t="shared" si="44"/>
        <v/>
      </c>
      <c r="M568" s="7"/>
      <c r="N568" s="7"/>
      <c r="O568" s="7"/>
      <c r="P568" s="20" t="str">
        <f>IF($A568="","",INDEX(Project_Tracker!$I$2:$I$101,INT((ROW()-6)/17)+1))</f>
        <v/>
      </c>
      <c r="Q568" s="20" t="str">
        <f>IF($A568="","",INDEX(Project_Tracker!$K$2:$K$101,INT((ROW()-6)/17)+1))</f>
        <v/>
      </c>
    </row>
    <row r="569" spans="1:17" x14ac:dyDescent="0.2">
      <c r="A569" s="20" t="str">
        <f>IF(INDEX(Project_Tracker!$AL$2:$AL$101,INT((ROW()-6)/17)+1)="","",INDEX(Project_Tracker!$AL$2:$AL$101,INT((ROW()-6)/17)+1))</f>
        <v/>
      </c>
      <c r="B569" s="21" t="str">
        <f>IF($A569="","",INDEX(Project_Tracker!$AM$2:$AM$101,INT((ROW()-6)/17)+1))</f>
        <v/>
      </c>
      <c r="C569" s="20" t="str">
        <f>IF($A569="","",INDEX(Project_Tracker!$C$2:$C$101,INT((ROW()-6)/17)+1))</f>
        <v/>
      </c>
      <c r="D569" s="6" t="str">
        <f>IF($A569="","",INDEX(Project_Tracker!$T$2:$T$101,INT((ROW()-6)/17)+1))</f>
        <v/>
      </c>
      <c r="E569" s="18">
        <f t="shared" si="40"/>
        <v>3</v>
      </c>
      <c r="F569" s="23" t="str">
        <f>IF($A569="","",INDEX('Logic &amp; Lists'!$I$4:$I$20,$E569))</f>
        <v/>
      </c>
      <c r="G569" s="18" t="str">
        <f>IF($A569="","",INDEX('Logic &amp; Lists'!$J$4:$J$20,$E569))</f>
        <v/>
      </c>
      <c r="H569" s="6" t="str">
        <f t="shared" si="41"/>
        <v/>
      </c>
      <c r="I569" s="18" t="str">
        <f t="shared" ca="1" si="42"/>
        <v/>
      </c>
      <c r="J569" s="5" t="str">
        <f t="shared" si="43"/>
        <v/>
      </c>
      <c r="K569" s="25"/>
      <c r="L569" s="5" t="str">
        <f t="shared" si="44"/>
        <v/>
      </c>
      <c r="M569" s="7"/>
      <c r="N569" s="7"/>
      <c r="O569" s="7"/>
      <c r="P569" s="20" t="str">
        <f>IF($A569="","",INDEX(Project_Tracker!$I$2:$I$101,INT((ROW()-6)/17)+1))</f>
        <v/>
      </c>
      <c r="Q569" s="20" t="str">
        <f>IF($A569="","",INDEX(Project_Tracker!$K$2:$K$101,INT((ROW()-6)/17)+1))</f>
        <v/>
      </c>
    </row>
    <row r="570" spans="1:17" x14ac:dyDescent="0.2">
      <c r="A570" s="20" t="str">
        <f>IF(INDEX(Project_Tracker!$AL$2:$AL$101,INT((ROW()-6)/17)+1)="","",INDEX(Project_Tracker!$AL$2:$AL$101,INT((ROW()-6)/17)+1))</f>
        <v/>
      </c>
      <c r="B570" s="21" t="str">
        <f>IF($A570="","",INDEX(Project_Tracker!$AM$2:$AM$101,INT((ROW()-6)/17)+1))</f>
        <v/>
      </c>
      <c r="C570" s="20" t="str">
        <f>IF($A570="","",INDEX(Project_Tracker!$C$2:$C$101,INT((ROW()-6)/17)+1))</f>
        <v/>
      </c>
      <c r="D570" s="6" t="str">
        <f>IF($A570="","",INDEX(Project_Tracker!$T$2:$T$101,INT((ROW()-6)/17)+1))</f>
        <v/>
      </c>
      <c r="E570" s="18">
        <f t="shared" si="40"/>
        <v>4</v>
      </c>
      <c r="F570" s="23" t="str">
        <f>IF($A570="","",INDEX('Logic &amp; Lists'!$I$4:$I$20,$E570))</f>
        <v/>
      </c>
      <c r="G570" s="18" t="str">
        <f>IF($A570="","",INDEX('Logic &amp; Lists'!$J$4:$J$20,$E570))</f>
        <v/>
      </c>
      <c r="H570" s="6" t="str">
        <f t="shared" si="41"/>
        <v/>
      </c>
      <c r="I570" s="18" t="str">
        <f t="shared" ca="1" si="42"/>
        <v/>
      </c>
      <c r="J570" s="5" t="str">
        <f t="shared" si="43"/>
        <v/>
      </c>
      <c r="K570" s="25"/>
      <c r="L570" s="5" t="str">
        <f t="shared" si="44"/>
        <v/>
      </c>
      <c r="M570" s="7"/>
      <c r="N570" s="7"/>
      <c r="O570" s="7"/>
      <c r="P570" s="20" t="str">
        <f>IF($A570="","",INDEX(Project_Tracker!$I$2:$I$101,INT((ROW()-6)/17)+1))</f>
        <v/>
      </c>
      <c r="Q570" s="20" t="str">
        <f>IF($A570="","",INDEX(Project_Tracker!$K$2:$K$101,INT((ROW()-6)/17)+1))</f>
        <v/>
      </c>
    </row>
    <row r="571" spans="1:17" x14ac:dyDescent="0.2">
      <c r="A571" s="20" t="str">
        <f>IF(INDEX(Project_Tracker!$AL$2:$AL$101,INT((ROW()-6)/17)+1)="","",INDEX(Project_Tracker!$AL$2:$AL$101,INT((ROW()-6)/17)+1))</f>
        <v/>
      </c>
      <c r="B571" s="21" t="str">
        <f>IF($A571="","",INDEX(Project_Tracker!$AM$2:$AM$101,INT((ROW()-6)/17)+1))</f>
        <v/>
      </c>
      <c r="C571" s="20" t="str">
        <f>IF($A571="","",INDEX(Project_Tracker!$C$2:$C$101,INT((ROW()-6)/17)+1))</f>
        <v/>
      </c>
      <c r="D571" s="6" t="str">
        <f>IF($A571="","",INDEX(Project_Tracker!$T$2:$T$101,INT((ROW()-6)/17)+1))</f>
        <v/>
      </c>
      <c r="E571" s="18">
        <f t="shared" si="40"/>
        <v>5</v>
      </c>
      <c r="F571" s="23" t="str">
        <f>IF($A571="","",INDEX('Logic &amp; Lists'!$I$4:$I$20,$E571))</f>
        <v/>
      </c>
      <c r="G571" s="18" t="str">
        <f>IF($A571="","",INDEX('Logic &amp; Lists'!$J$4:$J$20,$E571))</f>
        <v/>
      </c>
      <c r="H571" s="6" t="str">
        <f t="shared" si="41"/>
        <v/>
      </c>
      <c r="I571" s="18" t="str">
        <f t="shared" ca="1" si="42"/>
        <v/>
      </c>
      <c r="J571" s="5" t="str">
        <f t="shared" si="43"/>
        <v/>
      </c>
      <c r="K571" s="25"/>
      <c r="L571" s="5" t="str">
        <f t="shared" si="44"/>
        <v/>
      </c>
      <c r="M571" s="7"/>
      <c r="N571" s="7"/>
      <c r="O571" s="7"/>
      <c r="P571" s="20" t="str">
        <f>IF($A571="","",INDEX(Project_Tracker!$I$2:$I$101,INT((ROW()-6)/17)+1))</f>
        <v/>
      </c>
      <c r="Q571" s="20" t="str">
        <f>IF($A571="","",INDEX(Project_Tracker!$K$2:$K$101,INT((ROW()-6)/17)+1))</f>
        <v/>
      </c>
    </row>
    <row r="572" spans="1:17" x14ac:dyDescent="0.2">
      <c r="A572" s="20" t="str">
        <f>IF(INDEX(Project_Tracker!$AL$2:$AL$101,INT((ROW()-6)/17)+1)="","",INDEX(Project_Tracker!$AL$2:$AL$101,INT((ROW()-6)/17)+1))</f>
        <v/>
      </c>
      <c r="B572" s="21" t="str">
        <f>IF($A572="","",INDEX(Project_Tracker!$AM$2:$AM$101,INT((ROW()-6)/17)+1))</f>
        <v/>
      </c>
      <c r="C572" s="20" t="str">
        <f>IF($A572="","",INDEX(Project_Tracker!$C$2:$C$101,INT((ROW()-6)/17)+1))</f>
        <v/>
      </c>
      <c r="D572" s="6" t="str">
        <f>IF($A572="","",INDEX(Project_Tracker!$T$2:$T$101,INT((ROW()-6)/17)+1))</f>
        <v/>
      </c>
      <c r="E572" s="18">
        <f t="shared" si="40"/>
        <v>6</v>
      </c>
      <c r="F572" s="23" t="str">
        <f>IF($A572="","",INDEX('Logic &amp; Lists'!$I$4:$I$20,$E572))</f>
        <v/>
      </c>
      <c r="G572" s="18" t="str">
        <f>IF($A572="","",INDEX('Logic &amp; Lists'!$J$4:$J$20,$E572))</f>
        <v/>
      </c>
      <c r="H572" s="6" t="str">
        <f t="shared" si="41"/>
        <v/>
      </c>
      <c r="I572" s="18" t="str">
        <f t="shared" ca="1" si="42"/>
        <v/>
      </c>
      <c r="J572" s="5" t="str">
        <f t="shared" si="43"/>
        <v/>
      </c>
      <c r="K572" s="25"/>
      <c r="L572" s="5" t="str">
        <f t="shared" si="44"/>
        <v/>
      </c>
      <c r="M572" s="7"/>
      <c r="N572" s="7"/>
      <c r="O572" s="7"/>
      <c r="P572" s="20" t="str">
        <f>IF($A572="","",INDEX(Project_Tracker!$I$2:$I$101,INT((ROW()-6)/17)+1))</f>
        <v/>
      </c>
      <c r="Q572" s="20" t="str">
        <f>IF($A572="","",INDEX(Project_Tracker!$K$2:$K$101,INT((ROW()-6)/17)+1))</f>
        <v/>
      </c>
    </row>
    <row r="573" spans="1:17" x14ac:dyDescent="0.2">
      <c r="A573" s="20" t="str">
        <f>IF(INDEX(Project_Tracker!$AL$2:$AL$101,INT((ROW()-6)/17)+1)="","",INDEX(Project_Tracker!$AL$2:$AL$101,INT((ROW()-6)/17)+1))</f>
        <v/>
      </c>
      <c r="B573" s="21" t="str">
        <f>IF($A573="","",INDEX(Project_Tracker!$AM$2:$AM$101,INT((ROW()-6)/17)+1))</f>
        <v/>
      </c>
      <c r="C573" s="20" t="str">
        <f>IF($A573="","",INDEX(Project_Tracker!$C$2:$C$101,INT((ROW()-6)/17)+1))</f>
        <v/>
      </c>
      <c r="D573" s="6" t="str">
        <f>IF($A573="","",INDEX(Project_Tracker!$T$2:$T$101,INT((ROW()-6)/17)+1))</f>
        <v/>
      </c>
      <c r="E573" s="18">
        <f t="shared" si="40"/>
        <v>7</v>
      </c>
      <c r="F573" s="23" t="str">
        <f>IF($A573="","",INDEX('Logic &amp; Lists'!$I$4:$I$20,$E573))</f>
        <v/>
      </c>
      <c r="G573" s="18" t="str">
        <f>IF($A573="","",INDEX('Logic &amp; Lists'!$J$4:$J$20,$E573))</f>
        <v/>
      </c>
      <c r="H573" s="6" t="str">
        <f t="shared" si="41"/>
        <v/>
      </c>
      <c r="I573" s="18" t="str">
        <f t="shared" ca="1" si="42"/>
        <v/>
      </c>
      <c r="J573" s="5" t="str">
        <f t="shared" si="43"/>
        <v/>
      </c>
      <c r="K573" s="25"/>
      <c r="L573" s="5" t="str">
        <f t="shared" si="44"/>
        <v/>
      </c>
      <c r="M573" s="7"/>
      <c r="N573" s="7"/>
      <c r="O573" s="7"/>
      <c r="P573" s="20" t="str">
        <f>IF($A573="","",INDEX(Project_Tracker!$I$2:$I$101,INT((ROW()-6)/17)+1))</f>
        <v/>
      </c>
      <c r="Q573" s="20" t="str">
        <f>IF($A573="","",INDEX(Project_Tracker!$K$2:$K$101,INT((ROW()-6)/17)+1))</f>
        <v/>
      </c>
    </row>
    <row r="574" spans="1:17" x14ac:dyDescent="0.2">
      <c r="A574" s="20" t="str">
        <f>IF(INDEX(Project_Tracker!$AL$2:$AL$101,INT((ROW()-6)/17)+1)="","",INDEX(Project_Tracker!$AL$2:$AL$101,INT((ROW()-6)/17)+1))</f>
        <v/>
      </c>
      <c r="B574" s="21" t="str">
        <f>IF($A574="","",INDEX(Project_Tracker!$AM$2:$AM$101,INT((ROW()-6)/17)+1))</f>
        <v/>
      </c>
      <c r="C574" s="20" t="str">
        <f>IF($A574="","",INDEX(Project_Tracker!$C$2:$C$101,INT((ROW()-6)/17)+1))</f>
        <v/>
      </c>
      <c r="D574" s="6" t="str">
        <f>IF($A574="","",INDEX(Project_Tracker!$T$2:$T$101,INT((ROW()-6)/17)+1))</f>
        <v/>
      </c>
      <c r="E574" s="18">
        <f t="shared" si="40"/>
        <v>8</v>
      </c>
      <c r="F574" s="23" t="str">
        <f>IF($A574="","",INDEX('Logic &amp; Lists'!$I$4:$I$20,$E574))</f>
        <v/>
      </c>
      <c r="G574" s="18" t="str">
        <f>IF($A574="","",INDEX('Logic &amp; Lists'!$J$4:$J$20,$E574))</f>
        <v/>
      </c>
      <c r="H574" s="6" t="str">
        <f t="shared" si="41"/>
        <v/>
      </c>
      <c r="I574" s="18" t="str">
        <f t="shared" ca="1" si="42"/>
        <v/>
      </c>
      <c r="J574" s="5" t="str">
        <f t="shared" si="43"/>
        <v/>
      </c>
      <c r="K574" s="25"/>
      <c r="L574" s="5" t="str">
        <f t="shared" si="44"/>
        <v/>
      </c>
      <c r="M574" s="7"/>
      <c r="N574" s="7"/>
      <c r="O574" s="7"/>
      <c r="P574" s="20" t="str">
        <f>IF($A574="","",INDEX(Project_Tracker!$I$2:$I$101,INT((ROW()-6)/17)+1))</f>
        <v/>
      </c>
      <c r="Q574" s="20" t="str">
        <f>IF($A574="","",INDEX(Project_Tracker!$K$2:$K$101,INT((ROW()-6)/17)+1))</f>
        <v/>
      </c>
    </row>
    <row r="575" spans="1:17" x14ac:dyDescent="0.2">
      <c r="A575" s="20" t="str">
        <f>IF(INDEX(Project_Tracker!$AL$2:$AL$101,INT((ROW()-6)/17)+1)="","",INDEX(Project_Tracker!$AL$2:$AL$101,INT((ROW()-6)/17)+1))</f>
        <v/>
      </c>
      <c r="B575" s="21" t="str">
        <f>IF($A575="","",INDEX(Project_Tracker!$AM$2:$AM$101,INT((ROW()-6)/17)+1))</f>
        <v/>
      </c>
      <c r="C575" s="20" t="str">
        <f>IF($A575="","",INDEX(Project_Tracker!$C$2:$C$101,INT((ROW()-6)/17)+1))</f>
        <v/>
      </c>
      <c r="D575" s="6" t="str">
        <f>IF($A575="","",INDEX(Project_Tracker!$T$2:$T$101,INT((ROW()-6)/17)+1))</f>
        <v/>
      </c>
      <c r="E575" s="18">
        <f t="shared" si="40"/>
        <v>9</v>
      </c>
      <c r="F575" s="23" t="str">
        <f>IF($A575="","",INDEX('Logic &amp; Lists'!$I$4:$I$20,$E575))</f>
        <v/>
      </c>
      <c r="G575" s="18" t="str">
        <f>IF($A575="","",INDEX('Logic &amp; Lists'!$J$4:$J$20,$E575))</f>
        <v/>
      </c>
      <c r="H575" s="6" t="str">
        <f t="shared" si="41"/>
        <v/>
      </c>
      <c r="I575" s="18" t="str">
        <f t="shared" ca="1" si="42"/>
        <v/>
      </c>
      <c r="J575" s="5" t="str">
        <f t="shared" si="43"/>
        <v/>
      </c>
      <c r="K575" s="25"/>
      <c r="L575" s="5" t="str">
        <f t="shared" si="44"/>
        <v/>
      </c>
      <c r="M575" s="7"/>
      <c r="N575" s="7"/>
      <c r="O575" s="7"/>
      <c r="P575" s="20" t="str">
        <f>IF($A575="","",INDEX(Project_Tracker!$I$2:$I$101,INT((ROW()-6)/17)+1))</f>
        <v/>
      </c>
      <c r="Q575" s="20" t="str">
        <f>IF($A575="","",INDEX(Project_Tracker!$K$2:$K$101,INT((ROW()-6)/17)+1))</f>
        <v/>
      </c>
    </row>
    <row r="576" spans="1:17" x14ac:dyDescent="0.2">
      <c r="A576" s="20" t="str">
        <f>IF(INDEX(Project_Tracker!$AL$2:$AL$101,INT((ROW()-6)/17)+1)="","",INDEX(Project_Tracker!$AL$2:$AL$101,INT((ROW()-6)/17)+1))</f>
        <v/>
      </c>
      <c r="B576" s="21" t="str">
        <f>IF($A576="","",INDEX(Project_Tracker!$AM$2:$AM$101,INT((ROW()-6)/17)+1))</f>
        <v/>
      </c>
      <c r="C576" s="20" t="str">
        <f>IF($A576="","",INDEX(Project_Tracker!$C$2:$C$101,INT((ROW()-6)/17)+1))</f>
        <v/>
      </c>
      <c r="D576" s="6" t="str">
        <f>IF($A576="","",INDEX(Project_Tracker!$T$2:$T$101,INT((ROW()-6)/17)+1))</f>
        <v/>
      </c>
      <c r="E576" s="18">
        <f t="shared" si="40"/>
        <v>10</v>
      </c>
      <c r="F576" s="23" t="str">
        <f>IF($A576="","",INDEX('Logic &amp; Lists'!$I$4:$I$20,$E576))</f>
        <v/>
      </c>
      <c r="G576" s="18" t="str">
        <f>IF($A576="","",INDEX('Logic &amp; Lists'!$J$4:$J$20,$E576))</f>
        <v/>
      </c>
      <c r="H576" s="6" t="str">
        <f t="shared" si="41"/>
        <v/>
      </c>
      <c r="I576" s="18" t="str">
        <f t="shared" ca="1" si="42"/>
        <v/>
      </c>
      <c r="J576" s="5" t="str">
        <f t="shared" si="43"/>
        <v/>
      </c>
      <c r="K576" s="25"/>
      <c r="L576" s="5" t="str">
        <f t="shared" si="44"/>
        <v/>
      </c>
      <c r="M576" s="7"/>
      <c r="N576" s="7"/>
      <c r="O576" s="7"/>
      <c r="P576" s="20" t="str">
        <f>IF($A576="","",INDEX(Project_Tracker!$I$2:$I$101,INT((ROW()-6)/17)+1))</f>
        <v/>
      </c>
      <c r="Q576" s="20" t="str">
        <f>IF($A576="","",INDEX(Project_Tracker!$K$2:$K$101,INT((ROW()-6)/17)+1))</f>
        <v/>
      </c>
    </row>
    <row r="577" spans="1:17" x14ac:dyDescent="0.2">
      <c r="A577" s="20" t="str">
        <f>IF(INDEX(Project_Tracker!$AL$2:$AL$101,INT((ROW()-6)/17)+1)="","",INDEX(Project_Tracker!$AL$2:$AL$101,INT((ROW()-6)/17)+1))</f>
        <v/>
      </c>
      <c r="B577" s="21" t="str">
        <f>IF($A577="","",INDEX(Project_Tracker!$AM$2:$AM$101,INT((ROW()-6)/17)+1))</f>
        <v/>
      </c>
      <c r="C577" s="20" t="str">
        <f>IF($A577="","",INDEX(Project_Tracker!$C$2:$C$101,INT((ROW()-6)/17)+1))</f>
        <v/>
      </c>
      <c r="D577" s="6" t="str">
        <f>IF($A577="","",INDEX(Project_Tracker!$T$2:$T$101,INT((ROW()-6)/17)+1))</f>
        <v/>
      </c>
      <c r="E577" s="18">
        <f t="shared" si="40"/>
        <v>11</v>
      </c>
      <c r="F577" s="23" t="str">
        <f>IF($A577="","",INDEX('Logic &amp; Lists'!$I$4:$I$20,$E577))</f>
        <v/>
      </c>
      <c r="G577" s="18" t="str">
        <f>IF($A577="","",INDEX('Logic &amp; Lists'!$J$4:$J$20,$E577))</f>
        <v/>
      </c>
      <c r="H577" s="6" t="str">
        <f t="shared" si="41"/>
        <v/>
      </c>
      <c r="I577" s="18" t="str">
        <f t="shared" ca="1" si="42"/>
        <v/>
      </c>
      <c r="J577" s="5" t="str">
        <f t="shared" si="43"/>
        <v/>
      </c>
      <c r="K577" s="25"/>
      <c r="L577" s="5" t="str">
        <f t="shared" si="44"/>
        <v/>
      </c>
      <c r="M577" s="7"/>
      <c r="N577" s="7"/>
      <c r="O577" s="7"/>
      <c r="P577" s="20" t="str">
        <f>IF($A577="","",INDEX(Project_Tracker!$I$2:$I$101,INT((ROW()-6)/17)+1))</f>
        <v/>
      </c>
      <c r="Q577" s="20" t="str">
        <f>IF($A577="","",INDEX(Project_Tracker!$K$2:$K$101,INT((ROW()-6)/17)+1))</f>
        <v/>
      </c>
    </row>
    <row r="578" spans="1:17" x14ac:dyDescent="0.2">
      <c r="A578" s="20" t="str">
        <f>IF(INDEX(Project_Tracker!$AL$2:$AL$101,INT((ROW()-6)/17)+1)="","",INDEX(Project_Tracker!$AL$2:$AL$101,INT((ROW()-6)/17)+1))</f>
        <v/>
      </c>
      <c r="B578" s="21" t="str">
        <f>IF($A578="","",INDEX(Project_Tracker!$AM$2:$AM$101,INT((ROW()-6)/17)+1))</f>
        <v/>
      </c>
      <c r="C578" s="20" t="str">
        <f>IF($A578="","",INDEX(Project_Tracker!$C$2:$C$101,INT((ROW()-6)/17)+1))</f>
        <v/>
      </c>
      <c r="D578" s="6" t="str">
        <f>IF($A578="","",INDEX(Project_Tracker!$T$2:$T$101,INT((ROW()-6)/17)+1))</f>
        <v/>
      </c>
      <c r="E578" s="18">
        <f t="shared" si="40"/>
        <v>12</v>
      </c>
      <c r="F578" s="23" t="str">
        <f>IF($A578="","",INDEX('Logic &amp; Lists'!$I$4:$I$20,$E578))</f>
        <v/>
      </c>
      <c r="G578" s="18" t="str">
        <f>IF($A578="","",INDEX('Logic &amp; Lists'!$J$4:$J$20,$E578))</f>
        <v/>
      </c>
      <c r="H578" s="6" t="str">
        <f t="shared" si="41"/>
        <v/>
      </c>
      <c r="I578" s="18" t="str">
        <f t="shared" ca="1" si="42"/>
        <v/>
      </c>
      <c r="J578" s="5" t="str">
        <f t="shared" si="43"/>
        <v/>
      </c>
      <c r="K578" s="25"/>
      <c r="L578" s="5" t="str">
        <f t="shared" si="44"/>
        <v/>
      </c>
      <c r="M578" s="7"/>
      <c r="N578" s="7"/>
      <c r="O578" s="7"/>
      <c r="P578" s="20" t="str">
        <f>IF($A578="","",INDEX(Project_Tracker!$I$2:$I$101,INT((ROW()-6)/17)+1))</f>
        <v/>
      </c>
      <c r="Q578" s="20" t="str">
        <f>IF($A578="","",INDEX(Project_Tracker!$K$2:$K$101,INT((ROW()-6)/17)+1))</f>
        <v/>
      </c>
    </row>
    <row r="579" spans="1:17" x14ac:dyDescent="0.2">
      <c r="A579" s="20" t="str">
        <f>IF(INDEX(Project_Tracker!$AL$2:$AL$101,INT((ROW()-6)/17)+1)="","",INDEX(Project_Tracker!$AL$2:$AL$101,INT((ROW()-6)/17)+1))</f>
        <v/>
      </c>
      <c r="B579" s="21" t="str">
        <f>IF($A579="","",INDEX(Project_Tracker!$AM$2:$AM$101,INT((ROW()-6)/17)+1))</f>
        <v/>
      </c>
      <c r="C579" s="20" t="str">
        <f>IF($A579="","",INDEX(Project_Tracker!$C$2:$C$101,INT((ROW()-6)/17)+1))</f>
        <v/>
      </c>
      <c r="D579" s="6" t="str">
        <f>IF($A579="","",INDEX(Project_Tracker!$T$2:$T$101,INT((ROW()-6)/17)+1))</f>
        <v/>
      </c>
      <c r="E579" s="18">
        <f t="shared" si="40"/>
        <v>13</v>
      </c>
      <c r="F579" s="23" t="str">
        <f>IF($A579="","",INDEX('Logic &amp; Lists'!$I$4:$I$20,$E579))</f>
        <v/>
      </c>
      <c r="G579" s="18" t="str">
        <f>IF($A579="","",INDEX('Logic &amp; Lists'!$J$4:$J$20,$E579))</f>
        <v/>
      </c>
      <c r="H579" s="6" t="str">
        <f t="shared" si="41"/>
        <v/>
      </c>
      <c r="I579" s="18" t="str">
        <f t="shared" ca="1" si="42"/>
        <v/>
      </c>
      <c r="J579" s="5" t="str">
        <f t="shared" si="43"/>
        <v/>
      </c>
      <c r="K579" s="25"/>
      <c r="L579" s="5" t="str">
        <f t="shared" si="44"/>
        <v/>
      </c>
      <c r="M579" s="7"/>
      <c r="N579" s="7"/>
      <c r="O579" s="7"/>
      <c r="P579" s="20" t="str">
        <f>IF($A579="","",INDEX(Project_Tracker!$I$2:$I$101,INT((ROW()-6)/17)+1))</f>
        <v/>
      </c>
      <c r="Q579" s="20" t="str">
        <f>IF($A579="","",INDEX(Project_Tracker!$K$2:$K$101,INT((ROW()-6)/17)+1))</f>
        <v/>
      </c>
    </row>
    <row r="580" spans="1:17" x14ac:dyDescent="0.2">
      <c r="A580" s="20" t="str">
        <f>IF(INDEX(Project_Tracker!$AL$2:$AL$101,INT((ROW()-6)/17)+1)="","",INDEX(Project_Tracker!$AL$2:$AL$101,INT((ROW()-6)/17)+1))</f>
        <v/>
      </c>
      <c r="B580" s="21" t="str">
        <f>IF($A580="","",INDEX(Project_Tracker!$AM$2:$AM$101,INT((ROW()-6)/17)+1))</f>
        <v/>
      </c>
      <c r="C580" s="20" t="str">
        <f>IF($A580="","",INDEX(Project_Tracker!$C$2:$C$101,INT((ROW()-6)/17)+1))</f>
        <v/>
      </c>
      <c r="D580" s="6" t="str">
        <f>IF($A580="","",INDEX(Project_Tracker!$T$2:$T$101,INT((ROW()-6)/17)+1))</f>
        <v/>
      </c>
      <c r="E580" s="18">
        <f t="shared" si="40"/>
        <v>14</v>
      </c>
      <c r="F580" s="23" t="str">
        <f>IF($A580="","",INDEX('Logic &amp; Lists'!$I$4:$I$20,$E580))</f>
        <v/>
      </c>
      <c r="G580" s="18" t="str">
        <f>IF($A580="","",INDEX('Logic &amp; Lists'!$J$4:$J$20,$E580))</f>
        <v/>
      </c>
      <c r="H580" s="6" t="str">
        <f t="shared" si="41"/>
        <v/>
      </c>
      <c r="I580" s="18" t="str">
        <f t="shared" ca="1" si="42"/>
        <v/>
      </c>
      <c r="J580" s="5" t="str">
        <f t="shared" si="43"/>
        <v/>
      </c>
      <c r="K580" s="25"/>
      <c r="L580" s="5" t="str">
        <f t="shared" si="44"/>
        <v/>
      </c>
      <c r="M580" s="7"/>
      <c r="N580" s="7"/>
      <c r="O580" s="7"/>
      <c r="P580" s="20" t="str">
        <f>IF($A580="","",INDEX(Project_Tracker!$I$2:$I$101,INT((ROW()-6)/17)+1))</f>
        <v/>
      </c>
      <c r="Q580" s="20" t="str">
        <f>IF($A580="","",INDEX(Project_Tracker!$K$2:$K$101,INT((ROW()-6)/17)+1))</f>
        <v/>
      </c>
    </row>
    <row r="581" spans="1:17" x14ac:dyDescent="0.2">
      <c r="A581" s="20" t="str">
        <f>IF(INDEX(Project_Tracker!$AL$2:$AL$101,INT((ROW()-6)/17)+1)="","",INDEX(Project_Tracker!$AL$2:$AL$101,INT((ROW()-6)/17)+1))</f>
        <v/>
      </c>
      <c r="B581" s="21" t="str">
        <f>IF($A581="","",INDEX(Project_Tracker!$AM$2:$AM$101,INT((ROW()-6)/17)+1))</f>
        <v/>
      </c>
      <c r="C581" s="20" t="str">
        <f>IF($A581="","",INDEX(Project_Tracker!$C$2:$C$101,INT((ROW()-6)/17)+1))</f>
        <v/>
      </c>
      <c r="D581" s="6" t="str">
        <f>IF($A581="","",INDEX(Project_Tracker!$T$2:$T$101,INT((ROW()-6)/17)+1))</f>
        <v/>
      </c>
      <c r="E581" s="18">
        <f t="shared" si="40"/>
        <v>15</v>
      </c>
      <c r="F581" s="23" t="str">
        <f>IF($A581="","",INDEX('Logic &amp; Lists'!$I$4:$I$20,$E581))</f>
        <v/>
      </c>
      <c r="G581" s="18" t="str">
        <f>IF($A581="","",INDEX('Logic &amp; Lists'!$J$4:$J$20,$E581))</f>
        <v/>
      </c>
      <c r="H581" s="6" t="str">
        <f t="shared" si="41"/>
        <v/>
      </c>
      <c r="I581" s="18" t="str">
        <f t="shared" ca="1" si="42"/>
        <v/>
      </c>
      <c r="J581" s="5" t="str">
        <f t="shared" si="43"/>
        <v/>
      </c>
      <c r="K581" s="25"/>
      <c r="L581" s="5" t="str">
        <f t="shared" si="44"/>
        <v/>
      </c>
      <c r="M581" s="7"/>
      <c r="N581" s="7"/>
      <c r="O581" s="7"/>
      <c r="P581" s="20" t="str">
        <f>IF($A581="","",INDEX(Project_Tracker!$I$2:$I$101,INT((ROW()-6)/17)+1))</f>
        <v/>
      </c>
      <c r="Q581" s="20" t="str">
        <f>IF($A581="","",INDEX(Project_Tracker!$K$2:$K$101,INT((ROW()-6)/17)+1))</f>
        <v/>
      </c>
    </row>
    <row r="582" spans="1:17" x14ac:dyDescent="0.2">
      <c r="A582" s="20" t="str">
        <f>IF(INDEX(Project_Tracker!$AL$2:$AL$101,INT((ROW()-6)/17)+1)="","",INDEX(Project_Tracker!$AL$2:$AL$101,INT((ROW()-6)/17)+1))</f>
        <v/>
      </c>
      <c r="B582" s="21" t="str">
        <f>IF($A582="","",INDEX(Project_Tracker!$AM$2:$AM$101,INT((ROW()-6)/17)+1))</f>
        <v/>
      </c>
      <c r="C582" s="20" t="str">
        <f>IF($A582="","",INDEX(Project_Tracker!$C$2:$C$101,INT((ROW()-6)/17)+1))</f>
        <v/>
      </c>
      <c r="D582" s="6" t="str">
        <f>IF($A582="","",INDEX(Project_Tracker!$T$2:$T$101,INT((ROW()-6)/17)+1))</f>
        <v/>
      </c>
      <c r="E582" s="18">
        <f t="shared" ref="E582:E645" si="45">MOD(ROW()-6,17)+1</f>
        <v>16</v>
      </c>
      <c r="F582" s="23" t="str">
        <f>IF($A582="","",INDEX('Logic &amp; Lists'!$I$4:$I$20,$E582))</f>
        <v/>
      </c>
      <c r="G582" s="18" t="str">
        <f>IF($A582="","",INDEX('Logic &amp; Lists'!$J$4:$J$20,$E582))</f>
        <v/>
      </c>
      <c r="H582" s="6" t="str">
        <f t="shared" ref="H582:H645" si="46">IF($D582="","",$D582-$G582)</f>
        <v/>
      </c>
      <c r="I582" s="18" t="str">
        <f t="shared" ref="I582:I645" ca="1" si="47">IF($H582="","",$H582-TODAY())</f>
        <v/>
      </c>
      <c r="J582" s="5" t="str">
        <f t="shared" ref="J582:J645" si="48">IF($A582="","",IF($K582&lt;&gt;"","ORDERED",IF($I582&lt;0,"OVERDUE",IF($I582&lt;=7,"URGENT",IF($I582&lt;=14,"PREPARE","OK")))))</f>
        <v/>
      </c>
      <c r="K582" s="25"/>
      <c r="L582" s="5" t="str">
        <f t="shared" ref="L582:L645" si="49">IF($A582="","",IF($K582="",$J582,IF($K582&lt;=$H582,"Ordered On Time","Ordered Late")))</f>
        <v/>
      </c>
      <c r="M582" s="7"/>
      <c r="N582" s="7"/>
      <c r="O582" s="7"/>
      <c r="P582" s="20" t="str">
        <f>IF($A582="","",INDEX(Project_Tracker!$I$2:$I$101,INT((ROW()-6)/17)+1))</f>
        <v/>
      </c>
      <c r="Q582" s="20" t="str">
        <f>IF($A582="","",INDEX(Project_Tracker!$K$2:$K$101,INT((ROW()-6)/17)+1))</f>
        <v/>
      </c>
    </row>
    <row r="583" spans="1:17" x14ac:dyDescent="0.2">
      <c r="A583" s="20" t="str">
        <f>IF(INDEX(Project_Tracker!$AL$2:$AL$101,INT((ROW()-6)/17)+1)="","",INDEX(Project_Tracker!$AL$2:$AL$101,INT((ROW()-6)/17)+1))</f>
        <v/>
      </c>
      <c r="B583" s="21" t="str">
        <f>IF($A583="","",INDEX(Project_Tracker!$AM$2:$AM$101,INT((ROW()-6)/17)+1))</f>
        <v/>
      </c>
      <c r="C583" s="20" t="str">
        <f>IF($A583="","",INDEX(Project_Tracker!$C$2:$C$101,INT((ROW()-6)/17)+1))</f>
        <v/>
      </c>
      <c r="D583" s="6" t="str">
        <f>IF($A583="","",INDEX(Project_Tracker!$T$2:$T$101,INT((ROW()-6)/17)+1))</f>
        <v/>
      </c>
      <c r="E583" s="18">
        <f t="shared" si="45"/>
        <v>17</v>
      </c>
      <c r="F583" s="23" t="str">
        <f>IF($A583="","",INDEX('Logic &amp; Lists'!$I$4:$I$20,$E583))</f>
        <v/>
      </c>
      <c r="G583" s="18" t="str">
        <f>IF($A583="","",INDEX('Logic &amp; Lists'!$J$4:$J$20,$E583))</f>
        <v/>
      </c>
      <c r="H583" s="6" t="str">
        <f t="shared" si="46"/>
        <v/>
      </c>
      <c r="I583" s="18" t="str">
        <f t="shared" ca="1" si="47"/>
        <v/>
      </c>
      <c r="J583" s="5" t="str">
        <f t="shared" si="48"/>
        <v/>
      </c>
      <c r="K583" s="25"/>
      <c r="L583" s="5" t="str">
        <f t="shared" si="49"/>
        <v/>
      </c>
      <c r="M583" s="7"/>
      <c r="N583" s="7"/>
      <c r="O583" s="7"/>
      <c r="P583" s="20" t="str">
        <f>IF($A583="","",INDEX(Project_Tracker!$I$2:$I$101,INT((ROW()-6)/17)+1))</f>
        <v/>
      </c>
      <c r="Q583" s="20" t="str">
        <f>IF($A583="","",INDEX(Project_Tracker!$K$2:$K$101,INT((ROW()-6)/17)+1))</f>
        <v/>
      </c>
    </row>
    <row r="584" spans="1:17" x14ac:dyDescent="0.2">
      <c r="A584" s="20" t="str">
        <f>IF(INDEX(Project_Tracker!$AL$2:$AL$101,INT((ROW()-6)/17)+1)="","",INDEX(Project_Tracker!$AL$2:$AL$101,INT((ROW()-6)/17)+1))</f>
        <v/>
      </c>
      <c r="B584" s="21" t="str">
        <f>IF($A584="","",INDEX(Project_Tracker!$AM$2:$AM$101,INT((ROW()-6)/17)+1))</f>
        <v/>
      </c>
      <c r="C584" s="20" t="str">
        <f>IF($A584="","",INDEX(Project_Tracker!$C$2:$C$101,INT((ROW()-6)/17)+1))</f>
        <v/>
      </c>
      <c r="D584" s="6" t="str">
        <f>IF($A584="","",INDEX(Project_Tracker!$T$2:$T$101,INT((ROW()-6)/17)+1))</f>
        <v/>
      </c>
      <c r="E584" s="18">
        <f t="shared" si="45"/>
        <v>1</v>
      </c>
      <c r="F584" s="23" t="str">
        <f>IF($A584="","",INDEX('Logic &amp; Lists'!$I$4:$I$20,$E584))</f>
        <v/>
      </c>
      <c r="G584" s="18" t="str">
        <f>IF($A584="","",INDEX('Logic &amp; Lists'!$J$4:$J$20,$E584))</f>
        <v/>
      </c>
      <c r="H584" s="6" t="str">
        <f t="shared" si="46"/>
        <v/>
      </c>
      <c r="I584" s="18" t="str">
        <f t="shared" ca="1" si="47"/>
        <v/>
      </c>
      <c r="J584" s="5" t="str">
        <f t="shared" si="48"/>
        <v/>
      </c>
      <c r="K584" s="25"/>
      <c r="L584" s="5" t="str">
        <f t="shared" si="49"/>
        <v/>
      </c>
      <c r="M584" s="7"/>
      <c r="N584" s="7"/>
      <c r="O584" s="7"/>
      <c r="P584" s="20" t="str">
        <f>IF($A584="","",INDEX(Project_Tracker!$I$2:$I$101,INT((ROW()-6)/17)+1))</f>
        <v/>
      </c>
      <c r="Q584" s="20" t="str">
        <f>IF($A584="","",INDEX(Project_Tracker!$K$2:$K$101,INT((ROW()-6)/17)+1))</f>
        <v/>
      </c>
    </row>
    <row r="585" spans="1:17" x14ac:dyDescent="0.2">
      <c r="A585" s="20" t="str">
        <f>IF(INDEX(Project_Tracker!$AL$2:$AL$101,INT((ROW()-6)/17)+1)="","",INDEX(Project_Tracker!$AL$2:$AL$101,INT((ROW()-6)/17)+1))</f>
        <v/>
      </c>
      <c r="B585" s="21" t="str">
        <f>IF($A585="","",INDEX(Project_Tracker!$AM$2:$AM$101,INT((ROW()-6)/17)+1))</f>
        <v/>
      </c>
      <c r="C585" s="20" t="str">
        <f>IF($A585="","",INDEX(Project_Tracker!$C$2:$C$101,INT((ROW()-6)/17)+1))</f>
        <v/>
      </c>
      <c r="D585" s="6" t="str">
        <f>IF($A585="","",INDEX(Project_Tracker!$T$2:$T$101,INT((ROW()-6)/17)+1))</f>
        <v/>
      </c>
      <c r="E585" s="18">
        <f t="shared" si="45"/>
        <v>2</v>
      </c>
      <c r="F585" s="23" t="str">
        <f>IF($A585="","",INDEX('Logic &amp; Lists'!$I$4:$I$20,$E585))</f>
        <v/>
      </c>
      <c r="G585" s="18" t="str">
        <f>IF($A585="","",INDEX('Logic &amp; Lists'!$J$4:$J$20,$E585))</f>
        <v/>
      </c>
      <c r="H585" s="6" t="str">
        <f t="shared" si="46"/>
        <v/>
      </c>
      <c r="I585" s="18" t="str">
        <f t="shared" ca="1" si="47"/>
        <v/>
      </c>
      <c r="J585" s="5" t="str">
        <f t="shared" si="48"/>
        <v/>
      </c>
      <c r="K585" s="25"/>
      <c r="L585" s="5" t="str">
        <f t="shared" si="49"/>
        <v/>
      </c>
      <c r="M585" s="7"/>
      <c r="N585" s="7"/>
      <c r="O585" s="7"/>
      <c r="P585" s="20" t="str">
        <f>IF($A585="","",INDEX(Project_Tracker!$I$2:$I$101,INT((ROW()-6)/17)+1))</f>
        <v/>
      </c>
      <c r="Q585" s="20" t="str">
        <f>IF($A585="","",INDEX(Project_Tracker!$K$2:$K$101,INT((ROW()-6)/17)+1))</f>
        <v/>
      </c>
    </row>
    <row r="586" spans="1:17" x14ac:dyDescent="0.2">
      <c r="A586" s="20" t="str">
        <f>IF(INDEX(Project_Tracker!$AL$2:$AL$101,INT((ROW()-6)/17)+1)="","",INDEX(Project_Tracker!$AL$2:$AL$101,INT((ROW()-6)/17)+1))</f>
        <v/>
      </c>
      <c r="B586" s="21" t="str">
        <f>IF($A586="","",INDEX(Project_Tracker!$AM$2:$AM$101,INT((ROW()-6)/17)+1))</f>
        <v/>
      </c>
      <c r="C586" s="20" t="str">
        <f>IF($A586="","",INDEX(Project_Tracker!$C$2:$C$101,INT((ROW()-6)/17)+1))</f>
        <v/>
      </c>
      <c r="D586" s="6" t="str">
        <f>IF($A586="","",INDEX(Project_Tracker!$T$2:$T$101,INT((ROW()-6)/17)+1))</f>
        <v/>
      </c>
      <c r="E586" s="18">
        <f t="shared" si="45"/>
        <v>3</v>
      </c>
      <c r="F586" s="23" t="str">
        <f>IF($A586="","",INDEX('Logic &amp; Lists'!$I$4:$I$20,$E586))</f>
        <v/>
      </c>
      <c r="G586" s="18" t="str">
        <f>IF($A586="","",INDEX('Logic &amp; Lists'!$J$4:$J$20,$E586))</f>
        <v/>
      </c>
      <c r="H586" s="6" t="str">
        <f t="shared" si="46"/>
        <v/>
      </c>
      <c r="I586" s="18" t="str">
        <f t="shared" ca="1" si="47"/>
        <v/>
      </c>
      <c r="J586" s="5" t="str">
        <f t="shared" si="48"/>
        <v/>
      </c>
      <c r="K586" s="25"/>
      <c r="L586" s="5" t="str">
        <f t="shared" si="49"/>
        <v/>
      </c>
      <c r="M586" s="7"/>
      <c r="N586" s="7"/>
      <c r="O586" s="7"/>
      <c r="P586" s="20" t="str">
        <f>IF($A586="","",INDEX(Project_Tracker!$I$2:$I$101,INT((ROW()-6)/17)+1))</f>
        <v/>
      </c>
      <c r="Q586" s="20" t="str">
        <f>IF($A586="","",INDEX(Project_Tracker!$K$2:$K$101,INT((ROW()-6)/17)+1))</f>
        <v/>
      </c>
    </row>
    <row r="587" spans="1:17" x14ac:dyDescent="0.2">
      <c r="A587" s="20" t="str">
        <f>IF(INDEX(Project_Tracker!$AL$2:$AL$101,INT((ROW()-6)/17)+1)="","",INDEX(Project_Tracker!$AL$2:$AL$101,INT((ROW()-6)/17)+1))</f>
        <v/>
      </c>
      <c r="B587" s="21" t="str">
        <f>IF($A587="","",INDEX(Project_Tracker!$AM$2:$AM$101,INT((ROW()-6)/17)+1))</f>
        <v/>
      </c>
      <c r="C587" s="20" t="str">
        <f>IF($A587="","",INDEX(Project_Tracker!$C$2:$C$101,INT((ROW()-6)/17)+1))</f>
        <v/>
      </c>
      <c r="D587" s="6" t="str">
        <f>IF($A587="","",INDEX(Project_Tracker!$T$2:$T$101,INT((ROW()-6)/17)+1))</f>
        <v/>
      </c>
      <c r="E587" s="18">
        <f t="shared" si="45"/>
        <v>4</v>
      </c>
      <c r="F587" s="23" t="str">
        <f>IF($A587="","",INDEX('Logic &amp; Lists'!$I$4:$I$20,$E587))</f>
        <v/>
      </c>
      <c r="G587" s="18" t="str">
        <f>IF($A587="","",INDEX('Logic &amp; Lists'!$J$4:$J$20,$E587))</f>
        <v/>
      </c>
      <c r="H587" s="6" t="str">
        <f t="shared" si="46"/>
        <v/>
      </c>
      <c r="I587" s="18" t="str">
        <f t="shared" ca="1" si="47"/>
        <v/>
      </c>
      <c r="J587" s="5" t="str">
        <f t="shared" si="48"/>
        <v/>
      </c>
      <c r="K587" s="25"/>
      <c r="L587" s="5" t="str">
        <f t="shared" si="49"/>
        <v/>
      </c>
      <c r="M587" s="7"/>
      <c r="N587" s="7"/>
      <c r="O587" s="7"/>
      <c r="P587" s="20" t="str">
        <f>IF($A587="","",INDEX(Project_Tracker!$I$2:$I$101,INT((ROW()-6)/17)+1))</f>
        <v/>
      </c>
      <c r="Q587" s="20" t="str">
        <f>IF($A587="","",INDEX(Project_Tracker!$K$2:$K$101,INT((ROW()-6)/17)+1))</f>
        <v/>
      </c>
    </row>
    <row r="588" spans="1:17" x14ac:dyDescent="0.2">
      <c r="A588" s="20" t="str">
        <f>IF(INDEX(Project_Tracker!$AL$2:$AL$101,INT((ROW()-6)/17)+1)="","",INDEX(Project_Tracker!$AL$2:$AL$101,INT((ROW()-6)/17)+1))</f>
        <v/>
      </c>
      <c r="B588" s="21" t="str">
        <f>IF($A588="","",INDEX(Project_Tracker!$AM$2:$AM$101,INT((ROW()-6)/17)+1))</f>
        <v/>
      </c>
      <c r="C588" s="20" t="str">
        <f>IF($A588="","",INDEX(Project_Tracker!$C$2:$C$101,INT((ROW()-6)/17)+1))</f>
        <v/>
      </c>
      <c r="D588" s="6" t="str">
        <f>IF($A588="","",INDEX(Project_Tracker!$T$2:$T$101,INT((ROW()-6)/17)+1))</f>
        <v/>
      </c>
      <c r="E588" s="18">
        <f t="shared" si="45"/>
        <v>5</v>
      </c>
      <c r="F588" s="23" t="str">
        <f>IF($A588="","",INDEX('Logic &amp; Lists'!$I$4:$I$20,$E588))</f>
        <v/>
      </c>
      <c r="G588" s="18" t="str">
        <f>IF($A588="","",INDEX('Logic &amp; Lists'!$J$4:$J$20,$E588))</f>
        <v/>
      </c>
      <c r="H588" s="6" t="str">
        <f t="shared" si="46"/>
        <v/>
      </c>
      <c r="I588" s="18" t="str">
        <f t="shared" ca="1" si="47"/>
        <v/>
      </c>
      <c r="J588" s="5" t="str">
        <f t="shared" si="48"/>
        <v/>
      </c>
      <c r="K588" s="25"/>
      <c r="L588" s="5" t="str">
        <f t="shared" si="49"/>
        <v/>
      </c>
      <c r="M588" s="7"/>
      <c r="N588" s="7"/>
      <c r="O588" s="7"/>
      <c r="P588" s="20" t="str">
        <f>IF($A588="","",INDEX(Project_Tracker!$I$2:$I$101,INT((ROW()-6)/17)+1))</f>
        <v/>
      </c>
      <c r="Q588" s="20" t="str">
        <f>IF($A588="","",INDEX(Project_Tracker!$K$2:$K$101,INT((ROW()-6)/17)+1))</f>
        <v/>
      </c>
    </row>
    <row r="589" spans="1:17" x14ac:dyDescent="0.2">
      <c r="A589" s="20" t="str">
        <f>IF(INDEX(Project_Tracker!$AL$2:$AL$101,INT((ROW()-6)/17)+1)="","",INDEX(Project_Tracker!$AL$2:$AL$101,INT((ROW()-6)/17)+1))</f>
        <v/>
      </c>
      <c r="B589" s="21" t="str">
        <f>IF($A589="","",INDEX(Project_Tracker!$AM$2:$AM$101,INT((ROW()-6)/17)+1))</f>
        <v/>
      </c>
      <c r="C589" s="20" t="str">
        <f>IF($A589="","",INDEX(Project_Tracker!$C$2:$C$101,INT((ROW()-6)/17)+1))</f>
        <v/>
      </c>
      <c r="D589" s="6" t="str">
        <f>IF($A589="","",INDEX(Project_Tracker!$T$2:$T$101,INT((ROW()-6)/17)+1))</f>
        <v/>
      </c>
      <c r="E589" s="18">
        <f t="shared" si="45"/>
        <v>6</v>
      </c>
      <c r="F589" s="23" t="str">
        <f>IF($A589="","",INDEX('Logic &amp; Lists'!$I$4:$I$20,$E589))</f>
        <v/>
      </c>
      <c r="G589" s="18" t="str">
        <f>IF($A589="","",INDEX('Logic &amp; Lists'!$J$4:$J$20,$E589))</f>
        <v/>
      </c>
      <c r="H589" s="6" t="str">
        <f t="shared" si="46"/>
        <v/>
      </c>
      <c r="I589" s="18" t="str">
        <f t="shared" ca="1" si="47"/>
        <v/>
      </c>
      <c r="J589" s="5" t="str">
        <f t="shared" si="48"/>
        <v/>
      </c>
      <c r="K589" s="25"/>
      <c r="L589" s="5" t="str">
        <f t="shared" si="49"/>
        <v/>
      </c>
      <c r="M589" s="7"/>
      <c r="N589" s="7"/>
      <c r="O589" s="7"/>
      <c r="P589" s="20" t="str">
        <f>IF($A589="","",INDEX(Project_Tracker!$I$2:$I$101,INT((ROW()-6)/17)+1))</f>
        <v/>
      </c>
      <c r="Q589" s="20" t="str">
        <f>IF($A589="","",INDEX(Project_Tracker!$K$2:$K$101,INT((ROW()-6)/17)+1))</f>
        <v/>
      </c>
    </row>
    <row r="590" spans="1:17" x14ac:dyDescent="0.2">
      <c r="A590" s="20" t="str">
        <f>IF(INDEX(Project_Tracker!$AL$2:$AL$101,INT((ROW()-6)/17)+1)="","",INDEX(Project_Tracker!$AL$2:$AL$101,INT((ROW()-6)/17)+1))</f>
        <v/>
      </c>
      <c r="B590" s="21" t="str">
        <f>IF($A590="","",INDEX(Project_Tracker!$AM$2:$AM$101,INT((ROW()-6)/17)+1))</f>
        <v/>
      </c>
      <c r="C590" s="20" t="str">
        <f>IF($A590="","",INDEX(Project_Tracker!$C$2:$C$101,INT((ROW()-6)/17)+1))</f>
        <v/>
      </c>
      <c r="D590" s="6" t="str">
        <f>IF($A590="","",INDEX(Project_Tracker!$T$2:$T$101,INT((ROW()-6)/17)+1))</f>
        <v/>
      </c>
      <c r="E590" s="18">
        <f t="shared" si="45"/>
        <v>7</v>
      </c>
      <c r="F590" s="23" t="str">
        <f>IF($A590="","",INDEX('Logic &amp; Lists'!$I$4:$I$20,$E590))</f>
        <v/>
      </c>
      <c r="G590" s="18" t="str">
        <f>IF($A590="","",INDEX('Logic &amp; Lists'!$J$4:$J$20,$E590))</f>
        <v/>
      </c>
      <c r="H590" s="6" t="str">
        <f t="shared" si="46"/>
        <v/>
      </c>
      <c r="I590" s="18" t="str">
        <f t="shared" ca="1" si="47"/>
        <v/>
      </c>
      <c r="J590" s="5" t="str">
        <f t="shared" si="48"/>
        <v/>
      </c>
      <c r="K590" s="25"/>
      <c r="L590" s="5" t="str">
        <f t="shared" si="49"/>
        <v/>
      </c>
      <c r="M590" s="7"/>
      <c r="N590" s="7"/>
      <c r="O590" s="7"/>
      <c r="P590" s="20" t="str">
        <f>IF($A590="","",INDEX(Project_Tracker!$I$2:$I$101,INT((ROW()-6)/17)+1))</f>
        <v/>
      </c>
      <c r="Q590" s="20" t="str">
        <f>IF($A590="","",INDEX(Project_Tracker!$K$2:$K$101,INT((ROW()-6)/17)+1))</f>
        <v/>
      </c>
    </row>
    <row r="591" spans="1:17" x14ac:dyDescent="0.2">
      <c r="A591" s="20" t="str">
        <f>IF(INDEX(Project_Tracker!$AL$2:$AL$101,INT((ROW()-6)/17)+1)="","",INDEX(Project_Tracker!$AL$2:$AL$101,INT((ROW()-6)/17)+1))</f>
        <v/>
      </c>
      <c r="B591" s="21" t="str">
        <f>IF($A591="","",INDEX(Project_Tracker!$AM$2:$AM$101,INT((ROW()-6)/17)+1))</f>
        <v/>
      </c>
      <c r="C591" s="20" t="str">
        <f>IF($A591="","",INDEX(Project_Tracker!$C$2:$C$101,INT((ROW()-6)/17)+1))</f>
        <v/>
      </c>
      <c r="D591" s="6" t="str">
        <f>IF($A591="","",INDEX(Project_Tracker!$T$2:$T$101,INT((ROW()-6)/17)+1))</f>
        <v/>
      </c>
      <c r="E591" s="18">
        <f t="shared" si="45"/>
        <v>8</v>
      </c>
      <c r="F591" s="23" t="str">
        <f>IF($A591="","",INDEX('Logic &amp; Lists'!$I$4:$I$20,$E591))</f>
        <v/>
      </c>
      <c r="G591" s="18" t="str">
        <f>IF($A591="","",INDEX('Logic &amp; Lists'!$J$4:$J$20,$E591))</f>
        <v/>
      </c>
      <c r="H591" s="6" t="str">
        <f t="shared" si="46"/>
        <v/>
      </c>
      <c r="I591" s="18" t="str">
        <f t="shared" ca="1" si="47"/>
        <v/>
      </c>
      <c r="J591" s="5" t="str">
        <f t="shared" si="48"/>
        <v/>
      </c>
      <c r="K591" s="25"/>
      <c r="L591" s="5" t="str">
        <f t="shared" si="49"/>
        <v/>
      </c>
      <c r="M591" s="7"/>
      <c r="N591" s="7"/>
      <c r="O591" s="7"/>
      <c r="P591" s="20" t="str">
        <f>IF($A591="","",INDEX(Project_Tracker!$I$2:$I$101,INT((ROW()-6)/17)+1))</f>
        <v/>
      </c>
      <c r="Q591" s="20" t="str">
        <f>IF($A591="","",INDEX(Project_Tracker!$K$2:$K$101,INT((ROW()-6)/17)+1))</f>
        <v/>
      </c>
    </row>
    <row r="592" spans="1:17" x14ac:dyDescent="0.2">
      <c r="A592" s="20" t="str">
        <f>IF(INDEX(Project_Tracker!$AL$2:$AL$101,INT((ROW()-6)/17)+1)="","",INDEX(Project_Tracker!$AL$2:$AL$101,INT((ROW()-6)/17)+1))</f>
        <v/>
      </c>
      <c r="B592" s="21" t="str">
        <f>IF($A592="","",INDEX(Project_Tracker!$AM$2:$AM$101,INT((ROW()-6)/17)+1))</f>
        <v/>
      </c>
      <c r="C592" s="20" t="str">
        <f>IF($A592="","",INDEX(Project_Tracker!$C$2:$C$101,INT((ROW()-6)/17)+1))</f>
        <v/>
      </c>
      <c r="D592" s="6" t="str">
        <f>IF($A592="","",INDEX(Project_Tracker!$T$2:$T$101,INT((ROW()-6)/17)+1))</f>
        <v/>
      </c>
      <c r="E592" s="18">
        <f t="shared" si="45"/>
        <v>9</v>
      </c>
      <c r="F592" s="23" t="str">
        <f>IF($A592="","",INDEX('Logic &amp; Lists'!$I$4:$I$20,$E592))</f>
        <v/>
      </c>
      <c r="G592" s="18" t="str">
        <f>IF($A592="","",INDEX('Logic &amp; Lists'!$J$4:$J$20,$E592))</f>
        <v/>
      </c>
      <c r="H592" s="6" t="str">
        <f t="shared" si="46"/>
        <v/>
      </c>
      <c r="I592" s="18" t="str">
        <f t="shared" ca="1" si="47"/>
        <v/>
      </c>
      <c r="J592" s="5" t="str">
        <f t="shared" si="48"/>
        <v/>
      </c>
      <c r="K592" s="25"/>
      <c r="L592" s="5" t="str">
        <f t="shared" si="49"/>
        <v/>
      </c>
      <c r="M592" s="7"/>
      <c r="N592" s="7"/>
      <c r="O592" s="7"/>
      <c r="P592" s="20" t="str">
        <f>IF($A592="","",INDEX(Project_Tracker!$I$2:$I$101,INT((ROW()-6)/17)+1))</f>
        <v/>
      </c>
      <c r="Q592" s="20" t="str">
        <f>IF($A592="","",INDEX(Project_Tracker!$K$2:$K$101,INT((ROW()-6)/17)+1))</f>
        <v/>
      </c>
    </row>
    <row r="593" spans="1:17" x14ac:dyDescent="0.2">
      <c r="A593" s="20" t="str">
        <f>IF(INDEX(Project_Tracker!$AL$2:$AL$101,INT((ROW()-6)/17)+1)="","",INDEX(Project_Tracker!$AL$2:$AL$101,INT((ROW()-6)/17)+1))</f>
        <v/>
      </c>
      <c r="B593" s="21" t="str">
        <f>IF($A593="","",INDEX(Project_Tracker!$AM$2:$AM$101,INT((ROW()-6)/17)+1))</f>
        <v/>
      </c>
      <c r="C593" s="20" t="str">
        <f>IF($A593="","",INDEX(Project_Tracker!$C$2:$C$101,INT((ROW()-6)/17)+1))</f>
        <v/>
      </c>
      <c r="D593" s="6" t="str">
        <f>IF($A593="","",INDEX(Project_Tracker!$T$2:$T$101,INT((ROW()-6)/17)+1))</f>
        <v/>
      </c>
      <c r="E593" s="18">
        <f t="shared" si="45"/>
        <v>10</v>
      </c>
      <c r="F593" s="23" t="str">
        <f>IF($A593="","",INDEX('Logic &amp; Lists'!$I$4:$I$20,$E593))</f>
        <v/>
      </c>
      <c r="G593" s="18" t="str">
        <f>IF($A593="","",INDEX('Logic &amp; Lists'!$J$4:$J$20,$E593))</f>
        <v/>
      </c>
      <c r="H593" s="6" t="str">
        <f t="shared" si="46"/>
        <v/>
      </c>
      <c r="I593" s="18" t="str">
        <f t="shared" ca="1" si="47"/>
        <v/>
      </c>
      <c r="J593" s="5" t="str">
        <f t="shared" si="48"/>
        <v/>
      </c>
      <c r="K593" s="25"/>
      <c r="L593" s="5" t="str">
        <f t="shared" si="49"/>
        <v/>
      </c>
      <c r="M593" s="7"/>
      <c r="N593" s="7"/>
      <c r="O593" s="7"/>
      <c r="P593" s="20" t="str">
        <f>IF($A593="","",INDEX(Project_Tracker!$I$2:$I$101,INT((ROW()-6)/17)+1))</f>
        <v/>
      </c>
      <c r="Q593" s="20" t="str">
        <f>IF($A593="","",INDEX(Project_Tracker!$K$2:$K$101,INT((ROW()-6)/17)+1))</f>
        <v/>
      </c>
    </row>
    <row r="594" spans="1:17" x14ac:dyDescent="0.2">
      <c r="A594" s="20" t="str">
        <f>IF(INDEX(Project_Tracker!$AL$2:$AL$101,INT((ROW()-6)/17)+1)="","",INDEX(Project_Tracker!$AL$2:$AL$101,INT((ROW()-6)/17)+1))</f>
        <v/>
      </c>
      <c r="B594" s="21" t="str">
        <f>IF($A594="","",INDEX(Project_Tracker!$AM$2:$AM$101,INT((ROW()-6)/17)+1))</f>
        <v/>
      </c>
      <c r="C594" s="20" t="str">
        <f>IF($A594="","",INDEX(Project_Tracker!$C$2:$C$101,INT((ROW()-6)/17)+1))</f>
        <v/>
      </c>
      <c r="D594" s="6" t="str">
        <f>IF($A594="","",INDEX(Project_Tracker!$T$2:$T$101,INT((ROW()-6)/17)+1))</f>
        <v/>
      </c>
      <c r="E594" s="18">
        <f t="shared" si="45"/>
        <v>11</v>
      </c>
      <c r="F594" s="23" t="str">
        <f>IF($A594="","",INDEX('Logic &amp; Lists'!$I$4:$I$20,$E594))</f>
        <v/>
      </c>
      <c r="G594" s="18" t="str">
        <f>IF($A594="","",INDEX('Logic &amp; Lists'!$J$4:$J$20,$E594))</f>
        <v/>
      </c>
      <c r="H594" s="6" t="str">
        <f t="shared" si="46"/>
        <v/>
      </c>
      <c r="I594" s="18" t="str">
        <f t="shared" ca="1" si="47"/>
        <v/>
      </c>
      <c r="J594" s="5" t="str">
        <f t="shared" si="48"/>
        <v/>
      </c>
      <c r="K594" s="25"/>
      <c r="L594" s="5" t="str">
        <f t="shared" si="49"/>
        <v/>
      </c>
      <c r="M594" s="7"/>
      <c r="N594" s="7"/>
      <c r="O594" s="7"/>
      <c r="P594" s="20" t="str">
        <f>IF($A594="","",INDEX(Project_Tracker!$I$2:$I$101,INT((ROW()-6)/17)+1))</f>
        <v/>
      </c>
      <c r="Q594" s="20" t="str">
        <f>IF($A594="","",INDEX(Project_Tracker!$K$2:$K$101,INT((ROW()-6)/17)+1))</f>
        <v/>
      </c>
    </row>
    <row r="595" spans="1:17" x14ac:dyDescent="0.2">
      <c r="A595" s="20" t="str">
        <f>IF(INDEX(Project_Tracker!$AL$2:$AL$101,INT((ROW()-6)/17)+1)="","",INDEX(Project_Tracker!$AL$2:$AL$101,INT((ROW()-6)/17)+1))</f>
        <v/>
      </c>
      <c r="B595" s="21" t="str">
        <f>IF($A595="","",INDEX(Project_Tracker!$AM$2:$AM$101,INT((ROW()-6)/17)+1))</f>
        <v/>
      </c>
      <c r="C595" s="20" t="str">
        <f>IF($A595="","",INDEX(Project_Tracker!$C$2:$C$101,INT((ROW()-6)/17)+1))</f>
        <v/>
      </c>
      <c r="D595" s="6" t="str">
        <f>IF($A595="","",INDEX(Project_Tracker!$T$2:$T$101,INT((ROW()-6)/17)+1))</f>
        <v/>
      </c>
      <c r="E595" s="18">
        <f t="shared" si="45"/>
        <v>12</v>
      </c>
      <c r="F595" s="23" t="str">
        <f>IF($A595="","",INDEX('Logic &amp; Lists'!$I$4:$I$20,$E595))</f>
        <v/>
      </c>
      <c r="G595" s="18" t="str">
        <f>IF($A595="","",INDEX('Logic &amp; Lists'!$J$4:$J$20,$E595))</f>
        <v/>
      </c>
      <c r="H595" s="6" t="str">
        <f t="shared" si="46"/>
        <v/>
      </c>
      <c r="I595" s="18" t="str">
        <f t="shared" ca="1" si="47"/>
        <v/>
      </c>
      <c r="J595" s="5" t="str">
        <f t="shared" si="48"/>
        <v/>
      </c>
      <c r="K595" s="25"/>
      <c r="L595" s="5" t="str">
        <f t="shared" si="49"/>
        <v/>
      </c>
      <c r="M595" s="7"/>
      <c r="N595" s="7"/>
      <c r="O595" s="7"/>
      <c r="P595" s="20" t="str">
        <f>IF($A595="","",INDEX(Project_Tracker!$I$2:$I$101,INT((ROW()-6)/17)+1))</f>
        <v/>
      </c>
      <c r="Q595" s="20" t="str">
        <f>IF($A595="","",INDEX(Project_Tracker!$K$2:$K$101,INT((ROW()-6)/17)+1))</f>
        <v/>
      </c>
    </row>
    <row r="596" spans="1:17" x14ac:dyDescent="0.2">
      <c r="A596" s="20" t="str">
        <f>IF(INDEX(Project_Tracker!$AL$2:$AL$101,INT((ROW()-6)/17)+1)="","",INDEX(Project_Tracker!$AL$2:$AL$101,INT((ROW()-6)/17)+1))</f>
        <v/>
      </c>
      <c r="B596" s="21" t="str">
        <f>IF($A596="","",INDEX(Project_Tracker!$AM$2:$AM$101,INT((ROW()-6)/17)+1))</f>
        <v/>
      </c>
      <c r="C596" s="20" t="str">
        <f>IF($A596="","",INDEX(Project_Tracker!$C$2:$C$101,INT((ROW()-6)/17)+1))</f>
        <v/>
      </c>
      <c r="D596" s="6" t="str">
        <f>IF($A596="","",INDEX(Project_Tracker!$T$2:$T$101,INT((ROW()-6)/17)+1))</f>
        <v/>
      </c>
      <c r="E596" s="18">
        <f t="shared" si="45"/>
        <v>13</v>
      </c>
      <c r="F596" s="23" t="str">
        <f>IF($A596="","",INDEX('Logic &amp; Lists'!$I$4:$I$20,$E596))</f>
        <v/>
      </c>
      <c r="G596" s="18" t="str">
        <f>IF($A596="","",INDEX('Logic &amp; Lists'!$J$4:$J$20,$E596))</f>
        <v/>
      </c>
      <c r="H596" s="6" t="str">
        <f t="shared" si="46"/>
        <v/>
      </c>
      <c r="I596" s="18" t="str">
        <f t="shared" ca="1" si="47"/>
        <v/>
      </c>
      <c r="J596" s="5" t="str">
        <f t="shared" si="48"/>
        <v/>
      </c>
      <c r="K596" s="25"/>
      <c r="L596" s="5" t="str">
        <f t="shared" si="49"/>
        <v/>
      </c>
      <c r="M596" s="7"/>
      <c r="N596" s="7"/>
      <c r="O596" s="7"/>
      <c r="P596" s="20" t="str">
        <f>IF($A596="","",INDEX(Project_Tracker!$I$2:$I$101,INT((ROW()-6)/17)+1))</f>
        <v/>
      </c>
      <c r="Q596" s="20" t="str">
        <f>IF($A596="","",INDEX(Project_Tracker!$K$2:$K$101,INT((ROW()-6)/17)+1))</f>
        <v/>
      </c>
    </row>
    <row r="597" spans="1:17" x14ac:dyDescent="0.2">
      <c r="A597" s="20" t="str">
        <f>IF(INDEX(Project_Tracker!$AL$2:$AL$101,INT((ROW()-6)/17)+1)="","",INDEX(Project_Tracker!$AL$2:$AL$101,INT((ROW()-6)/17)+1))</f>
        <v/>
      </c>
      <c r="B597" s="21" t="str">
        <f>IF($A597="","",INDEX(Project_Tracker!$AM$2:$AM$101,INT((ROW()-6)/17)+1))</f>
        <v/>
      </c>
      <c r="C597" s="20" t="str">
        <f>IF($A597="","",INDEX(Project_Tracker!$C$2:$C$101,INT((ROW()-6)/17)+1))</f>
        <v/>
      </c>
      <c r="D597" s="6" t="str">
        <f>IF($A597="","",INDEX(Project_Tracker!$T$2:$T$101,INT((ROW()-6)/17)+1))</f>
        <v/>
      </c>
      <c r="E597" s="18">
        <f t="shared" si="45"/>
        <v>14</v>
      </c>
      <c r="F597" s="23" t="str">
        <f>IF($A597="","",INDEX('Logic &amp; Lists'!$I$4:$I$20,$E597))</f>
        <v/>
      </c>
      <c r="G597" s="18" t="str">
        <f>IF($A597="","",INDEX('Logic &amp; Lists'!$J$4:$J$20,$E597))</f>
        <v/>
      </c>
      <c r="H597" s="6" t="str">
        <f t="shared" si="46"/>
        <v/>
      </c>
      <c r="I597" s="18" t="str">
        <f t="shared" ca="1" si="47"/>
        <v/>
      </c>
      <c r="J597" s="5" t="str">
        <f t="shared" si="48"/>
        <v/>
      </c>
      <c r="K597" s="25"/>
      <c r="L597" s="5" t="str">
        <f t="shared" si="49"/>
        <v/>
      </c>
      <c r="M597" s="7"/>
      <c r="N597" s="7"/>
      <c r="O597" s="7"/>
      <c r="P597" s="20" t="str">
        <f>IF($A597="","",INDEX(Project_Tracker!$I$2:$I$101,INT((ROW()-6)/17)+1))</f>
        <v/>
      </c>
      <c r="Q597" s="20" t="str">
        <f>IF($A597="","",INDEX(Project_Tracker!$K$2:$K$101,INT((ROW()-6)/17)+1))</f>
        <v/>
      </c>
    </row>
    <row r="598" spans="1:17" x14ac:dyDescent="0.2">
      <c r="A598" s="20" t="str">
        <f>IF(INDEX(Project_Tracker!$AL$2:$AL$101,INT((ROW()-6)/17)+1)="","",INDEX(Project_Tracker!$AL$2:$AL$101,INT((ROW()-6)/17)+1))</f>
        <v/>
      </c>
      <c r="B598" s="21" t="str">
        <f>IF($A598="","",INDEX(Project_Tracker!$AM$2:$AM$101,INT((ROW()-6)/17)+1))</f>
        <v/>
      </c>
      <c r="C598" s="20" t="str">
        <f>IF($A598="","",INDEX(Project_Tracker!$C$2:$C$101,INT((ROW()-6)/17)+1))</f>
        <v/>
      </c>
      <c r="D598" s="6" t="str">
        <f>IF($A598="","",INDEX(Project_Tracker!$T$2:$T$101,INT((ROW()-6)/17)+1))</f>
        <v/>
      </c>
      <c r="E598" s="18">
        <f t="shared" si="45"/>
        <v>15</v>
      </c>
      <c r="F598" s="23" t="str">
        <f>IF($A598="","",INDEX('Logic &amp; Lists'!$I$4:$I$20,$E598))</f>
        <v/>
      </c>
      <c r="G598" s="18" t="str">
        <f>IF($A598="","",INDEX('Logic &amp; Lists'!$J$4:$J$20,$E598))</f>
        <v/>
      </c>
      <c r="H598" s="6" t="str">
        <f t="shared" si="46"/>
        <v/>
      </c>
      <c r="I598" s="18" t="str">
        <f t="shared" ca="1" si="47"/>
        <v/>
      </c>
      <c r="J598" s="5" t="str">
        <f t="shared" si="48"/>
        <v/>
      </c>
      <c r="K598" s="25"/>
      <c r="L598" s="5" t="str">
        <f t="shared" si="49"/>
        <v/>
      </c>
      <c r="M598" s="7"/>
      <c r="N598" s="7"/>
      <c r="O598" s="7"/>
      <c r="P598" s="20" t="str">
        <f>IF($A598="","",INDEX(Project_Tracker!$I$2:$I$101,INT((ROW()-6)/17)+1))</f>
        <v/>
      </c>
      <c r="Q598" s="20" t="str">
        <f>IF($A598="","",INDEX(Project_Tracker!$K$2:$K$101,INT((ROW()-6)/17)+1))</f>
        <v/>
      </c>
    </row>
    <row r="599" spans="1:17" x14ac:dyDescent="0.2">
      <c r="A599" s="20" t="str">
        <f>IF(INDEX(Project_Tracker!$AL$2:$AL$101,INT((ROW()-6)/17)+1)="","",INDEX(Project_Tracker!$AL$2:$AL$101,INT((ROW()-6)/17)+1))</f>
        <v/>
      </c>
      <c r="B599" s="21" t="str">
        <f>IF($A599="","",INDEX(Project_Tracker!$AM$2:$AM$101,INT((ROW()-6)/17)+1))</f>
        <v/>
      </c>
      <c r="C599" s="20" t="str">
        <f>IF($A599="","",INDEX(Project_Tracker!$C$2:$C$101,INT((ROW()-6)/17)+1))</f>
        <v/>
      </c>
      <c r="D599" s="6" t="str">
        <f>IF($A599="","",INDEX(Project_Tracker!$T$2:$T$101,INT((ROW()-6)/17)+1))</f>
        <v/>
      </c>
      <c r="E599" s="18">
        <f t="shared" si="45"/>
        <v>16</v>
      </c>
      <c r="F599" s="23" t="str">
        <f>IF($A599="","",INDEX('Logic &amp; Lists'!$I$4:$I$20,$E599))</f>
        <v/>
      </c>
      <c r="G599" s="18" t="str">
        <f>IF($A599="","",INDEX('Logic &amp; Lists'!$J$4:$J$20,$E599))</f>
        <v/>
      </c>
      <c r="H599" s="6" t="str">
        <f t="shared" si="46"/>
        <v/>
      </c>
      <c r="I599" s="18" t="str">
        <f t="shared" ca="1" si="47"/>
        <v/>
      </c>
      <c r="J599" s="5" t="str">
        <f t="shared" si="48"/>
        <v/>
      </c>
      <c r="K599" s="25"/>
      <c r="L599" s="5" t="str">
        <f t="shared" si="49"/>
        <v/>
      </c>
      <c r="M599" s="7"/>
      <c r="N599" s="7"/>
      <c r="O599" s="7"/>
      <c r="P599" s="20" t="str">
        <f>IF($A599="","",INDEX(Project_Tracker!$I$2:$I$101,INT((ROW()-6)/17)+1))</f>
        <v/>
      </c>
      <c r="Q599" s="20" t="str">
        <f>IF($A599="","",INDEX(Project_Tracker!$K$2:$K$101,INT((ROW()-6)/17)+1))</f>
        <v/>
      </c>
    </row>
    <row r="600" spans="1:17" x14ac:dyDescent="0.2">
      <c r="A600" s="20" t="str">
        <f>IF(INDEX(Project_Tracker!$AL$2:$AL$101,INT((ROW()-6)/17)+1)="","",INDEX(Project_Tracker!$AL$2:$AL$101,INT((ROW()-6)/17)+1))</f>
        <v/>
      </c>
      <c r="B600" s="21" t="str">
        <f>IF($A600="","",INDEX(Project_Tracker!$AM$2:$AM$101,INT((ROW()-6)/17)+1))</f>
        <v/>
      </c>
      <c r="C600" s="20" t="str">
        <f>IF($A600="","",INDEX(Project_Tracker!$C$2:$C$101,INT((ROW()-6)/17)+1))</f>
        <v/>
      </c>
      <c r="D600" s="6" t="str">
        <f>IF($A600="","",INDEX(Project_Tracker!$T$2:$T$101,INT((ROW()-6)/17)+1))</f>
        <v/>
      </c>
      <c r="E600" s="18">
        <f t="shared" si="45"/>
        <v>17</v>
      </c>
      <c r="F600" s="23" t="str">
        <f>IF($A600="","",INDEX('Logic &amp; Lists'!$I$4:$I$20,$E600))</f>
        <v/>
      </c>
      <c r="G600" s="18" t="str">
        <f>IF($A600="","",INDEX('Logic &amp; Lists'!$J$4:$J$20,$E600))</f>
        <v/>
      </c>
      <c r="H600" s="6" t="str">
        <f t="shared" si="46"/>
        <v/>
      </c>
      <c r="I600" s="18" t="str">
        <f t="shared" ca="1" si="47"/>
        <v/>
      </c>
      <c r="J600" s="5" t="str">
        <f t="shared" si="48"/>
        <v/>
      </c>
      <c r="K600" s="25"/>
      <c r="L600" s="5" t="str">
        <f t="shared" si="49"/>
        <v/>
      </c>
      <c r="M600" s="7"/>
      <c r="N600" s="7"/>
      <c r="O600" s="7"/>
      <c r="P600" s="20" t="str">
        <f>IF($A600="","",INDEX(Project_Tracker!$I$2:$I$101,INT((ROW()-6)/17)+1))</f>
        <v/>
      </c>
      <c r="Q600" s="20" t="str">
        <f>IF($A600="","",INDEX(Project_Tracker!$K$2:$K$101,INT((ROW()-6)/17)+1))</f>
        <v/>
      </c>
    </row>
    <row r="601" spans="1:17" x14ac:dyDescent="0.2">
      <c r="A601" s="20" t="str">
        <f>IF(INDEX(Project_Tracker!$AL$2:$AL$101,INT((ROW()-6)/17)+1)="","",INDEX(Project_Tracker!$AL$2:$AL$101,INT((ROW()-6)/17)+1))</f>
        <v/>
      </c>
      <c r="B601" s="21" t="str">
        <f>IF($A601="","",INDEX(Project_Tracker!$AM$2:$AM$101,INT((ROW()-6)/17)+1))</f>
        <v/>
      </c>
      <c r="C601" s="20" t="str">
        <f>IF($A601="","",INDEX(Project_Tracker!$C$2:$C$101,INT((ROW()-6)/17)+1))</f>
        <v/>
      </c>
      <c r="D601" s="6" t="str">
        <f>IF($A601="","",INDEX(Project_Tracker!$T$2:$T$101,INT((ROW()-6)/17)+1))</f>
        <v/>
      </c>
      <c r="E601" s="18">
        <f t="shared" si="45"/>
        <v>1</v>
      </c>
      <c r="F601" s="23" t="str">
        <f>IF($A601="","",INDEX('Logic &amp; Lists'!$I$4:$I$20,$E601))</f>
        <v/>
      </c>
      <c r="G601" s="18" t="str">
        <f>IF($A601="","",INDEX('Logic &amp; Lists'!$J$4:$J$20,$E601))</f>
        <v/>
      </c>
      <c r="H601" s="6" t="str">
        <f t="shared" si="46"/>
        <v/>
      </c>
      <c r="I601" s="18" t="str">
        <f t="shared" ca="1" si="47"/>
        <v/>
      </c>
      <c r="J601" s="5" t="str">
        <f t="shared" si="48"/>
        <v/>
      </c>
      <c r="K601" s="25"/>
      <c r="L601" s="5" t="str">
        <f t="shared" si="49"/>
        <v/>
      </c>
      <c r="M601" s="7"/>
      <c r="N601" s="7"/>
      <c r="O601" s="7"/>
      <c r="P601" s="20" t="str">
        <f>IF($A601="","",INDEX(Project_Tracker!$I$2:$I$101,INT((ROW()-6)/17)+1))</f>
        <v/>
      </c>
      <c r="Q601" s="20" t="str">
        <f>IF($A601="","",INDEX(Project_Tracker!$K$2:$K$101,INT((ROW()-6)/17)+1))</f>
        <v/>
      </c>
    </row>
    <row r="602" spans="1:17" x14ac:dyDescent="0.2">
      <c r="A602" s="20" t="str">
        <f>IF(INDEX(Project_Tracker!$AL$2:$AL$101,INT((ROW()-6)/17)+1)="","",INDEX(Project_Tracker!$AL$2:$AL$101,INT((ROW()-6)/17)+1))</f>
        <v/>
      </c>
      <c r="B602" s="21" t="str">
        <f>IF($A602="","",INDEX(Project_Tracker!$AM$2:$AM$101,INT((ROW()-6)/17)+1))</f>
        <v/>
      </c>
      <c r="C602" s="20" t="str">
        <f>IF($A602="","",INDEX(Project_Tracker!$C$2:$C$101,INT((ROW()-6)/17)+1))</f>
        <v/>
      </c>
      <c r="D602" s="6" t="str">
        <f>IF($A602="","",INDEX(Project_Tracker!$T$2:$T$101,INT((ROW()-6)/17)+1))</f>
        <v/>
      </c>
      <c r="E602" s="18">
        <f t="shared" si="45"/>
        <v>2</v>
      </c>
      <c r="F602" s="23" t="str">
        <f>IF($A602="","",INDEX('Logic &amp; Lists'!$I$4:$I$20,$E602))</f>
        <v/>
      </c>
      <c r="G602" s="18" t="str">
        <f>IF($A602="","",INDEX('Logic &amp; Lists'!$J$4:$J$20,$E602))</f>
        <v/>
      </c>
      <c r="H602" s="6" t="str">
        <f t="shared" si="46"/>
        <v/>
      </c>
      <c r="I602" s="18" t="str">
        <f t="shared" ca="1" si="47"/>
        <v/>
      </c>
      <c r="J602" s="5" t="str">
        <f t="shared" si="48"/>
        <v/>
      </c>
      <c r="K602" s="25"/>
      <c r="L602" s="5" t="str">
        <f t="shared" si="49"/>
        <v/>
      </c>
      <c r="M602" s="7"/>
      <c r="N602" s="7"/>
      <c r="O602" s="7"/>
      <c r="P602" s="20" t="str">
        <f>IF($A602="","",INDEX(Project_Tracker!$I$2:$I$101,INT((ROW()-6)/17)+1))</f>
        <v/>
      </c>
      <c r="Q602" s="20" t="str">
        <f>IF($A602="","",INDEX(Project_Tracker!$K$2:$K$101,INT((ROW()-6)/17)+1))</f>
        <v/>
      </c>
    </row>
    <row r="603" spans="1:17" x14ac:dyDescent="0.2">
      <c r="A603" s="20" t="str">
        <f>IF(INDEX(Project_Tracker!$AL$2:$AL$101,INT((ROW()-6)/17)+1)="","",INDEX(Project_Tracker!$AL$2:$AL$101,INT((ROW()-6)/17)+1))</f>
        <v/>
      </c>
      <c r="B603" s="21" t="str">
        <f>IF($A603="","",INDEX(Project_Tracker!$AM$2:$AM$101,INT((ROW()-6)/17)+1))</f>
        <v/>
      </c>
      <c r="C603" s="20" t="str">
        <f>IF($A603="","",INDEX(Project_Tracker!$C$2:$C$101,INT((ROW()-6)/17)+1))</f>
        <v/>
      </c>
      <c r="D603" s="6" t="str">
        <f>IF($A603="","",INDEX(Project_Tracker!$T$2:$T$101,INT((ROW()-6)/17)+1))</f>
        <v/>
      </c>
      <c r="E603" s="18">
        <f t="shared" si="45"/>
        <v>3</v>
      </c>
      <c r="F603" s="23" t="str">
        <f>IF($A603="","",INDEX('Logic &amp; Lists'!$I$4:$I$20,$E603))</f>
        <v/>
      </c>
      <c r="G603" s="18" t="str">
        <f>IF($A603="","",INDEX('Logic &amp; Lists'!$J$4:$J$20,$E603))</f>
        <v/>
      </c>
      <c r="H603" s="6" t="str">
        <f t="shared" si="46"/>
        <v/>
      </c>
      <c r="I603" s="18" t="str">
        <f t="shared" ca="1" si="47"/>
        <v/>
      </c>
      <c r="J603" s="5" t="str">
        <f t="shared" si="48"/>
        <v/>
      </c>
      <c r="K603" s="25"/>
      <c r="L603" s="5" t="str">
        <f t="shared" si="49"/>
        <v/>
      </c>
      <c r="M603" s="7"/>
      <c r="N603" s="7"/>
      <c r="O603" s="7"/>
      <c r="P603" s="20" t="str">
        <f>IF($A603="","",INDEX(Project_Tracker!$I$2:$I$101,INT((ROW()-6)/17)+1))</f>
        <v/>
      </c>
      <c r="Q603" s="20" t="str">
        <f>IF($A603="","",INDEX(Project_Tracker!$K$2:$K$101,INT((ROW()-6)/17)+1))</f>
        <v/>
      </c>
    </row>
    <row r="604" spans="1:17" x14ac:dyDescent="0.2">
      <c r="A604" s="20" t="str">
        <f>IF(INDEX(Project_Tracker!$AL$2:$AL$101,INT((ROW()-6)/17)+1)="","",INDEX(Project_Tracker!$AL$2:$AL$101,INT((ROW()-6)/17)+1))</f>
        <v/>
      </c>
      <c r="B604" s="21" t="str">
        <f>IF($A604="","",INDEX(Project_Tracker!$AM$2:$AM$101,INT((ROW()-6)/17)+1))</f>
        <v/>
      </c>
      <c r="C604" s="20" t="str">
        <f>IF($A604="","",INDEX(Project_Tracker!$C$2:$C$101,INT((ROW()-6)/17)+1))</f>
        <v/>
      </c>
      <c r="D604" s="6" t="str">
        <f>IF($A604="","",INDEX(Project_Tracker!$T$2:$T$101,INT((ROW()-6)/17)+1))</f>
        <v/>
      </c>
      <c r="E604" s="18">
        <f t="shared" si="45"/>
        <v>4</v>
      </c>
      <c r="F604" s="23" t="str">
        <f>IF($A604="","",INDEX('Logic &amp; Lists'!$I$4:$I$20,$E604))</f>
        <v/>
      </c>
      <c r="G604" s="18" t="str">
        <f>IF($A604="","",INDEX('Logic &amp; Lists'!$J$4:$J$20,$E604))</f>
        <v/>
      </c>
      <c r="H604" s="6" t="str">
        <f t="shared" si="46"/>
        <v/>
      </c>
      <c r="I604" s="18" t="str">
        <f t="shared" ca="1" si="47"/>
        <v/>
      </c>
      <c r="J604" s="5" t="str">
        <f t="shared" si="48"/>
        <v/>
      </c>
      <c r="K604" s="25"/>
      <c r="L604" s="5" t="str">
        <f t="shared" si="49"/>
        <v/>
      </c>
      <c r="M604" s="7"/>
      <c r="N604" s="7"/>
      <c r="O604" s="7"/>
      <c r="P604" s="20" t="str">
        <f>IF($A604="","",INDEX(Project_Tracker!$I$2:$I$101,INT((ROW()-6)/17)+1))</f>
        <v/>
      </c>
      <c r="Q604" s="20" t="str">
        <f>IF($A604="","",INDEX(Project_Tracker!$K$2:$K$101,INT((ROW()-6)/17)+1))</f>
        <v/>
      </c>
    </row>
    <row r="605" spans="1:17" x14ac:dyDescent="0.2">
      <c r="A605" s="20" t="str">
        <f>IF(INDEX(Project_Tracker!$AL$2:$AL$101,INT((ROW()-6)/17)+1)="","",INDEX(Project_Tracker!$AL$2:$AL$101,INT((ROW()-6)/17)+1))</f>
        <v/>
      </c>
      <c r="B605" s="21" t="str">
        <f>IF($A605="","",INDEX(Project_Tracker!$AM$2:$AM$101,INT((ROW()-6)/17)+1))</f>
        <v/>
      </c>
      <c r="C605" s="20" t="str">
        <f>IF($A605="","",INDEX(Project_Tracker!$C$2:$C$101,INT((ROW()-6)/17)+1))</f>
        <v/>
      </c>
      <c r="D605" s="6" t="str">
        <f>IF($A605="","",INDEX(Project_Tracker!$T$2:$T$101,INT((ROW()-6)/17)+1))</f>
        <v/>
      </c>
      <c r="E605" s="18">
        <f t="shared" si="45"/>
        <v>5</v>
      </c>
      <c r="F605" s="23" t="str">
        <f>IF($A605="","",INDEX('Logic &amp; Lists'!$I$4:$I$20,$E605))</f>
        <v/>
      </c>
      <c r="G605" s="18" t="str">
        <f>IF($A605="","",INDEX('Logic &amp; Lists'!$J$4:$J$20,$E605))</f>
        <v/>
      </c>
      <c r="H605" s="6" t="str">
        <f t="shared" si="46"/>
        <v/>
      </c>
      <c r="I605" s="18" t="str">
        <f t="shared" ca="1" si="47"/>
        <v/>
      </c>
      <c r="J605" s="5" t="str">
        <f t="shared" si="48"/>
        <v/>
      </c>
      <c r="K605" s="25"/>
      <c r="L605" s="5" t="str">
        <f t="shared" si="49"/>
        <v/>
      </c>
      <c r="M605" s="7"/>
      <c r="N605" s="7"/>
      <c r="O605" s="7"/>
      <c r="P605" s="20" t="str">
        <f>IF($A605="","",INDEX(Project_Tracker!$I$2:$I$101,INT((ROW()-6)/17)+1))</f>
        <v/>
      </c>
      <c r="Q605" s="20" t="str">
        <f>IF($A605="","",INDEX(Project_Tracker!$K$2:$K$101,INT((ROW()-6)/17)+1))</f>
        <v/>
      </c>
    </row>
    <row r="606" spans="1:17" x14ac:dyDescent="0.2">
      <c r="A606" s="20" t="str">
        <f>IF(INDEX(Project_Tracker!$AL$2:$AL$101,INT((ROW()-6)/17)+1)="","",INDEX(Project_Tracker!$AL$2:$AL$101,INT((ROW()-6)/17)+1))</f>
        <v/>
      </c>
      <c r="B606" s="21" t="str">
        <f>IF($A606="","",INDEX(Project_Tracker!$AM$2:$AM$101,INT((ROW()-6)/17)+1))</f>
        <v/>
      </c>
      <c r="C606" s="20" t="str">
        <f>IF($A606="","",INDEX(Project_Tracker!$C$2:$C$101,INT((ROW()-6)/17)+1))</f>
        <v/>
      </c>
      <c r="D606" s="6" t="str">
        <f>IF($A606="","",INDEX(Project_Tracker!$T$2:$T$101,INT((ROW()-6)/17)+1))</f>
        <v/>
      </c>
      <c r="E606" s="18">
        <f t="shared" si="45"/>
        <v>6</v>
      </c>
      <c r="F606" s="23" t="str">
        <f>IF($A606="","",INDEX('Logic &amp; Lists'!$I$4:$I$20,$E606))</f>
        <v/>
      </c>
      <c r="G606" s="18" t="str">
        <f>IF($A606="","",INDEX('Logic &amp; Lists'!$J$4:$J$20,$E606))</f>
        <v/>
      </c>
      <c r="H606" s="6" t="str">
        <f t="shared" si="46"/>
        <v/>
      </c>
      <c r="I606" s="18" t="str">
        <f t="shared" ca="1" si="47"/>
        <v/>
      </c>
      <c r="J606" s="5" t="str">
        <f t="shared" si="48"/>
        <v/>
      </c>
      <c r="K606" s="25"/>
      <c r="L606" s="5" t="str">
        <f t="shared" si="49"/>
        <v/>
      </c>
      <c r="M606" s="7"/>
      <c r="N606" s="7"/>
      <c r="O606" s="7"/>
      <c r="P606" s="20" t="str">
        <f>IF($A606="","",INDEX(Project_Tracker!$I$2:$I$101,INT((ROW()-6)/17)+1))</f>
        <v/>
      </c>
      <c r="Q606" s="20" t="str">
        <f>IF($A606="","",INDEX(Project_Tracker!$K$2:$K$101,INT((ROW()-6)/17)+1))</f>
        <v/>
      </c>
    </row>
    <row r="607" spans="1:17" x14ac:dyDescent="0.2">
      <c r="A607" s="20" t="str">
        <f>IF(INDEX(Project_Tracker!$AL$2:$AL$101,INT((ROW()-6)/17)+1)="","",INDEX(Project_Tracker!$AL$2:$AL$101,INT((ROW()-6)/17)+1))</f>
        <v/>
      </c>
      <c r="B607" s="21" t="str">
        <f>IF($A607="","",INDEX(Project_Tracker!$AM$2:$AM$101,INT((ROW()-6)/17)+1))</f>
        <v/>
      </c>
      <c r="C607" s="20" t="str">
        <f>IF($A607="","",INDEX(Project_Tracker!$C$2:$C$101,INT((ROW()-6)/17)+1))</f>
        <v/>
      </c>
      <c r="D607" s="6" t="str">
        <f>IF($A607="","",INDEX(Project_Tracker!$T$2:$T$101,INT((ROW()-6)/17)+1))</f>
        <v/>
      </c>
      <c r="E607" s="18">
        <f t="shared" si="45"/>
        <v>7</v>
      </c>
      <c r="F607" s="23" t="str">
        <f>IF($A607="","",INDEX('Logic &amp; Lists'!$I$4:$I$20,$E607))</f>
        <v/>
      </c>
      <c r="G607" s="18" t="str">
        <f>IF($A607="","",INDEX('Logic &amp; Lists'!$J$4:$J$20,$E607))</f>
        <v/>
      </c>
      <c r="H607" s="6" t="str">
        <f t="shared" si="46"/>
        <v/>
      </c>
      <c r="I607" s="18" t="str">
        <f t="shared" ca="1" si="47"/>
        <v/>
      </c>
      <c r="J607" s="5" t="str">
        <f t="shared" si="48"/>
        <v/>
      </c>
      <c r="K607" s="25"/>
      <c r="L607" s="5" t="str">
        <f t="shared" si="49"/>
        <v/>
      </c>
      <c r="M607" s="7"/>
      <c r="N607" s="7"/>
      <c r="O607" s="7"/>
      <c r="P607" s="20" t="str">
        <f>IF($A607="","",INDEX(Project_Tracker!$I$2:$I$101,INT((ROW()-6)/17)+1))</f>
        <v/>
      </c>
      <c r="Q607" s="20" t="str">
        <f>IF($A607="","",INDEX(Project_Tracker!$K$2:$K$101,INT((ROW()-6)/17)+1))</f>
        <v/>
      </c>
    </row>
    <row r="608" spans="1:17" x14ac:dyDescent="0.2">
      <c r="A608" s="20" t="str">
        <f>IF(INDEX(Project_Tracker!$AL$2:$AL$101,INT((ROW()-6)/17)+1)="","",INDEX(Project_Tracker!$AL$2:$AL$101,INT((ROW()-6)/17)+1))</f>
        <v/>
      </c>
      <c r="B608" s="21" t="str">
        <f>IF($A608="","",INDEX(Project_Tracker!$AM$2:$AM$101,INT((ROW()-6)/17)+1))</f>
        <v/>
      </c>
      <c r="C608" s="20" t="str">
        <f>IF($A608="","",INDEX(Project_Tracker!$C$2:$C$101,INT((ROW()-6)/17)+1))</f>
        <v/>
      </c>
      <c r="D608" s="6" t="str">
        <f>IF($A608="","",INDEX(Project_Tracker!$T$2:$T$101,INT((ROW()-6)/17)+1))</f>
        <v/>
      </c>
      <c r="E608" s="18">
        <f t="shared" si="45"/>
        <v>8</v>
      </c>
      <c r="F608" s="23" t="str">
        <f>IF($A608="","",INDEX('Logic &amp; Lists'!$I$4:$I$20,$E608))</f>
        <v/>
      </c>
      <c r="G608" s="18" t="str">
        <f>IF($A608="","",INDEX('Logic &amp; Lists'!$J$4:$J$20,$E608))</f>
        <v/>
      </c>
      <c r="H608" s="6" t="str">
        <f t="shared" si="46"/>
        <v/>
      </c>
      <c r="I608" s="18" t="str">
        <f t="shared" ca="1" si="47"/>
        <v/>
      </c>
      <c r="J608" s="5" t="str">
        <f t="shared" si="48"/>
        <v/>
      </c>
      <c r="K608" s="25"/>
      <c r="L608" s="5" t="str">
        <f t="shared" si="49"/>
        <v/>
      </c>
      <c r="M608" s="7"/>
      <c r="N608" s="7"/>
      <c r="O608" s="7"/>
      <c r="P608" s="20" t="str">
        <f>IF($A608="","",INDEX(Project_Tracker!$I$2:$I$101,INT((ROW()-6)/17)+1))</f>
        <v/>
      </c>
      <c r="Q608" s="20" t="str">
        <f>IF($A608="","",INDEX(Project_Tracker!$K$2:$K$101,INT((ROW()-6)/17)+1))</f>
        <v/>
      </c>
    </row>
    <row r="609" spans="1:17" x14ac:dyDescent="0.2">
      <c r="A609" s="20" t="str">
        <f>IF(INDEX(Project_Tracker!$AL$2:$AL$101,INT((ROW()-6)/17)+1)="","",INDEX(Project_Tracker!$AL$2:$AL$101,INT((ROW()-6)/17)+1))</f>
        <v/>
      </c>
      <c r="B609" s="21" t="str">
        <f>IF($A609="","",INDEX(Project_Tracker!$AM$2:$AM$101,INT((ROW()-6)/17)+1))</f>
        <v/>
      </c>
      <c r="C609" s="20" t="str">
        <f>IF($A609="","",INDEX(Project_Tracker!$C$2:$C$101,INT((ROW()-6)/17)+1))</f>
        <v/>
      </c>
      <c r="D609" s="6" t="str">
        <f>IF($A609="","",INDEX(Project_Tracker!$T$2:$T$101,INT((ROW()-6)/17)+1))</f>
        <v/>
      </c>
      <c r="E609" s="18">
        <f t="shared" si="45"/>
        <v>9</v>
      </c>
      <c r="F609" s="23" t="str">
        <f>IF($A609="","",INDEX('Logic &amp; Lists'!$I$4:$I$20,$E609))</f>
        <v/>
      </c>
      <c r="G609" s="18" t="str">
        <f>IF($A609="","",INDEX('Logic &amp; Lists'!$J$4:$J$20,$E609))</f>
        <v/>
      </c>
      <c r="H609" s="6" t="str">
        <f t="shared" si="46"/>
        <v/>
      </c>
      <c r="I609" s="18" t="str">
        <f t="shared" ca="1" si="47"/>
        <v/>
      </c>
      <c r="J609" s="5" t="str">
        <f t="shared" si="48"/>
        <v/>
      </c>
      <c r="K609" s="25"/>
      <c r="L609" s="5" t="str">
        <f t="shared" si="49"/>
        <v/>
      </c>
      <c r="M609" s="7"/>
      <c r="N609" s="7"/>
      <c r="O609" s="7"/>
      <c r="P609" s="20" t="str">
        <f>IF($A609="","",INDEX(Project_Tracker!$I$2:$I$101,INT((ROW()-6)/17)+1))</f>
        <v/>
      </c>
      <c r="Q609" s="20" t="str">
        <f>IF($A609="","",INDEX(Project_Tracker!$K$2:$K$101,INT((ROW()-6)/17)+1))</f>
        <v/>
      </c>
    </row>
    <row r="610" spans="1:17" x14ac:dyDescent="0.2">
      <c r="A610" s="20" t="str">
        <f>IF(INDEX(Project_Tracker!$AL$2:$AL$101,INT((ROW()-6)/17)+1)="","",INDEX(Project_Tracker!$AL$2:$AL$101,INT((ROW()-6)/17)+1))</f>
        <v/>
      </c>
      <c r="B610" s="21" t="str">
        <f>IF($A610="","",INDEX(Project_Tracker!$AM$2:$AM$101,INT((ROW()-6)/17)+1))</f>
        <v/>
      </c>
      <c r="C610" s="20" t="str">
        <f>IF($A610="","",INDEX(Project_Tracker!$C$2:$C$101,INT((ROW()-6)/17)+1))</f>
        <v/>
      </c>
      <c r="D610" s="6" t="str">
        <f>IF($A610="","",INDEX(Project_Tracker!$T$2:$T$101,INT((ROW()-6)/17)+1))</f>
        <v/>
      </c>
      <c r="E610" s="18">
        <f t="shared" si="45"/>
        <v>10</v>
      </c>
      <c r="F610" s="23" t="str">
        <f>IF($A610="","",INDEX('Logic &amp; Lists'!$I$4:$I$20,$E610))</f>
        <v/>
      </c>
      <c r="G610" s="18" t="str">
        <f>IF($A610="","",INDEX('Logic &amp; Lists'!$J$4:$J$20,$E610))</f>
        <v/>
      </c>
      <c r="H610" s="6" t="str">
        <f t="shared" si="46"/>
        <v/>
      </c>
      <c r="I610" s="18" t="str">
        <f t="shared" ca="1" si="47"/>
        <v/>
      </c>
      <c r="J610" s="5" t="str">
        <f t="shared" si="48"/>
        <v/>
      </c>
      <c r="K610" s="25"/>
      <c r="L610" s="5" t="str">
        <f t="shared" si="49"/>
        <v/>
      </c>
      <c r="M610" s="7"/>
      <c r="N610" s="7"/>
      <c r="O610" s="7"/>
      <c r="P610" s="20" t="str">
        <f>IF($A610="","",INDEX(Project_Tracker!$I$2:$I$101,INT((ROW()-6)/17)+1))</f>
        <v/>
      </c>
      <c r="Q610" s="20" t="str">
        <f>IF($A610="","",INDEX(Project_Tracker!$K$2:$K$101,INT((ROW()-6)/17)+1))</f>
        <v/>
      </c>
    </row>
    <row r="611" spans="1:17" x14ac:dyDescent="0.2">
      <c r="A611" s="20" t="str">
        <f>IF(INDEX(Project_Tracker!$AL$2:$AL$101,INT((ROW()-6)/17)+1)="","",INDEX(Project_Tracker!$AL$2:$AL$101,INT((ROW()-6)/17)+1))</f>
        <v/>
      </c>
      <c r="B611" s="21" t="str">
        <f>IF($A611="","",INDEX(Project_Tracker!$AM$2:$AM$101,INT((ROW()-6)/17)+1))</f>
        <v/>
      </c>
      <c r="C611" s="20" t="str">
        <f>IF($A611="","",INDEX(Project_Tracker!$C$2:$C$101,INT((ROW()-6)/17)+1))</f>
        <v/>
      </c>
      <c r="D611" s="6" t="str">
        <f>IF($A611="","",INDEX(Project_Tracker!$T$2:$T$101,INT((ROW()-6)/17)+1))</f>
        <v/>
      </c>
      <c r="E611" s="18">
        <f t="shared" si="45"/>
        <v>11</v>
      </c>
      <c r="F611" s="23" t="str">
        <f>IF($A611="","",INDEX('Logic &amp; Lists'!$I$4:$I$20,$E611))</f>
        <v/>
      </c>
      <c r="G611" s="18" t="str">
        <f>IF($A611="","",INDEX('Logic &amp; Lists'!$J$4:$J$20,$E611))</f>
        <v/>
      </c>
      <c r="H611" s="6" t="str">
        <f t="shared" si="46"/>
        <v/>
      </c>
      <c r="I611" s="18" t="str">
        <f t="shared" ca="1" si="47"/>
        <v/>
      </c>
      <c r="J611" s="5" t="str">
        <f t="shared" si="48"/>
        <v/>
      </c>
      <c r="K611" s="25"/>
      <c r="L611" s="5" t="str">
        <f t="shared" si="49"/>
        <v/>
      </c>
      <c r="M611" s="7"/>
      <c r="N611" s="7"/>
      <c r="O611" s="7"/>
      <c r="P611" s="20" t="str">
        <f>IF($A611="","",INDEX(Project_Tracker!$I$2:$I$101,INT((ROW()-6)/17)+1))</f>
        <v/>
      </c>
      <c r="Q611" s="20" t="str">
        <f>IF($A611="","",INDEX(Project_Tracker!$K$2:$K$101,INT((ROW()-6)/17)+1))</f>
        <v/>
      </c>
    </row>
    <row r="612" spans="1:17" x14ac:dyDescent="0.2">
      <c r="A612" s="20" t="str">
        <f>IF(INDEX(Project_Tracker!$AL$2:$AL$101,INT((ROW()-6)/17)+1)="","",INDEX(Project_Tracker!$AL$2:$AL$101,INT((ROW()-6)/17)+1))</f>
        <v/>
      </c>
      <c r="B612" s="21" t="str">
        <f>IF($A612="","",INDEX(Project_Tracker!$AM$2:$AM$101,INT((ROW()-6)/17)+1))</f>
        <v/>
      </c>
      <c r="C612" s="20" t="str">
        <f>IF($A612="","",INDEX(Project_Tracker!$C$2:$C$101,INT((ROW()-6)/17)+1))</f>
        <v/>
      </c>
      <c r="D612" s="6" t="str">
        <f>IF($A612="","",INDEX(Project_Tracker!$T$2:$T$101,INT((ROW()-6)/17)+1))</f>
        <v/>
      </c>
      <c r="E612" s="18">
        <f t="shared" si="45"/>
        <v>12</v>
      </c>
      <c r="F612" s="23" t="str">
        <f>IF($A612="","",INDEX('Logic &amp; Lists'!$I$4:$I$20,$E612))</f>
        <v/>
      </c>
      <c r="G612" s="18" t="str">
        <f>IF($A612="","",INDEX('Logic &amp; Lists'!$J$4:$J$20,$E612))</f>
        <v/>
      </c>
      <c r="H612" s="6" t="str">
        <f t="shared" si="46"/>
        <v/>
      </c>
      <c r="I612" s="18" t="str">
        <f t="shared" ca="1" si="47"/>
        <v/>
      </c>
      <c r="J612" s="5" t="str">
        <f t="shared" si="48"/>
        <v/>
      </c>
      <c r="K612" s="25"/>
      <c r="L612" s="5" t="str">
        <f t="shared" si="49"/>
        <v/>
      </c>
      <c r="M612" s="7"/>
      <c r="N612" s="7"/>
      <c r="O612" s="7"/>
      <c r="P612" s="20" t="str">
        <f>IF($A612="","",INDEX(Project_Tracker!$I$2:$I$101,INT((ROW()-6)/17)+1))</f>
        <v/>
      </c>
      <c r="Q612" s="20" t="str">
        <f>IF($A612="","",INDEX(Project_Tracker!$K$2:$K$101,INT((ROW()-6)/17)+1))</f>
        <v/>
      </c>
    </row>
    <row r="613" spans="1:17" x14ac:dyDescent="0.2">
      <c r="A613" s="20" t="str">
        <f>IF(INDEX(Project_Tracker!$AL$2:$AL$101,INT((ROW()-6)/17)+1)="","",INDEX(Project_Tracker!$AL$2:$AL$101,INT((ROW()-6)/17)+1))</f>
        <v/>
      </c>
      <c r="B613" s="21" t="str">
        <f>IF($A613="","",INDEX(Project_Tracker!$AM$2:$AM$101,INT((ROW()-6)/17)+1))</f>
        <v/>
      </c>
      <c r="C613" s="20" t="str">
        <f>IF($A613="","",INDEX(Project_Tracker!$C$2:$C$101,INT((ROW()-6)/17)+1))</f>
        <v/>
      </c>
      <c r="D613" s="6" t="str">
        <f>IF($A613="","",INDEX(Project_Tracker!$T$2:$T$101,INT((ROW()-6)/17)+1))</f>
        <v/>
      </c>
      <c r="E613" s="18">
        <f t="shared" si="45"/>
        <v>13</v>
      </c>
      <c r="F613" s="23" t="str">
        <f>IF($A613="","",INDEX('Logic &amp; Lists'!$I$4:$I$20,$E613))</f>
        <v/>
      </c>
      <c r="G613" s="18" t="str">
        <f>IF($A613="","",INDEX('Logic &amp; Lists'!$J$4:$J$20,$E613))</f>
        <v/>
      </c>
      <c r="H613" s="6" t="str">
        <f t="shared" si="46"/>
        <v/>
      </c>
      <c r="I613" s="18" t="str">
        <f t="shared" ca="1" si="47"/>
        <v/>
      </c>
      <c r="J613" s="5" t="str">
        <f t="shared" si="48"/>
        <v/>
      </c>
      <c r="K613" s="25"/>
      <c r="L613" s="5" t="str">
        <f t="shared" si="49"/>
        <v/>
      </c>
      <c r="M613" s="7"/>
      <c r="N613" s="7"/>
      <c r="O613" s="7"/>
      <c r="P613" s="20" t="str">
        <f>IF($A613="","",INDEX(Project_Tracker!$I$2:$I$101,INT((ROW()-6)/17)+1))</f>
        <v/>
      </c>
      <c r="Q613" s="20" t="str">
        <f>IF($A613="","",INDEX(Project_Tracker!$K$2:$K$101,INT((ROW()-6)/17)+1))</f>
        <v/>
      </c>
    </row>
    <row r="614" spans="1:17" x14ac:dyDescent="0.2">
      <c r="A614" s="20" t="str">
        <f>IF(INDEX(Project_Tracker!$AL$2:$AL$101,INT((ROW()-6)/17)+1)="","",INDEX(Project_Tracker!$AL$2:$AL$101,INT((ROW()-6)/17)+1))</f>
        <v/>
      </c>
      <c r="B614" s="21" t="str">
        <f>IF($A614="","",INDEX(Project_Tracker!$AM$2:$AM$101,INT((ROW()-6)/17)+1))</f>
        <v/>
      </c>
      <c r="C614" s="20" t="str">
        <f>IF($A614="","",INDEX(Project_Tracker!$C$2:$C$101,INT((ROW()-6)/17)+1))</f>
        <v/>
      </c>
      <c r="D614" s="6" t="str">
        <f>IF($A614="","",INDEX(Project_Tracker!$T$2:$T$101,INT((ROW()-6)/17)+1))</f>
        <v/>
      </c>
      <c r="E614" s="18">
        <f t="shared" si="45"/>
        <v>14</v>
      </c>
      <c r="F614" s="23" t="str">
        <f>IF($A614="","",INDEX('Logic &amp; Lists'!$I$4:$I$20,$E614))</f>
        <v/>
      </c>
      <c r="G614" s="18" t="str">
        <f>IF($A614="","",INDEX('Logic &amp; Lists'!$J$4:$J$20,$E614))</f>
        <v/>
      </c>
      <c r="H614" s="6" t="str">
        <f t="shared" si="46"/>
        <v/>
      </c>
      <c r="I614" s="18" t="str">
        <f t="shared" ca="1" si="47"/>
        <v/>
      </c>
      <c r="J614" s="5" t="str">
        <f t="shared" si="48"/>
        <v/>
      </c>
      <c r="K614" s="25"/>
      <c r="L614" s="5" t="str">
        <f t="shared" si="49"/>
        <v/>
      </c>
      <c r="M614" s="7"/>
      <c r="N614" s="7"/>
      <c r="O614" s="7"/>
      <c r="P614" s="20" t="str">
        <f>IF($A614="","",INDEX(Project_Tracker!$I$2:$I$101,INT((ROW()-6)/17)+1))</f>
        <v/>
      </c>
      <c r="Q614" s="20" t="str">
        <f>IF($A614="","",INDEX(Project_Tracker!$K$2:$K$101,INT((ROW()-6)/17)+1))</f>
        <v/>
      </c>
    </row>
    <row r="615" spans="1:17" x14ac:dyDescent="0.2">
      <c r="A615" s="20" t="str">
        <f>IF(INDEX(Project_Tracker!$AL$2:$AL$101,INT((ROW()-6)/17)+1)="","",INDEX(Project_Tracker!$AL$2:$AL$101,INT((ROW()-6)/17)+1))</f>
        <v/>
      </c>
      <c r="B615" s="21" t="str">
        <f>IF($A615="","",INDEX(Project_Tracker!$AM$2:$AM$101,INT((ROW()-6)/17)+1))</f>
        <v/>
      </c>
      <c r="C615" s="20" t="str">
        <f>IF($A615="","",INDEX(Project_Tracker!$C$2:$C$101,INT((ROW()-6)/17)+1))</f>
        <v/>
      </c>
      <c r="D615" s="6" t="str">
        <f>IF($A615="","",INDEX(Project_Tracker!$T$2:$T$101,INT((ROW()-6)/17)+1))</f>
        <v/>
      </c>
      <c r="E615" s="18">
        <f t="shared" si="45"/>
        <v>15</v>
      </c>
      <c r="F615" s="23" t="str">
        <f>IF($A615="","",INDEX('Logic &amp; Lists'!$I$4:$I$20,$E615))</f>
        <v/>
      </c>
      <c r="G615" s="18" t="str">
        <f>IF($A615="","",INDEX('Logic &amp; Lists'!$J$4:$J$20,$E615))</f>
        <v/>
      </c>
      <c r="H615" s="6" t="str">
        <f t="shared" si="46"/>
        <v/>
      </c>
      <c r="I615" s="18" t="str">
        <f t="shared" ca="1" si="47"/>
        <v/>
      </c>
      <c r="J615" s="5" t="str">
        <f t="shared" si="48"/>
        <v/>
      </c>
      <c r="K615" s="25"/>
      <c r="L615" s="5" t="str">
        <f t="shared" si="49"/>
        <v/>
      </c>
      <c r="M615" s="7"/>
      <c r="N615" s="7"/>
      <c r="O615" s="7"/>
      <c r="P615" s="20" t="str">
        <f>IF($A615="","",INDEX(Project_Tracker!$I$2:$I$101,INT((ROW()-6)/17)+1))</f>
        <v/>
      </c>
      <c r="Q615" s="20" t="str">
        <f>IF($A615="","",INDEX(Project_Tracker!$K$2:$K$101,INT((ROW()-6)/17)+1))</f>
        <v/>
      </c>
    </row>
    <row r="616" spans="1:17" x14ac:dyDescent="0.2">
      <c r="A616" s="20" t="str">
        <f>IF(INDEX(Project_Tracker!$AL$2:$AL$101,INT((ROW()-6)/17)+1)="","",INDEX(Project_Tracker!$AL$2:$AL$101,INT((ROW()-6)/17)+1))</f>
        <v/>
      </c>
      <c r="B616" s="21" t="str">
        <f>IF($A616="","",INDEX(Project_Tracker!$AM$2:$AM$101,INT((ROW()-6)/17)+1))</f>
        <v/>
      </c>
      <c r="C616" s="20" t="str">
        <f>IF($A616="","",INDEX(Project_Tracker!$C$2:$C$101,INT((ROW()-6)/17)+1))</f>
        <v/>
      </c>
      <c r="D616" s="6" t="str">
        <f>IF($A616="","",INDEX(Project_Tracker!$T$2:$T$101,INT((ROW()-6)/17)+1))</f>
        <v/>
      </c>
      <c r="E616" s="18">
        <f t="shared" si="45"/>
        <v>16</v>
      </c>
      <c r="F616" s="23" t="str">
        <f>IF($A616="","",INDEX('Logic &amp; Lists'!$I$4:$I$20,$E616))</f>
        <v/>
      </c>
      <c r="G616" s="18" t="str">
        <f>IF($A616="","",INDEX('Logic &amp; Lists'!$J$4:$J$20,$E616))</f>
        <v/>
      </c>
      <c r="H616" s="6" t="str">
        <f t="shared" si="46"/>
        <v/>
      </c>
      <c r="I616" s="18" t="str">
        <f t="shared" ca="1" si="47"/>
        <v/>
      </c>
      <c r="J616" s="5" t="str">
        <f t="shared" si="48"/>
        <v/>
      </c>
      <c r="K616" s="25"/>
      <c r="L616" s="5" t="str">
        <f t="shared" si="49"/>
        <v/>
      </c>
      <c r="M616" s="7"/>
      <c r="N616" s="7"/>
      <c r="O616" s="7"/>
      <c r="P616" s="20" t="str">
        <f>IF($A616="","",INDEX(Project_Tracker!$I$2:$I$101,INT((ROW()-6)/17)+1))</f>
        <v/>
      </c>
      <c r="Q616" s="20" t="str">
        <f>IF($A616="","",INDEX(Project_Tracker!$K$2:$K$101,INT((ROW()-6)/17)+1))</f>
        <v/>
      </c>
    </row>
    <row r="617" spans="1:17" x14ac:dyDescent="0.2">
      <c r="A617" s="20" t="str">
        <f>IF(INDEX(Project_Tracker!$AL$2:$AL$101,INT((ROW()-6)/17)+1)="","",INDEX(Project_Tracker!$AL$2:$AL$101,INT((ROW()-6)/17)+1))</f>
        <v/>
      </c>
      <c r="B617" s="21" t="str">
        <f>IF($A617="","",INDEX(Project_Tracker!$AM$2:$AM$101,INT((ROW()-6)/17)+1))</f>
        <v/>
      </c>
      <c r="C617" s="20" t="str">
        <f>IF($A617="","",INDEX(Project_Tracker!$C$2:$C$101,INT((ROW()-6)/17)+1))</f>
        <v/>
      </c>
      <c r="D617" s="6" t="str">
        <f>IF($A617="","",INDEX(Project_Tracker!$T$2:$T$101,INT((ROW()-6)/17)+1))</f>
        <v/>
      </c>
      <c r="E617" s="18">
        <f t="shared" si="45"/>
        <v>17</v>
      </c>
      <c r="F617" s="23" t="str">
        <f>IF($A617="","",INDEX('Logic &amp; Lists'!$I$4:$I$20,$E617))</f>
        <v/>
      </c>
      <c r="G617" s="18" t="str">
        <f>IF($A617="","",INDEX('Logic &amp; Lists'!$J$4:$J$20,$E617))</f>
        <v/>
      </c>
      <c r="H617" s="6" t="str">
        <f t="shared" si="46"/>
        <v/>
      </c>
      <c r="I617" s="18" t="str">
        <f t="shared" ca="1" si="47"/>
        <v/>
      </c>
      <c r="J617" s="5" t="str">
        <f t="shared" si="48"/>
        <v/>
      </c>
      <c r="K617" s="25"/>
      <c r="L617" s="5" t="str">
        <f t="shared" si="49"/>
        <v/>
      </c>
      <c r="M617" s="7"/>
      <c r="N617" s="7"/>
      <c r="O617" s="7"/>
      <c r="P617" s="20" t="str">
        <f>IF($A617="","",INDEX(Project_Tracker!$I$2:$I$101,INT((ROW()-6)/17)+1))</f>
        <v/>
      </c>
      <c r="Q617" s="20" t="str">
        <f>IF($A617="","",INDEX(Project_Tracker!$K$2:$K$101,INT((ROW()-6)/17)+1))</f>
        <v/>
      </c>
    </row>
    <row r="618" spans="1:17" x14ac:dyDescent="0.2">
      <c r="A618" s="20" t="str">
        <f>IF(INDEX(Project_Tracker!$AL$2:$AL$101,INT((ROW()-6)/17)+1)="","",INDEX(Project_Tracker!$AL$2:$AL$101,INT((ROW()-6)/17)+1))</f>
        <v/>
      </c>
      <c r="B618" s="21" t="str">
        <f>IF($A618="","",INDEX(Project_Tracker!$AM$2:$AM$101,INT((ROW()-6)/17)+1))</f>
        <v/>
      </c>
      <c r="C618" s="20" t="str">
        <f>IF($A618="","",INDEX(Project_Tracker!$C$2:$C$101,INT((ROW()-6)/17)+1))</f>
        <v/>
      </c>
      <c r="D618" s="6" t="str">
        <f>IF($A618="","",INDEX(Project_Tracker!$T$2:$T$101,INT((ROW()-6)/17)+1))</f>
        <v/>
      </c>
      <c r="E618" s="18">
        <f t="shared" si="45"/>
        <v>1</v>
      </c>
      <c r="F618" s="23" t="str">
        <f>IF($A618="","",INDEX('Logic &amp; Lists'!$I$4:$I$20,$E618))</f>
        <v/>
      </c>
      <c r="G618" s="18" t="str">
        <f>IF($A618="","",INDEX('Logic &amp; Lists'!$J$4:$J$20,$E618))</f>
        <v/>
      </c>
      <c r="H618" s="6" t="str">
        <f t="shared" si="46"/>
        <v/>
      </c>
      <c r="I618" s="18" t="str">
        <f t="shared" ca="1" si="47"/>
        <v/>
      </c>
      <c r="J618" s="5" t="str">
        <f t="shared" si="48"/>
        <v/>
      </c>
      <c r="K618" s="25"/>
      <c r="L618" s="5" t="str">
        <f t="shared" si="49"/>
        <v/>
      </c>
      <c r="M618" s="7"/>
      <c r="N618" s="7"/>
      <c r="O618" s="7"/>
      <c r="P618" s="20" t="str">
        <f>IF($A618="","",INDEX(Project_Tracker!$I$2:$I$101,INT((ROW()-6)/17)+1))</f>
        <v/>
      </c>
      <c r="Q618" s="20" t="str">
        <f>IF($A618="","",INDEX(Project_Tracker!$K$2:$K$101,INT((ROW()-6)/17)+1))</f>
        <v/>
      </c>
    </row>
    <row r="619" spans="1:17" x14ac:dyDescent="0.2">
      <c r="A619" s="20" t="str">
        <f>IF(INDEX(Project_Tracker!$AL$2:$AL$101,INT((ROW()-6)/17)+1)="","",INDEX(Project_Tracker!$AL$2:$AL$101,INT((ROW()-6)/17)+1))</f>
        <v/>
      </c>
      <c r="B619" s="21" t="str">
        <f>IF($A619="","",INDEX(Project_Tracker!$AM$2:$AM$101,INT((ROW()-6)/17)+1))</f>
        <v/>
      </c>
      <c r="C619" s="20" t="str">
        <f>IF($A619="","",INDEX(Project_Tracker!$C$2:$C$101,INT((ROW()-6)/17)+1))</f>
        <v/>
      </c>
      <c r="D619" s="6" t="str">
        <f>IF($A619="","",INDEX(Project_Tracker!$T$2:$T$101,INT((ROW()-6)/17)+1))</f>
        <v/>
      </c>
      <c r="E619" s="18">
        <f t="shared" si="45"/>
        <v>2</v>
      </c>
      <c r="F619" s="23" t="str">
        <f>IF($A619="","",INDEX('Logic &amp; Lists'!$I$4:$I$20,$E619))</f>
        <v/>
      </c>
      <c r="G619" s="18" t="str">
        <f>IF($A619="","",INDEX('Logic &amp; Lists'!$J$4:$J$20,$E619))</f>
        <v/>
      </c>
      <c r="H619" s="6" t="str">
        <f t="shared" si="46"/>
        <v/>
      </c>
      <c r="I619" s="18" t="str">
        <f t="shared" ca="1" si="47"/>
        <v/>
      </c>
      <c r="J619" s="5" t="str">
        <f t="shared" si="48"/>
        <v/>
      </c>
      <c r="K619" s="25"/>
      <c r="L619" s="5" t="str">
        <f t="shared" si="49"/>
        <v/>
      </c>
      <c r="M619" s="7"/>
      <c r="N619" s="7"/>
      <c r="O619" s="7"/>
      <c r="P619" s="20" t="str">
        <f>IF($A619="","",INDEX(Project_Tracker!$I$2:$I$101,INT((ROW()-6)/17)+1))</f>
        <v/>
      </c>
      <c r="Q619" s="20" t="str">
        <f>IF($A619="","",INDEX(Project_Tracker!$K$2:$K$101,INT((ROW()-6)/17)+1))</f>
        <v/>
      </c>
    </row>
    <row r="620" spans="1:17" x14ac:dyDescent="0.2">
      <c r="A620" s="20" t="str">
        <f>IF(INDEX(Project_Tracker!$AL$2:$AL$101,INT((ROW()-6)/17)+1)="","",INDEX(Project_Tracker!$AL$2:$AL$101,INT((ROW()-6)/17)+1))</f>
        <v/>
      </c>
      <c r="B620" s="21" t="str">
        <f>IF($A620="","",INDEX(Project_Tracker!$AM$2:$AM$101,INT((ROW()-6)/17)+1))</f>
        <v/>
      </c>
      <c r="C620" s="20" t="str">
        <f>IF($A620="","",INDEX(Project_Tracker!$C$2:$C$101,INT((ROW()-6)/17)+1))</f>
        <v/>
      </c>
      <c r="D620" s="6" t="str">
        <f>IF($A620="","",INDEX(Project_Tracker!$T$2:$T$101,INT((ROW()-6)/17)+1))</f>
        <v/>
      </c>
      <c r="E620" s="18">
        <f t="shared" si="45"/>
        <v>3</v>
      </c>
      <c r="F620" s="23" t="str">
        <f>IF($A620="","",INDEX('Logic &amp; Lists'!$I$4:$I$20,$E620))</f>
        <v/>
      </c>
      <c r="G620" s="18" t="str">
        <f>IF($A620="","",INDEX('Logic &amp; Lists'!$J$4:$J$20,$E620))</f>
        <v/>
      </c>
      <c r="H620" s="6" t="str">
        <f t="shared" si="46"/>
        <v/>
      </c>
      <c r="I620" s="18" t="str">
        <f t="shared" ca="1" si="47"/>
        <v/>
      </c>
      <c r="J620" s="5" t="str">
        <f t="shared" si="48"/>
        <v/>
      </c>
      <c r="K620" s="25"/>
      <c r="L620" s="5" t="str">
        <f t="shared" si="49"/>
        <v/>
      </c>
      <c r="M620" s="7"/>
      <c r="N620" s="7"/>
      <c r="O620" s="7"/>
      <c r="P620" s="20" t="str">
        <f>IF($A620="","",INDEX(Project_Tracker!$I$2:$I$101,INT((ROW()-6)/17)+1))</f>
        <v/>
      </c>
      <c r="Q620" s="20" t="str">
        <f>IF($A620="","",INDEX(Project_Tracker!$K$2:$K$101,INT((ROW()-6)/17)+1))</f>
        <v/>
      </c>
    </row>
    <row r="621" spans="1:17" x14ac:dyDescent="0.2">
      <c r="A621" s="20" t="str">
        <f>IF(INDEX(Project_Tracker!$AL$2:$AL$101,INT((ROW()-6)/17)+1)="","",INDEX(Project_Tracker!$AL$2:$AL$101,INT((ROW()-6)/17)+1))</f>
        <v/>
      </c>
      <c r="B621" s="21" t="str">
        <f>IF($A621="","",INDEX(Project_Tracker!$AM$2:$AM$101,INT((ROW()-6)/17)+1))</f>
        <v/>
      </c>
      <c r="C621" s="20" t="str">
        <f>IF($A621="","",INDEX(Project_Tracker!$C$2:$C$101,INT((ROW()-6)/17)+1))</f>
        <v/>
      </c>
      <c r="D621" s="6" t="str">
        <f>IF($A621="","",INDEX(Project_Tracker!$T$2:$T$101,INT((ROW()-6)/17)+1))</f>
        <v/>
      </c>
      <c r="E621" s="18">
        <f t="shared" si="45"/>
        <v>4</v>
      </c>
      <c r="F621" s="23" t="str">
        <f>IF($A621="","",INDEX('Logic &amp; Lists'!$I$4:$I$20,$E621))</f>
        <v/>
      </c>
      <c r="G621" s="18" t="str">
        <f>IF($A621="","",INDEX('Logic &amp; Lists'!$J$4:$J$20,$E621))</f>
        <v/>
      </c>
      <c r="H621" s="6" t="str">
        <f t="shared" si="46"/>
        <v/>
      </c>
      <c r="I621" s="18" t="str">
        <f t="shared" ca="1" si="47"/>
        <v/>
      </c>
      <c r="J621" s="5" t="str">
        <f t="shared" si="48"/>
        <v/>
      </c>
      <c r="K621" s="25"/>
      <c r="L621" s="5" t="str">
        <f t="shared" si="49"/>
        <v/>
      </c>
      <c r="M621" s="7"/>
      <c r="N621" s="7"/>
      <c r="O621" s="7"/>
      <c r="P621" s="20" t="str">
        <f>IF($A621="","",INDEX(Project_Tracker!$I$2:$I$101,INT((ROW()-6)/17)+1))</f>
        <v/>
      </c>
      <c r="Q621" s="20" t="str">
        <f>IF($A621="","",INDEX(Project_Tracker!$K$2:$K$101,INT((ROW()-6)/17)+1))</f>
        <v/>
      </c>
    </row>
    <row r="622" spans="1:17" x14ac:dyDescent="0.2">
      <c r="A622" s="20" t="str">
        <f>IF(INDEX(Project_Tracker!$AL$2:$AL$101,INT((ROW()-6)/17)+1)="","",INDEX(Project_Tracker!$AL$2:$AL$101,INT((ROW()-6)/17)+1))</f>
        <v/>
      </c>
      <c r="B622" s="21" t="str">
        <f>IF($A622="","",INDEX(Project_Tracker!$AM$2:$AM$101,INT((ROW()-6)/17)+1))</f>
        <v/>
      </c>
      <c r="C622" s="20" t="str">
        <f>IF($A622="","",INDEX(Project_Tracker!$C$2:$C$101,INT((ROW()-6)/17)+1))</f>
        <v/>
      </c>
      <c r="D622" s="6" t="str">
        <f>IF($A622="","",INDEX(Project_Tracker!$T$2:$T$101,INT((ROW()-6)/17)+1))</f>
        <v/>
      </c>
      <c r="E622" s="18">
        <f t="shared" si="45"/>
        <v>5</v>
      </c>
      <c r="F622" s="23" t="str">
        <f>IF($A622="","",INDEX('Logic &amp; Lists'!$I$4:$I$20,$E622))</f>
        <v/>
      </c>
      <c r="G622" s="18" t="str">
        <f>IF($A622="","",INDEX('Logic &amp; Lists'!$J$4:$J$20,$E622))</f>
        <v/>
      </c>
      <c r="H622" s="6" t="str">
        <f t="shared" si="46"/>
        <v/>
      </c>
      <c r="I622" s="18" t="str">
        <f t="shared" ca="1" si="47"/>
        <v/>
      </c>
      <c r="J622" s="5" t="str">
        <f t="shared" si="48"/>
        <v/>
      </c>
      <c r="K622" s="25"/>
      <c r="L622" s="5" t="str">
        <f t="shared" si="49"/>
        <v/>
      </c>
      <c r="M622" s="7"/>
      <c r="N622" s="7"/>
      <c r="O622" s="7"/>
      <c r="P622" s="20" t="str">
        <f>IF($A622="","",INDEX(Project_Tracker!$I$2:$I$101,INT((ROW()-6)/17)+1))</f>
        <v/>
      </c>
      <c r="Q622" s="20" t="str">
        <f>IF($A622="","",INDEX(Project_Tracker!$K$2:$K$101,INT((ROW()-6)/17)+1))</f>
        <v/>
      </c>
    </row>
    <row r="623" spans="1:17" x14ac:dyDescent="0.2">
      <c r="A623" s="20" t="str">
        <f>IF(INDEX(Project_Tracker!$AL$2:$AL$101,INT((ROW()-6)/17)+1)="","",INDEX(Project_Tracker!$AL$2:$AL$101,INT((ROW()-6)/17)+1))</f>
        <v/>
      </c>
      <c r="B623" s="21" t="str">
        <f>IF($A623="","",INDEX(Project_Tracker!$AM$2:$AM$101,INT((ROW()-6)/17)+1))</f>
        <v/>
      </c>
      <c r="C623" s="20" t="str">
        <f>IF($A623="","",INDEX(Project_Tracker!$C$2:$C$101,INT((ROW()-6)/17)+1))</f>
        <v/>
      </c>
      <c r="D623" s="6" t="str">
        <f>IF($A623="","",INDEX(Project_Tracker!$T$2:$T$101,INT((ROW()-6)/17)+1))</f>
        <v/>
      </c>
      <c r="E623" s="18">
        <f t="shared" si="45"/>
        <v>6</v>
      </c>
      <c r="F623" s="23" t="str">
        <f>IF($A623="","",INDEX('Logic &amp; Lists'!$I$4:$I$20,$E623))</f>
        <v/>
      </c>
      <c r="G623" s="18" t="str">
        <f>IF($A623="","",INDEX('Logic &amp; Lists'!$J$4:$J$20,$E623))</f>
        <v/>
      </c>
      <c r="H623" s="6" t="str">
        <f t="shared" si="46"/>
        <v/>
      </c>
      <c r="I623" s="18" t="str">
        <f t="shared" ca="1" si="47"/>
        <v/>
      </c>
      <c r="J623" s="5" t="str">
        <f t="shared" si="48"/>
        <v/>
      </c>
      <c r="K623" s="25"/>
      <c r="L623" s="5" t="str">
        <f t="shared" si="49"/>
        <v/>
      </c>
      <c r="M623" s="7"/>
      <c r="N623" s="7"/>
      <c r="O623" s="7"/>
      <c r="P623" s="20" t="str">
        <f>IF($A623="","",INDEX(Project_Tracker!$I$2:$I$101,INT((ROW()-6)/17)+1))</f>
        <v/>
      </c>
      <c r="Q623" s="20" t="str">
        <f>IF($A623="","",INDEX(Project_Tracker!$K$2:$K$101,INT((ROW()-6)/17)+1))</f>
        <v/>
      </c>
    </row>
    <row r="624" spans="1:17" x14ac:dyDescent="0.2">
      <c r="A624" s="20" t="str">
        <f>IF(INDEX(Project_Tracker!$AL$2:$AL$101,INT((ROW()-6)/17)+1)="","",INDEX(Project_Tracker!$AL$2:$AL$101,INT((ROW()-6)/17)+1))</f>
        <v/>
      </c>
      <c r="B624" s="21" t="str">
        <f>IF($A624="","",INDEX(Project_Tracker!$AM$2:$AM$101,INT((ROW()-6)/17)+1))</f>
        <v/>
      </c>
      <c r="C624" s="20" t="str">
        <f>IF($A624="","",INDEX(Project_Tracker!$C$2:$C$101,INT((ROW()-6)/17)+1))</f>
        <v/>
      </c>
      <c r="D624" s="6" t="str">
        <f>IF($A624="","",INDEX(Project_Tracker!$T$2:$T$101,INT((ROW()-6)/17)+1))</f>
        <v/>
      </c>
      <c r="E624" s="18">
        <f t="shared" si="45"/>
        <v>7</v>
      </c>
      <c r="F624" s="23" t="str">
        <f>IF($A624="","",INDEX('Logic &amp; Lists'!$I$4:$I$20,$E624))</f>
        <v/>
      </c>
      <c r="G624" s="18" t="str">
        <f>IF($A624="","",INDEX('Logic &amp; Lists'!$J$4:$J$20,$E624))</f>
        <v/>
      </c>
      <c r="H624" s="6" t="str">
        <f t="shared" si="46"/>
        <v/>
      </c>
      <c r="I624" s="18" t="str">
        <f t="shared" ca="1" si="47"/>
        <v/>
      </c>
      <c r="J624" s="5" t="str">
        <f t="shared" si="48"/>
        <v/>
      </c>
      <c r="K624" s="25"/>
      <c r="L624" s="5" t="str">
        <f t="shared" si="49"/>
        <v/>
      </c>
      <c r="M624" s="7"/>
      <c r="N624" s="7"/>
      <c r="O624" s="7"/>
      <c r="P624" s="20" t="str">
        <f>IF($A624="","",INDEX(Project_Tracker!$I$2:$I$101,INT((ROW()-6)/17)+1))</f>
        <v/>
      </c>
      <c r="Q624" s="20" t="str">
        <f>IF($A624="","",INDEX(Project_Tracker!$K$2:$K$101,INT((ROW()-6)/17)+1))</f>
        <v/>
      </c>
    </row>
    <row r="625" spans="1:17" x14ac:dyDescent="0.2">
      <c r="A625" s="20" t="str">
        <f>IF(INDEX(Project_Tracker!$AL$2:$AL$101,INT((ROW()-6)/17)+1)="","",INDEX(Project_Tracker!$AL$2:$AL$101,INT((ROW()-6)/17)+1))</f>
        <v/>
      </c>
      <c r="B625" s="21" t="str">
        <f>IF($A625="","",INDEX(Project_Tracker!$AM$2:$AM$101,INT((ROW()-6)/17)+1))</f>
        <v/>
      </c>
      <c r="C625" s="20" t="str">
        <f>IF($A625="","",INDEX(Project_Tracker!$C$2:$C$101,INT((ROW()-6)/17)+1))</f>
        <v/>
      </c>
      <c r="D625" s="6" t="str">
        <f>IF($A625="","",INDEX(Project_Tracker!$T$2:$T$101,INT((ROW()-6)/17)+1))</f>
        <v/>
      </c>
      <c r="E625" s="18">
        <f t="shared" si="45"/>
        <v>8</v>
      </c>
      <c r="F625" s="23" t="str">
        <f>IF($A625="","",INDEX('Logic &amp; Lists'!$I$4:$I$20,$E625))</f>
        <v/>
      </c>
      <c r="G625" s="18" t="str">
        <f>IF($A625="","",INDEX('Logic &amp; Lists'!$J$4:$J$20,$E625))</f>
        <v/>
      </c>
      <c r="H625" s="6" t="str">
        <f t="shared" si="46"/>
        <v/>
      </c>
      <c r="I625" s="18" t="str">
        <f t="shared" ca="1" si="47"/>
        <v/>
      </c>
      <c r="J625" s="5" t="str">
        <f t="shared" si="48"/>
        <v/>
      </c>
      <c r="K625" s="25"/>
      <c r="L625" s="5" t="str">
        <f t="shared" si="49"/>
        <v/>
      </c>
      <c r="M625" s="7"/>
      <c r="N625" s="7"/>
      <c r="O625" s="7"/>
      <c r="P625" s="20" t="str">
        <f>IF($A625="","",INDEX(Project_Tracker!$I$2:$I$101,INT((ROW()-6)/17)+1))</f>
        <v/>
      </c>
      <c r="Q625" s="20" t="str">
        <f>IF($A625="","",INDEX(Project_Tracker!$K$2:$K$101,INT((ROW()-6)/17)+1))</f>
        <v/>
      </c>
    </row>
    <row r="626" spans="1:17" x14ac:dyDescent="0.2">
      <c r="A626" s="20" t="str">
        <f>IF(INDEX(Project_Tracker!$AL$2:$AL$101,INT((ROW()-6)/17)+1)="","",INDEX(Project_Tracker!$AL$2:$AL$101,INT((ROW()-6)/17)+1))</f>
        <v/>
      </c>
      <c r="B626" s="21" t="str">
        <f>IF($A626="","",INDEX(Project_Tracker!$AM$2:$AM$101,INT((ROW()-6)/17)+1))</f>
        <v/>
      </c>
      <c r="C626" s="20" t="str">
        <f>IF($A626="","",INDEX(Project_Tracker!$C$2:$C$101,INT((ROW()-6)/17)+1))</f>
        <v/>
      </c>
      <c r="D626" s="6" t="str">
        <f>IF($A626="","",INDEX(Project_Tracker!$T$2:$T$101,INT((ROW()-6)/17)+1))</f>
        <v/>
      </c>
      <c r="E626" s="18">
        <f t="shared" si="45"/>
        <v>9</v>
      </c>
      <c r="F626" s="23" t="str">
        <f>IF($A626="","",INDEX('Logic &amp; Lists'!$I$4:$I$20,$E626))</f>
        <v/>
      </c>
      <c r="G626" s="18" t="str">
        <f>IF($A626="","",INDEX('Logic &amp; Lists'!$J$4:$J$20,$E626))</f>
        <v/>
      </c>
      <c r="H626" s="6" t="str">
        <f t="shared" si="46"/>
        <v/>
      </c>
      <c r="I626" s="18" t="str">
        <f t="shared" ca="1" si="47"/>
        <v/>
      </c>
      <c r="J626" s="5" t="str">
        <f t="shared" si="48"/>
        <v/>
      </c>
      <c r="K626" s="25"/>
      <c r="L626" s="5" t="str">
        <f t="shared" si="49"/>
        <v/>
      </c>
      <c r="M626" s="7"/>
      <c r="N626" s="7"/>
      <c r="O626" s="7"/>
      <c r="P626" s="20" t="str">
        <f>IF($A626="","",INDEX(Project_Tracker!$I$2:$I$101,INT((ROW()-6)/17)+1))</f>
        <v/>
      </c>
      <c r="Q626" s="20" t="str">
        <f>IF($A626="","",INDEX(Project_Tracker!$K$2:$K$101,INT((ROW()-6)/17)+1))</f>
        <v/>
      </c>
    </row>
    <row r="627" spans="1:17" x14ac:dyDescent="0.2">
      <c r="A627" s="20" t="str">
        <f>IF(INDEX(Project_Tracker!$AL$2:$AL$101,INT((ROW()-6)/17)+1)="","",INDEX(Project_Tracker!$AL$2:$AL$101,INT((ROW()-6)/17)+1))</f>
        <v/>
      </c>
      <c r="B627" s="21" t="str">
        <f>IF($A627="","",INDEX(Project_Tracker!$AM$2:$AM$101,INT((ROW()-6)/17)+1))</f>
        <v/>
      </c>
      <c r="C627" s="20" t="str">
        <f>IF($A627="","",INDEX(Project_Tracker!$C$2:$C$101,INT((ROW()-6)/17)+1))</f>
        <v/>
      </c>
      <c r="D627" s="6" t="str">
        <f>IF($A627="","",INDEX(Project_Tracker!$T$2:$T$101,INT((ROW()-6)/17)+1))</f>
        <v/>
      </c>
      <c r="E627" s="18">
        <f t="shared" si="45"/>
        <v>10</v>
      </c>
      <c r="F627" s="23" t="str">
        <f>IF($A627="","",INDEX('Logic &amp; Lists'!$I$4:$I$20,$E627))</f>
        <v/>
      </c>
      <c r="G627" s="18" t="str">
        <f>IF($A627="","",INDEX('Logic &amp; Lists'!$J$4:$J$20,$E627))</f>
        <v/>
      </c>
      <c r="H627" s="6" t="str">
        <f t="shared" si="46"/>
        <v/>
      </c>
      <c r="I627" s="18" t="str">
        <f t="shared" ca="1" si="47"/>
        <v/>
      </c>
      <c r="J627" s="5" t="str">
        <f t="shared" si="48"/>
        <v/>
      </c>
      <c r="K627" s="25"/>
      <c r="L627" s="5" t="str">
        <f t="shared" si="49"/>
        <v/>
      </c>
      <c r="M627" s="7"/>
      <c r="N627" s="7"/>
      <c r="O627" s="7"/>
      <c r="P627" s="20" t="str">
        <f>IF($A627="","",INDEX(Project_Tracker!$I$2:$I$101,INT((ROW()-6)/17)+1))</f>
        <v/>
      </c>
      <c r="Q627" s="20" t="str">
        <f>IF($A627="","",INDEX(Project_Tracker!$K$2:$K$101,INT((ROW()-6)/17)+1))</f>
        <v/>
      </c>
    </row>
    <row r="628" spans="1:17" x14ac:dyDescent="0.2">
      <c r="A628" s="20" t="str">
        <f>IF(INDEX(Project_Tracker!$AL$2:$AL$101,INT((ROW()-6)/17)+1)="","",INDEX(Project_Tracker!$AL$2:$AL$101,INT((ROW()-6)/17)+1))</f>
        <v/>
      </c>
      <c r="B628" s="21" t="str">
        <f>IF($A628="","",INDEX(Project_Tracker!$AM$2:$AM$101,INT((ROW()-6)/17)+1))</f>
        <v/>
      </c>
      <c r="C628" s="20" t="str">
        <f>IF($A628="","",INDEX(Project_Tracker!$C$2:$C$101,INT((ROW()-6)/17)+1))</f>
        <v/>
      </c>
      <c r="D628" s="6" t="str">
        <f>IF($A628="","",INDEX(Project_Tracker!$T$2:$T$101,INT((ROW()-6)/17)+1))</f>
        <v/>
      </c>
      <c r="E628" s="18">
        <f t="shared" si="45"/>
        <v>11</v>
      </c>
      <c r="F628" s="23" t="str">
        <f>IF($A628="","",INDEX('Logic &amp; Lists'!$I$4:$I$20,$E628))</f>
        <v/>
      </c>
      <c r="G628" s="18" t="str">
        <f>IF($A628="","",INDEX('Logic &amp; Lists'!$J$4:$J$20,$E628))</f>
        <v/>
      </c>
      <c r="H628" s="6" t="str">
        <f t="shared" si="46"/>
        <v/>
      </c>
      <c r="I628" s="18" t="str">
        <f t="shared" ca="1" si="47"/>
        <v/>
      </c>
      <c r="J628" s="5" t="str">
        <f t="shared" si="48"/>
        <v/>
      </c>
      <c r="K628" s="25"/>
      <c r="L628" s="5" t="str">
        <f t="shared" si="49"/>
        <v/>
      </c>
      <c r="M628" s="7"/>
      <c r="N628" s="7"/>
      <c r="O628" s="7"/>
      <c r="P628" s="20" t="str">
        <f>IF($A628="","",INDEX(Project_Tracker!$I$2:$I$101,INT((ROW()-6)/17)+1))</f>
        <v/>
      </c>
      <c r="Q628" s="20" t="str">
        <f>IF($A628="","",INDEX(Project_Tracker!$K$2:$K$101,INT((ROW()-6)/17)+1))</f>
        <v/>
      </c>
    </row>
    <row r="629" spans="1:17" x14ac:dyDescent="0.2">
      <c r="A629" s="20" t="str">
        <f>IF(INDEX(Project_Tracker!$AL$2:$AL$101,INT((ROW()-6)/17)+1)="","",INDEX(Project_Tracker!$AL$2:$AL$101,INT((ROW()-6)/17)+1))</f>
        <v/>
      </c>
      <c r="B629" s="21" t="str">
        <f>IF($A629="","",INDEX(Project_Tracker!$AM$2:$AM$101,INT((ROW()-6)/17)+1))</f>
        <v/>
      </c>
      <c r="C629" s="20" t="str">
        <f>IF($A629="","",INDEX(Project_Tracker!$C$2:$C$101,INT((ROW()-6)/17)+1))</f>
        <v/>
      </c>
      <c r="D629" s="6" t="str">
        <f>IF($A629="","",INDEX(Project_Tracker!$T$2:$T$101,INT((ROW()-6)/17)+1))</f>
        <v/>
      </c>
      <c r="E629" s="18">
        <f t="shared" si="45"/>
        <v>12</v>
      </c>
      <c r="F629" s="23" t="str">
        <f>IF($A629="","",INDEX('Logic &amp; Lists'!$I$4:$I$20,$E629))</f>
        <v/>
      </c>
      <c r="G629" s="18" t="str">
        <f>IF($A629="","",INDEX('Logic &amp; Lists'!$J$4:$J$20,$E629))</f>
        <v/>
      </c>
      <c r="H629" s="6" t="str">
        <f t="shared" si="46"/>
        <v/>
      </c>
      <c r="I629" s="18" t="str">
        <f t="shared" ca="1" si="47"/>
        <v/>
      </c>
      <c r="J629" s="5" t="str">
        <f t="shared" si="48"/>
        <v/>
      </c>
      <c r="K629" s="25"/>
      <c r="L629" s="5" t="str">
        <f t="shared" si="49"/>
        <v/>
      </c>
      <c r="M629" s="7"/>
      <c r="N629" s="7"/>
      <c r="O629" s="7"/>
      <c r="P629" s="20" t="str">
        <f>IF($A629="","",INDEX(Project_Tracker!$I$2:$I$101,INT((ROW()-6)/17)+1))</f>
        <v/>
      </c>
      <c r="Q629" s="20" t="str">
        <f>IF($A629="","",INDEX(Project_Tracker!$K$2:$K$101,INT((ROW()-6)/17)+1))</f>
        <v/>
      </c>
    </row>
    <row r="630" spans="1:17" x14ac:dyDescent="0.2">
      <c r="A630" s="20" t="str">
        <f>IF(INDEX(Project_Tracker!$AL$2:$AL$101,INT((ROW()-6)/17)+1)="","",INDEX(Project_Tracker!$AL$2:$AL$101,INT((ROW()-6)/17)+1))</f>
        <v/>
      </c>
      <c r="B630" s="21" t="str">
        <f>IF($A630="","",INDEX(Project_Tracker!$AM$2:$AM$101,INT((ROW()-6)/17)+1))</f>
        <v/>
      </c>
      <c r="C630" s="20" t="str">
        <f>IF($A630="","",INDEX(Project_Tracker!$C$2:$C$101,INT((ROW()-6)/17)+1))</f>
        <v/>
      </c>
      <c r="D630" s="6" t="str">
        <f>IF($A630="","",INDEX(Project_Tracker!$T$2:$T$101,INT((ROW()-6)/17)+1))</f>
        <v/>
      </c>
      <c r="E630" s="18">
        <f t="shared" si="45"/>
        <v>13</v>
      </c>
      <c r="F630" s="23" t="str">
        <f>IF($A630="","",INDEX('Logic &amp; Lists'!$I$4:$I$20,$E630))</f>
        <v/>
      </c>
      <c r="G630" s="18" t="str">
        <f>IF($A630="","",INDEX('Logic &amp; Lists'!$J$4:$J$20,$E630))</f>
        <v/>
      </c>
      <c r="H630" s="6" t="str">
        <f t="shared" si="46"/>
        <v/>
      </c>
      <c r="I630" s="18" t="str">
        <f t="shared" ca="1" si="47"/>
        <v/>
      </c>
      <c r="J630" s="5" t="str">
        <f t="shared" si="48"/>
        <v/>
      </c>
      <c r="K630" s="25"/>
      <c r="L630" s="5" t="str">
        <f t="shared" si="49"/>
        <v/>
      </c>
      <c r="M630" s="7"/>
      <c r="N630" s="7"/>
      <c r="O630" s="7"/>
      <c r="P630" s="20" t="str">
        <f>IF($A630="","",INDEX(Project_Tracker!$I$2:$I$101,INT((ROW()-6)/17)+1))</f>
        <v/>
      </c>
      <c r="Q630" s="20" t="str">
        <f>IF($A630="","",INDEX(Project_Tracker!$K$2:$K$101,INT((ROW()-6)/17)+1))</f>
        <v/>
      </c>
    </row>
    <row r="631" spans="1:17" x14ac:dyDescent="0.2">
      <c r="A631" s="20" t="str">
        <f>IF(INDEX(Project_Tracker!$AL$2:$AL$101,INT((ROW()-6)/17)+1)="","",INDEX(Project_Tracker!$AL$2:$AL$101,INT((ROW()-6)/17)+1))</f>
        <v/>
      </c>
      <c r="B631" s="21" t="str">
        <f>IF($A631="","",INDEX(Project_Tracker!$AM$2:$AM$101,INT((ROW()-6)/17)+1))</f>
        <v/>
      </c>
      <c r="C631" s="20" t="str">
        <f>IF($A631="","",INDEX(Project_Tracker!$C$2:$C$101,INT((ROW()-6)/17)+1))</f>
        <v/>
      </c>
      <c r="D631" s="6" t="str">
        <f>IF($A631="","",INDEX(Project_Tracker!$T$2:$T$101,INT((ROW()-6)/17)+1))</f>
        <v/>
      </c>
      <c r="E631" s="18">
        <f t="shared" si="45"/>
        <v>14</v>
      </c>
      <c r="F631" s="23" t="str">
        <f>IF($A631="","",INDEX('Logic &amp; Lists'!$I$4:$I$20,$E631))</f>
        <v/>
      </c>
      <c r="G631" s="18" t="str">
        <f>IF($A631="","",INDEX('Logic &amp; Lists'!$J$4:$J$20,$E631))</f>
        <v/>
      </c>
      <c r="H631" s="6" t="str">
        <f t="shared" si="46"/>
        <v/>
      </c>
      <c r="I631" s="18" t="str">
        <f t="shared" ca="1" si="47"/>
        <v/>
      </c>
      <c r="J631" s="5" t="str">
        <f t="shared" si="48"/>
        <v/>
      </c>
      <c r="K631" s="25"/>
      <c r="L631" s="5" t="str">
        <f t="shared" si="49"/>
        <v/>
      </c>
      <c r="M631" s="7"/>
      <c r="N631" s="7"/>
      <c r="O631" s="7"/>
      <c r="P631" s="20" t="str">
        <f>IF($A631="","",INDEX(Project_Tracker!$I$2:$I$101,INT((ROW()-6)/17)+1))</f>
        <v/>
      </c>
      <c r="Q631" s="20" t="str">
        <f>IF($A631="","",INDEX(Project_Tracker!$K$2:$K$101,INT((ROW()-6)/17)+1))</f>
        <v/>
      </c>
    </row>
    <row r="632" spans="1:17" x14ac:dyDescent="0.2">
      <c r="A632" s="20" t="str">
        <f>IF(INDEX(Project_Tracker!$AL$2:$AL$101,INT((ROW()-6)/17)+1)="","",INDEX(Project_Tracker!$AL$2:$AL$101,INT((ROW()-6)/17)+1))</f>
        <v/>
      </c>
      <c r="B632" s="21" t="str">
        <f>IF($A632="","",INDEX(Project_Tracker!$AM$2:$AM$101,INT((ROW()-6)/17)+1))</f>
        <v/>
      </c>
      <c r="C632" s="20" t="str">
        <f>IF($A632="","",INDEX(Project_Tracker!$C$2:$C$101,INT((ROW()-6)/17)+1))</f>
        <v/>
      </c>
      <c r="D632" s="6" t="str">
        <f>IF($A632="","",INDEX(Project_Tracker!$T$2:$T$101,INT((ROW()-6)/17)+1))</f>
        <v/>
      </c>
      <c r="E632" s="18">
        <f t="shared" si="45"/>
        <v>15</v>
      </c>
      <c r="F632" s="23" t="str">
        <f>IF($A632="","",INDEX('Logic &amp; Lists'!$I$4:$I$20,$E632))</f>
        <v/>
      </c>
      <c r="G632" s="18" t="str">
        <f>IF($A632="","",INDEX('Logic &amp; Lists'!$J$4:$J$20,$E632))</f>
        <v/>
      </c>
      <c r="H632" s="6" t="str">
        <f t="shared" si="46"/>
        <v/>
      </c>
      <c r="I632" s="18" t="str">
        <f t="shared" ca="1" si="47"/>
        <v/>
      </c>
      <c r="J632" s="5" t="str">
        <f t="shared" si="48"/>
        <v/>
      </c>
      <c r="K632" s="25"/>
      <c r="L632" s="5" t="str">
        <f t="shared" si="49"/>
        <v/>
      </c>
      <c r="M632" s="7"/>
      <c r="N632" s="7"/>
      <c r="O632" s="7"/>
      <c r="P632" s="20" t="str">
        <f>IF($A632="","",INDEX(Project_Tracker!$I$2:$I$101,INT((ROW()-6)/17)+1))</f>
        <v/>
      </c>
      <c r="Q632" s="20" t="str">
        <f>IF($A632="","",INDEX(Project_Tracker!$K$2:$K$101,INT((ROW()-6)/17)+1))</f>
        <v/>
      </c>
    </row>
    <row r="633" spans="1:17" x14ac:dyDescent="0.2">
      <c r="A633" s="20" t="str">
        <f>IF(INDEX(Project_Tracker!$AL$2:$AL$101,INT((ROW()-6)/17)+1)="","",INDEX(Project_Tracker!$AL$2:$AL$101,INT((ROW()-6)/17)+1))</f>
        <v/>
      </c>
      <c r="B633" s="21" t="str">
        <f>IF($A633="","",INDEX(Project_Tracker!$AM$2:$AM$101,INT((ROW()-6)/17)+1))</f>
        <v/>
      </c>
      <c r="C633" s="20" t="str">
        <f>IF($A633="","",INDEX(Project_Tracker!$C$2:$C$101,INT((ROW()-6)/17)+1))</f>
        <v/>
      </c>
      <c r="D633" s="6" t="str">
        <f>IF($A633="","",INDEX(Project_Tracker!$T$2:$T$101,INT((ROW()-6)/17)+1))</f>
        <v/>
      </c>
      <c r="E633" s="18">
        <f t="shared" si="45"/>
        <v>16</v>
      </c>
      <c r="F633" s="23" t="str">
        <f>IF($A633="","",INDEX('Logic &amp; Lists'!$I$4:$I$20,$E633))</f>
        <v/>
      </c>
      <c r="G633" s="18" t="str">
        <f>IF($A633="","",INDEX('Logic &amp; Lists'!$J$4:$J$20,$E633))</f>
        <v/>
      </c>
      <c r="H633" s="6" t="str">
        <f t="shared" si="46"/>
        <v/>
      </c>
      <c r="I633" s="18" t="str">
        <f t="shared" ca="1" si="47"/>
        <v/>
      </c>
      <c r="J633" s="5" t="str">
        <f t="shared" si="48"/>
        <v/>
      </c>
      <c r="K633" s="25"/>
      <c r="L633" s="5" t="str">
        <f t="shared" si="49"/>
        <v/>
      </c>
      <c r="M633" s="7"/>
      <c r="N633" s="7"/>
      <c r="O633" s="7"/>
      <c r="P633" s="20" t="str">
        <f>IF($A633="","",INDEX(Project_Tracker!$I$2:$I$101,INT((ROW()-6)/17)+1))</f>
        <v/>
      </c>
      <c r="Q633" s="20" t="str">
        <f>IF($A633="","",INDEX(Project_Tracker!$K$2:$K$101,INT((ROW()-6)/17)+1))</f>
        <v/>
      </c>
    </row>
    <row r="634" spans="1:17" x14ac:dyDescent="0.2">
      <c r="A634" s="20" t="str">
        <f>IF(INDEX(Project_Tracker!$AL$2:$AL$101,INT((ROW()-6)/17)+1)="","",INDEX(Project_Tracker!$AL$2:$AL$101,INT((ROW()-6)/17)+1))</f>
        <v/>
      </c>
      <c r="B634" s="21" t="str">
        <f>IF($A634="","",INDEX(Project_Tracker!$AM$2:$AM$101,INT((ROW()-6)/17)+1))</f>
        <v/>
      </c>
      <c r="C634" s="20" t="str">
        <f>IF($A634="","",INDEX(Project_Tracker!$C$2:$C$101,INT((ROW()-6)/17)+1))</f>
        <v/>
      </c>
      <c r="D634" s="6" t="str">
        <f>IF($A634="","",INDEX(Project_Tracker!$T$2:$T$101,INT((ROW()-6)/17)+1))</f>
        <v/>
      </c>
      <c r="E634" s="18">
        <f t="shared" si="45"/>
        <v>17</v>
      </c>
      <c r="F634" s="23" t="str">
        <f>IF($A634="","",INDEX('Logic &amp; Lists'!$I$4:$I$20,$E634))</f>
        <v/>
      </c>
      <c r="G634" s="18" t="str">
        <f>IF($A634="","",INDEX('Logic &amp; Lists'!$J$4:$J$20,$E634))</f>
        <v/>
      </c>
      <c r="H634" s="6" t="str">
        <f t="shared" si="46"/>
        <v/>
      </c>
      <c r="I634" s="18" t="str">
        <f t="shared" ca="1" si="47"/>
        <v/>
      </c>
      <c r="J634" s="5" t="str">
        <f t="shared" si="48"/>
        <v/>
      </c>
      <c r="K634" s="25"/>
      <c r="L634" s="5" t="str">
        <f t="shared" si="49"/>
        <v/>
      </c>
      <c r="M634" s="7"/>
      <c r="N634" s="7"/>
      <c r="O634" s="7"/>
      <c r="P634" s="20" t="str">
        <f>IF($A634="","",INDEX(Project_Tracker!$I$2:$I$101,INT((ROW()-6)/17)+1))</f>
        <v/>
      </c>
      <c r="Q634" s="20" t="str">
        <f>IF($A634="","",INDEX(Project_Tracker!$K$2:$K$101,INT((ROW()-6)/17)+1))</f>
        <v/>
      </c>
    </row>
    <row r="635" spans="1:17" x14ac:dyDescent="0.2">
      <c r="A635" s="20" t="str">
        <f>IF(INDEX(Project_Tracker!$AL$2:$AL$101,INT((ROW()-6)/17)+1)="","",INDEX(Project_Tracker!$AL$2:$AL$101,INT((ROW()-6)/17)+1))</f>
        <v/>
      </c>
      <c r="B635" s="21" t="str">
        <f>IF($A635="","",INDEX(Project_Tracker!$AM$2:$AM$101,INT((ROW()-6)/17)+1))</f>
        <v/>
      </c>
      <c r="C635" s="20" t="str">
        <f>IF($A635="","",INDEX(Project_Tracker!$C$2:$C$101,INT((ROW()-6)/17)+1))</f>
        <v/>
      </c>
      <c r="D635" s="6" t="str">
        <f>IF($A635="","",INDEX(Project_Tracker!$T$2:$T$101,INT((ROW()-6)/17)+1))</f>
        <v/>
      </c>
      <c r="E635" s="18">
        <f t="shared" si="45"/>
        <v>1</v>
      </c>
      <c r="F635" s="23" t="str">
        <f>IF($A635="","",INDEX('Logic &amp; Lists'!$I$4:$I$20,$E635))</f>
        <v/>
      </c>
      <c r="G635" s="18" t="str">
        <f>IF($A635="","",INDEX('Logic &amp; Lists'!$J$4:$J$20,$E635))</f>
        <v/>
      </c>
      <c r="H635" s="6" t="str">
        <f t="shared" si="46"/>
        <v/>
      </c>
      <c r="I635" s="18" t="str">
        <f t="shared" ca="1" si="47"/>
        <v/>
      </c>
      <c r="J635" s="5" t="str">
        <f t="shared" si="48"/>
        <v/>
      </c>
      <c r="K635" s="25"/>
      <c r="L635" s="5" t="str">
        <f t="shared" si="49"/>
        <v/>
      </c>
      <c r="M635" s="7"/>
      <c r="N635" s="7"/>
      <c r="O635" s="7"/>
      <c r="P635" s="20" t="str">
        <f>IF($A635="","",INDEX(Project_Tracker!$I$2:$I$101,INT((ROW()-6)/17)+1))</f>
        <v/>
      </c>
      <c r="Q635" s="20" t="str">
        <f>IF($A635="","",INDEX(Project_Tracker!$K$2:$K$101,INT((ROW()-6)/17)+1))</f>
        <v/>
      </c>
    </row>
    <row r="636" spans="1:17" x14ac:dyDescent="0.2">
      <c r="A636" s="20" t="str">
        <f>IF(INDEX(Project_Tracker!$AL$2:$AL$101,INT((ROW()-6)/17)+1)="","",INDEX(Project_Tracker!$AL$2:$AL$101,INT((ROW()-6)/17)+1))</f>
        <v/>
      </c>
      <c r="B636" s="21" t="str">
        <f>IF($A636="","",INDEX(Project_Tracker!$AM$2:$AM$101,INT((ROW()-6)/17)+1))</f>
        <v/>
      </c>
      <c r="C636" s="20" t="str">
        <f>IF($A636="","",INDEX(Project_Tracker!$C$2:$C$101,INT((ROW()-6)/17)+1))</f>
        <v/>
      </c>
      <c r="D636" s="6" t="str">
        <f>IF($A636="","",INDEX(Project_Tracker!$T$2:$T$101,INT((ROW()-6)/17)+1))</f>
        <v/>
      </c>
      <c r="E636" s="18">
        <f t="shared" si="45"/>
        <v>2</v>
      </c>
      <c r="F636" s="23" t="str">
        <f>IF($A636="","",INDEX('Logic &amp; Lists'!$I$4:$I$20,$E636))</f>
        <v/>
      </c>
      <c r="G636" s="18" t="str">
        <f>IF($A636="","",INDEX('Logic &amp; Lists'!$J$4:$J$20,$E636))</f>
        <v/>
      </c>
      <c r="H636" s="6" t="str">
        <f t="shared" si="46"/>
        <v/>
      </c>
      <c r="I636" s="18" t="str">
        <f t="shared" ca="1" si="47"/>
        <v/>
      </c>
      <c r="J636" s="5" t="str">
        <f t="shared" si="48"/>
        <v/>
      </c>
      <c r="K636" s="25"/>
      <c r="L636" s="5" t="str">
        <f t="shared" si="49"/>
        <v/>
      </c>
      <c r="M636" s="7"/>
      <c r="N636" s="7"/>
      <c r="O636" s="7"/>
      <c r="P636" s="20" t="str">
        <f>IF($A636="","",INDEX(Project_Tracker!$I$2:$I$101,INT((ROW()-6)/17)+1))</f>
        <v/>
      </c>
      <c r="Q636" s="20" t="str">
        <f>IF($A636="","",INDEX(Project_Tracker!$K$2:$K$101,INT((ROW()-6)/17)+1))</f>
        <v/>
      </c>
    </row>
    <row r="637" spans="1:17" x14ac:dyDescent="0.2">
      <c r="A637" s="20" t="str">
        <f>IF(INDEX(Project_Tracker!$AL$2:$AL$101,INT((ROW()-6)/17)+1)="","",INDEX(Project_Tracker!$AL$2:$AL$101,INT((ROW()-6)/17)+1))</f>
        <v/>
      </c>
      <c r="B637" s="21" t="str">
        <f>IF($A637="","",INDEX(Project_Tracker!$AM$2:$AM$101,INT((ROW()-6)/17)+1))</f>
        <v/>
      </c>
      <c r="C637" s="20" t="str">
        <f>IF($A637="","",INDEX(Project_Tracker!$C$2:$C$101,INT((ROW()-6)/17)+1))</f>
        <v/>
      </c>
      <c r="D637" s="6" t="str">
        <f>IF($A637="","",INDEX(Project_Tracker!$T$2:$T$101,INT((ROW()-6)/17)+1))</f>
        <v/>
      </c>
      <c r="E637" s="18">
        <f t="shared" si="45"/>
        <v>3</v>
      </c>
      <c r="F637" s="23" t="str">
        <f>IF($A637="","",INDEX('Logic &amp; Lists'!$I$4:$I$20,$E637))</f>
        <v/>
      </c>
      <c r="G637" s="18" t="str">
        <f>IF($A637="","",INDEX('Logic &amp; Lists'!$J$4:$J$20,$E637))</f>
        <v/>
      </c>
      <c r="H637" s="6" t="str">
        <f t="shared" si="46"/>
        <v/>
      </c>
      <c r="I637" s="18" t="str">
        <f t="shared" ca="1" si="47"/>
        <v/>
      </c>
      <c r="J637" s="5" t="str">
        <f t="shared" si="48"/>
        <v/>
      </c>
      <c r="K637" s="25"/>
      <c r="L637" s="5" t="str">
        <f t="shared" si="49"/>
        <v/>
      </c>
      <c r="M637" s="7"/>
      <c r="N637" s="7"/>
      <c r="O637" s="7"/>
      <c r="P637" s="20" t="str">
        <f>IF($A637="","",INDEX(Project_Tracker!$I$2:$I$101,INT((ROW()-6)/17)+1))</f>
        <v/>
      </c>
      <c r="Q637" s="20" t="str">
        <f>IF($A637="","",INDEX(Project_Tracker!$K$2:$K$101,INT((ROW()-6)/17)+1))</f>
        <v/>
      </c>
    </row>
    <row r="638" spans="1:17" x14ac:dyDescent="0.2">
      <c r="A638" s="20" t="str">
        <f>IF(INDEX(Project_Tracker!$AL$2:$AL$101,INT((ROW()-6)/17)+1)="","",INDEX(Project_Tracker!$AL$2:$AL$101,INT((ROW()-6)/17)+1))</f>
        <v/>
      </c>
      <c r="B638" s="21" t="str">
        <f>IF($A638="","",INDEX(Project_Tracker!$AM$2:$AM$101,INT((ROW()-6)/17)+1))</f>
        <v/>
      </c>
      <c r="C638" s="20" t="str">
        <f>IF($A638="","",INDEX(Project_Tracker!$C$2:$C$101,INT((ROW()-6)/17)+1))</f>
        <v/>
      </c>
      <c r="D638" s="6" t="str">
        <f>IF($A638="","",INDEX(Project_Tracker!$T$2:$T$101,INT((ROW()-6)/17)+1))</f>
        <v/>
      </c>
      <c r="E638" s="18">
        <f t="shared" si="45"/>
        <v>4</v>
      </c>
      <c r="F638" s="23" t="str">
        <f>IF($A638="","",INDEX('Logic &amp; Lists'!$I$4:$I$20,$E638))</f>
        <v/>
      </c>
      <c r="G638" s="18" t="str">
        <f>IF($A638="","",INDEX('Logic &amp; Lists'!$J$4:$J$20,$E638))</f>
        <v/>
      </c>
      <c r="H638" s="6" t="str">
        <f t="shared" si="46"/>
        <v/>
      </c>
      <c r="I638" s="18" t="str">
        <f t="shared" ca="1" si="47"/>
        <v/>
      </c>
      <c r="J638" s="5" t="str">
        <f t="shared" si="48"/>
        <v/>
      </c>
      <c r="K638" s="25"/>
      <c r="L638" s="5" t="str">
        <f t="shared" si="49"/>
        <v/>
      </c>
      <c r="M638" s="7"/>
      <c r="N638" s="7"/>
      <c r="O638" s="7"/>
      <c r="P638" s="20" t="str">
        <f>IF($A638="","",INDEX(Project_Tracker!$I$2:$I$101,INT((ROW()-6)/17)+1))</f>
        <v/>
      </c>
      <c r="Q638" s="20" t="str">
        <f>IF($A638="","",INDEX(Project_Tracker!$K$2:$K$101,INT((ROW()-6)/17)+1))</f>
        <v/>
      </c>
    </row>
    <row r="639" spans="1:17" x14ac:dyDescent="0.2">
      <c r="A639" s="20" t="str">
        <f>IF(INDEX(Project_Tracker!$AL$2:$AL$101,INT((ROW()-6)/17)+1)="","",INDEX(Project_Tracker!$AL$2:$AL$101,INT((ROW()-6)/17)+1))</f>
        <v/>
      </c>
      <c r="B639" s="21" t="str">
        <f>IF($A639="","",INDEX(Project_Tracker!$AM$2:$AM$101,INT((ROW()-6)/17)+1))</f>
        <v/>
      </c>
      <c r="C639" s="20" t="str">
        <f>IF($A639="","",INDEX(Project_Tracker!$C$2:$C$101,INT((ROW()-6)/17)+1))</f>
        <v/>
      </c>
      <c r="D639" s="6" t="str">
        <f>IF($A639="","",INDEX(Project_Tracker!$T$2:$T$101,INT((ROW()-6)/17)+1))</f>
        <v/>
      </c>
      <c r="E639" s="18">
        <f t="shared" si="45"/>
        <v>5</v>
      </c>
      <c r="F639" s="23" t="str">
        <f>IF($A639="","",INDEX('Logic &amp; Lists'!$I$4:$I$20,$E639))</f>
        <v/>
      </c>
      <c r="G639" s="18" t="str">
        <f>IF($A639="","",INDEX('Logic &amp; Lists'!$J$4:$J$20,$E639))</f>
        <v/>
      </c>
      <c r="H639" s="6" t="str">
        <f t="shared" si="46"/>
        <v/>
      </c>
      <c r="I639" s="18" t="str">
        <f t="shared" ca="1" si="47"/>
        <v/>
      </c>
      <c r="J639" s="5" t="str">
        <f t="shared" si="48"/>
        <v/>
      </c>
      <c r="K639" s="25"/>
      <c r="L639" s="5" t="str">
        <f t="shared" si="49"/>
        <v/>
      </c>
      <c r="M639" s="7"/>
      <c r="N639" s="7"/>
      <c r="O639" s="7"/>
      <c r="P639" s="20" t="str">
        <f>IF($A639="","",INDEX(Project_Tracker!$I$2:$I$101,INT((ROW()-6)/17)+1))</f>
        <v/>
      </c>
      <c r="Q639" s="20" t="str">
        <f>IF($A639="","",INDEX(Project_Tracker!$K$2:$K$101,INT((ROW()-6)/17)+1))</f>
        <v/>
      </c>
    </row>
    <row r="640" spans="1:17" x14ac:dyDescent="0.2">
      <c r="A640" s="20" t="str">
        <f>IF(INDEX(Project_Tracker!$AL$2:$AL$101,INT((ROW()-6)/17)+1)="","",INDEX(Project_Tracker!$AL$2:$AL$101,INT((ROW()-6)/17)+1))</f>
        <v/>
      </c>
      <c r="B640" s="21" t="str">
        <f>IF($A640="","",INDEX(Project_Tracker!$AM$2:$AM$101,INT((ROW()-6)/17)+1))</f>
        <v/>
      </c>
      <c r="C640" s="20" t="str">
        <f>IF($A640="","",INDEX(Project_Tracker!$C$2:$C$101,INT((ROW()-6)/17)+1))</f>
        <v/>
      </c>
      <c r="D640" s="6" t="str">
        <f>IF($A640="","",INDEX(Project_Tracker!$T$2:$T$101,INT((ROW()-6)/17)+1))</f>
        <v/>
      </c>
      <c r="E640" s="18">
        <f t="shared" si="45"/>
        <v>6</v>
      </c>
      <c r="F640" s="23" t="str">
        <f>IF($A640="","",INDEX('Logic &amp; Lists'!$I$4:$I$20,$E640))</f>
        <v/>
      </c>
      <c r="G640" s="18" t="str">
        <f>IF($A640="","",INDEX('Logic &amp; Lists'!$J$4:$J$20,$E640))</f>
        <v/>
      </c>
      <c r="H640" s="6" t="str">
        <f t="shared" si="46"/>
        <v/>
      </c>
      <c r="I640" s="18" t="str">
        <f t="shared" ca="1" si="47"/>
        <v/>
      </c>
      <c r="J640" s="5" t="str">
        <f t="shared" si="48"/>
        <v/>
      </c>
      <c r="K640" s="25"/>
      <c r="L640" s="5" t="str">
        <f t="shared" si="49"/>
        <v/>
      </c>
      <c r="M640" s="7"/>
      <c r="N640" s="7"/>
      <c r="O640" s="7"/>
      <c r="P640" s="20" t="str">
        <f>IF($A640="","",INDEX(Project_Tracker!$I$2:$I$101,INT((ROW()-6)/17)+1))</f>
        <v/>
      </c>
      <c r="Q640" s="20" t="str">
        <f>IF($A640="","",INDEX(Project_Tracker!$K$2:$K$101,INT((ROW()-6)/17)+1))</f>
        <v/>
      </c>
    </row>
    <row r="641" spans="1:17" x14ac:dyDescent="0.2">
      <c r="A641" s="20" t="str">
        <f>IF(INDEX(Project_Tracker!$AL$2:$AL$101,INT((ROW()-6)/17)+1)="","",INDEX(Project_Tracker!$AL$2:$AL$101,INT((ROW()-6)/17)+1))</f>
        <v/>
      </c>
      <c r="B641" s="21" t="str">
        <f>IF($A641="","",INDEX(Project_Tracker!$AM$2:$AM$101,INT((ROW()-6)/17)+1))</f>
        <v/>
      </c>
      <c r="C641" s="20" t="str">
        <f>IF($A641="","",INDEX(Project_Tracker!$C$2:$C$101,INT((ROW()-6)/17)+1))</f>
        <v/>
      </c>
      <c r="D641" s="6" t="str">
        <f>IF($A641="","",INDEX(Project_Tracker!$T$2:$T$101,INT((ROW()-6)/17)+1))</f>
        <v/>
      </c>
      <c r="E641" s="18">
        <f t="shared" si="45"/>
        <v>7</v>
      </c>
      <c r="F641" s="23" t="str">
        <f>IF($A641="","",INDEX('Logic &amp; Lists'!$I$4:$I$20,$E641))</f>
        <v/>
      </c>
      <c r="G641" s="18" t="str">
        <f>IF($A641="","",INDEX('Logic &amp; Lists'!$J$4:$J$20,$E641))</f>
        <v/>
      </c>
      <c r="H641" s="6" t="str">
        <f t="shared" si="46"/>
        <v/>
      </c>
      <c r="I641" s="18" t="str">
        <f t="shared" ca="1" si="47"/>
        <v/>
      </c>
      <c r="J641" s="5" t="str">
        <f t="shared" si="48"/>
        <v/>
      </c>
      <c r="K641" s="25"/>
      <c r="L641" s="5" t="str">
        <f t="shared" si="49"/>
        <v/>
      </c>
      <c r="M641" s="7"/>
      <c r="N641" s="7"/>
      <c r="O641" s="7"/>
      <c r="P641" s="20" t="str">
        <f>IF($A641="","",INDEX(Project_Tracker!$I$2:$I$101,INT((ROW()-6)/17)+1))</f>
        <v/>
      </c>
      <c r="Q641" s="20" t="str">
        <f>IF($A641="","",INDEX(Project_Tracker!$K$2:$K$101,INT((ROW()-6)/17)+1))</f>
        <v/>
      </c>
    </row>
    <row r="642" spans="1:17" x14ac:dyDescent="0.2">
      <c r="A642" s="20" t="str">
        <f>IF(INDEX(Project_Tracker!$AL$2:$AL$101,INT((ROW()-6)/17)+1)="","",INDEX(Project_Tracker!$AL$2:$AL$101,INT((ROW()-6)/17)+1))</f>
        <v/>
      </c>
      <c r="B642" s="21" t="str">
        <f>IF($A642="","",INDEX(Project_Tracker!$AM$2:$AM$101,INT((ROW()-6)/17)+1))</f>
        <v/>
      </c>
      <c r="C642" s="20" t="str">
        <f>IF($A642="","",INDEX(Project_Tracker!$C$2:$C$101,INT((ROW()-6)/17)+1))</f>
        <v/>
      </c>
      <c r="D642" s="6" t="str">
        <f>IF($A642="","",INDEX(Project_Tracker!$T$2:$T$101,INT((ROW()-6)/17)+1))</f>
        <v/>
      </c>
      <c r="E642" s="18">
        <f t="shared" si="45"/>
        <v>8</v>
      </c>
      <c r="F642" s="23" t="str">
        <f>IF($A642="","",INDEX('Logic &amp; Lists'!$I$4:$I$20,$E642))</f>
        <v/>
      </c>
      <c r="G642" s="18" t="str">
        <f>IF($A642="","",INDEX('Logic &amp; Lists'!$J$4:$J$20,$E642))</f>
        <v/>
      </c>
      <c r="H642" s="6" t="str">
        <f t="shared" si="46"/>
        <v/>
      </c>
      <c r="I642" s="18" t="str">
        <f t="shared" ca="1" si="47"/>
        <v/>
      </c>
      <c r="J642" s="5" t="str">
        <f t="shared" si="48"/>
        <v/>
      </c>
      <c r="K642" s="25"/>
      <c r="L642" s="5" t="str">
        <f t="shared" si="49"/>
        <v/>
      </c>
      <c r="M642" s="7"/>
      <c r="N642" s="7"/>
      <c r="O642" s="7"/>
      <c r="P642" s="20" t="str">
        <f>IF($A642="","",INDEX(Project_Tracker!$I$2:$I$101,INT((ROW()-6)/17)+1))</f>
        <v/>
      </c>
      <c r="Q642" s="20" t="str">
        <f>IF($A642="","",INDEX(Project_Tracker!$K$2:$K$101,INT((ROW()-6)/17)+1))</f>
        <v/>
      </c>
    </row>
    <row r="643" spans="1:17" x14ac:dyDescent="0.2">
      <c r="A643" s="20" t="str">
        <f>IF(INDEX(Project_Tracker!$AL$2:$AL$101,INT((ROW()-6)/17)+1)="","",INDEX(Project_Tracker!$AL$2:$AL$101,INT((ROW()-6)/17)+1))</f>
        <v/>
      </c>
      <c r="B643" s="21" t="str">
        <f>IF($A643="","",INDEX(Project_Tracker!$AM$2:$AM$101,INT((ROW()-6)/17)+1))</f>
        <v/>
      </c>
      <c r="C643" s="20" t="str">
        <f>IF($A643="","",INDEX(Project_Tracker!$C$2:$C$101,INT((ROW()-6)/17)+1))</f>
        <v/>
      </c>
      <c r="D643" s="6" t="str">
        <f>IF($A643="","",INDEX(Project_Tracker!$T$2:$T$101,INT((ROW()-6)/17)+1))</f>
        <v/>
      </c>
      <c r="E643" s="18">
        <f t="shared" si="45"/>
        <v>9</v>
      </c>
      <c r="F643" s="23" t="str">
        <f>IF($A643="","",INDEX('Logic &amp; Lists'!$I$4:$I$20,$E643))</f>
        <v/>
      </c>
      <c r="G643" s="18" t="str">
        <f>IF($A643="","",INDEX('Logic &amp; Lists'!$J$4:$J$20,$E643))</f>
        <v/>
      </c>
      <c r="H643" s="6" t="str">
        <f t="shared" si="46"/>
        <v/>
      </c>
      <c r="I643" s="18" t="str">
        <f t="shared" ca="1" si="47"/>
        <v/>
      </c>
      <c r="J643" s="5" t="str">
        <f t="shared" si="48"/>
        <v/>
      </c>
      <c r="K643" s="25"/>
      <c r="L643" s="5" t="str">
        <f t="shared" si="49"/>
        <v/>
      </c>
      <c r="M643" s="7"/>
      <c r="N643" s="7"/>
      <c r="O643" s="7"/>
      <c r="P643" s="20" t="str">
        <f>IF($A643="","",INDEX(Project_Tracker!$I$2:$I$101,INT((ROW()-6)/17)+1))</f>
        <v/>
      </c>
      <c r="Q643" s="20" t="str">
        <f>IF($A643="","",INDEX(Project_Tracker!$K$2:$K$101,INT((ROW()-6)/17)+1))</f>
        <v/>
      </c>
    </row>
    <row r="644" spans="1:17" x14ac:dyDescent="0.2">
      <c r="A644" s="20" t="str">
        <f>IF(INDEX(Project_Tracker!$AL$2:$AL$101,INT((ROW()-6)/17)+1)="","",INDEX(Project_Tracker!$AL$2:$AL$101,INT((ROW()-6)/17)+1))</f>
        <v/>
      </c>
      <c r="B644" s="21" t="str">
        <f>IF($A644="","",INDEX(Project_Tracker!$AM$2:$AM$101,INT((ROW()-6)/17)+1))</f>
        <v/>
      </c>
      <c r="C644" s="20" t="str">
        <f>IF($A644="","",INDEX(Project_Tracker!$C$2:$C$101,INT((ROW()-6)/17)+1))</f>
        <v/>
      </c>
      <c r="D644" s="6" t="str">
        <f>IF($A644="","",INDEX(Project_Tracker!$T$2:$T$101,INT((ROW()-6)/17)+1))</f>
        <v/>
      </c>
      <c r="E644" s="18">
        <f t="shared" si="45"/>
        <v>10</v>
      </c>
      <c r="F644" s="23" t="str">
        <f>IF($A644="","",INDEX('Logic &amp; Lists'!$I$4:$I$20,$E644))</f>
        <v/>
      </c>
      <c r="G644" s="18" t="str">
        <f>IF($A644="","",INDEX('Logic &amp; Lists'!$J$4:$J$20,$E644))</f>
        <v/>
      </c>
      <c r="H644" s="6" t="str">
        <f t="shared" si="46"/>
        <v/>
      </c>
      <c r="I644" s="18" t="str">
        <f t="shared" ca="1" si="47"/>
        <v/>
      </c>
      <c r="J644" s="5" t="str">
        <f t="shared" si="48"/>
        <v/>
      </c>
      <c r="K644" s="25"/>
      <c r="L644" s="5" t="str">
        <f t="shared" si="49"/>
        <v/>
      </c>
      <c r="M644" s="7"/>
      <c r="N644" s="7"/>
      <c r="O644" s="7"/>
      <c r="P644" s="20" t="str">
        <f>IF($A644="","",INDEX(Project_Tracker!$I$2:$I$101,INT((ROW()-6)/17)+1))</f>
        <v/>
      </c>
      <c r="Q644" s="20" t="str">
        <f>IF($A644="","",INDEX(Project_Tracker!$K$2:$K$101,INT((ROW()-6)/17)+1))</f>
        <v/>
      </c>
    </row>
    <row r="645" spans="1:17" x14ac:dyDescent="0.2">
      <c r="A645" s="20" t="str">
        <f>IF(INDEX(Project_Tracker!$AL$2:$AL$101,INT((ROW()-6)/17)+1)="","",INDEX(Project_Tracker!$AL$2:$AL$101,INT((ROW()-6)/17)+1))</f>
        <v/>
      </c>
      <c r="B645" s="21" t="str">
        <f>IF($A645="","",INDEX(Project_Tracker!$AM$2:$AM$101,INT((ROW()-6)/17)+1))</f>
        <v/>
      </c>
      <c r="C645" s="20" t="str">
        <f>IF($A645="","",INDEX(Project_Tracker!$C$2:$C$101,INT((ROW()-6)/17)+1))</f>
        <v/>
      </c>
      <c r="D645" s="6" t="str">
        <f>IF($A645="","",INDEX(Project_Tracker!$T$2:$T$101,INT((ROW()-6)/17)+1))</f>
        <v/>
      </c>
      <c r="E645" s="18">
        <f t="shared" si="45"/>
        <v>11</v>
      </c>
      <c r="F645" s="23" t="str">
        <f>IF($A645="","",INDEX('Logic &amp; Lists'!$I$4:$I$20,$E645))</f>
        <v/>
      </c>
      <c r="G645" s="18" t="str">
        <f>IF($A645="","",INDEX('Logic &amp; Lists'!$J$4:$J$20,$E645))</f>
        <v/>
      </c>
      <c r="H645" s="6" t="str">
        <f t="shared" si="46"/>
        <v/>
      </c>
      <c r="I645" s="18" t="str">
        <f t="shared" ca="1" si="47"/>
        <v/>
      </c>
      <c r="J645" s="5" t="str">
        <f t="shared" si="48"/>
        <v/>
      </c>
      <c r="K645" s="25"/>
      <c r="L645" s="5" t="str">
        <f t="shared" si="49"/>
        <v/>
      </c>
      <c r="M645" s="7"/>
      <c r="N645" s="7"/>
      <c r="O645" s="7"/>
      <c r="P645" s="20" t="str">
        <f>IF($A645="","",INDEX(Project_Tracker!$I$2:$I$101,INT((ROW()-6)/17)+1))</f>
        <v/>
      </c>
      <c r="Q645" s="20" t="str">
        <f>IF($A645="","",INDEX(Project_Tracker!$K$2:$K$101,INT((ROW()-6)/17)+1))</f>
        <v/>
      </c>
    </row>
    <row r="646" spans="1:17" x14ac:dyDescent="0.2">
      <c r="A646" s="20" t="str">
        <f>IF(INDEX(Project_Tracker!$AL$2:$AL$101,INT((ROW()-6)/17)+1)="","",INDEX(Project_Tracker!$AL$2:$AL$101,INT((ROW()-6)/17)+1))</f>
        <v/>
      </c>
      <c r="B646" s="21" t="str">
        <f>IF($A646="","",INDEX(Project_Tracker!$AM$2:$AM$101,INT((ROW()-6)/17)+1))</f>
        <v/>
      </c>
      <c r="C646" s="20" t="str">
        <f>IF($A646="","",INDEX(Project_Tracker!$C$2:$C$101,INT((ROW()-6)/17)+1))</f>
        <v/>
      </c>
      <c r="D646" s="6" t="str">
        <f>IF($A646="","",INDEX(Project_Tracker!$T$2:$T$101,INT((ROW()-6)/17)+1))</f>
        <v/>
      </c>
      <c r="E646" s="18">
        <f t="shared" ref="E646:E709" si="50">MOD(ROW()-6,17)+1</f>
        <v>12</v>
      </c>
      <c r="F646" s="23" t="str">
        <f>IF($A646="","",INDEX('Logic &amp; Lists'!$I$4:$I$20,$E646))</f>
        <v/>
      </c>
      <c r="G646" s="18" t="str">
        <f>IF($A646="","",INDEX('Logic &amp; Lists'!$J$4:$J$20,$E646))</f>
        <v/>
      </c>
      <c r="H646" s="6" t="str">
        <f t="shared" ref="H646:H709" si="51">IF($D646="","",$D646-$G646)</f>
        <v/>
      </c>
      <c r="I646" s="18" t="str">
        <f t="shared" ref="I646:I709" ca="1" si="52">IF($H646="","",$H646-TODAY())</f>
        <v/>
      </c>
      <c r="J646" s="5" t="str">
        <f t="shared" ref="J646:J709" si="53">IF($A646="","",IF($K646&lt;&gt;"","ORDERED",IF($I646&lt;0,"OVERDUE",IF($I646&lt;=7,"URGENT",IF($I646&lt;=14,"PREPARE","OK")))))</f>
        <v/>
      </c>
      <c r="K646" s="25"/>
      <c r="L646" s="5" t="str">
        <f t="shared" ref="L646:L709" si="54">IF($A646="","",IF($K646="",$J646,IF($K646&lt;=$H646,"Ordered On Time","Ordered Late")))</f>
        <v/>
      </c>
      <c r="M646" s="7"/>
      <c r="N646" s="7"/>
      <c r="O646" s="7"/>
      <c r="P646" s="20" t="str">
        <f>IF($A646="","",INDEX(Project_Tracker!$I$2:$I$101,INT((ROW()-6)/17)+1))</f>
        <v/>
      </c>
      <c r="Q646" s="20" t="str">
        <f>IF($A646="","",INDEX(Project_Tracker!$K$2:$K$101,INT((ROW()-6)/17)+1))</f>
        <v/>
      </c>
    </row>
    <row r="647" spans="1:17" x14ac:dyDescent="0.2">
      <c r="A647" s="20" t="str">
        <f>IF(INDEX(Project_Tracker!$AL$2:$AL$101,INT((ROW()-6)/17)+1)="","",INDEX(Project_Tracker!$AL$2:$AL$101,INT((ROW()-6)/17)+1))</f>
        <v/>
      </c>
      <c r="B647" s="21" t="str">
        <f>IF($A647="","",INDEX(Project_Tracker!$AM$2:$AM$101,INT((ROW()-6)/17)+1))</f>
        <v/>
      </c>
      <c r="C647" s="20" t="str">
        <f>IF($A647="","",INDEX(Project_Tracker!$C$2:$C$101,INT((ROW()-6)/17)+1))</f>
        <v/>
      </c>
      <c r="D647" s="6" t="str">
        <f>IF($A647="","",INDEX(Project_Tracker!$T$2:$T$101,INT((ROW()-6)/17)+1))</f>
        <v/>
      </c>
      <c r="E647" s="18">
        <f t="shared" si="50"/>
        <v>13</v>
      </c>
      <c r="F647" s="23" t="str">
        <f>IF($A647="","",INDEX('Logic &amp; Lists'!$I$4:$I$20,$E647))</f>
        <v/>
      </c>
      <c r="G647" s="18" t="str">
        <f>IF($A647="","",INDEX('Logic &amp; Lists'!$J$4:$J$20,$E647))</f>
        <v/>
      </c>
      <c r="H647" s="6" t="str">
        <f t="shared" si="51"/>
        <v/>
      </c>
      <c r="I647" s="18" t="str">
        <f t="shared" ca="1" si="52"/>
        <v/>
      </c>
      <c r="J647" s="5" t="str">
        <f t="shared" si="53"/>
        <v/>
      </c>
      <c r="K647" s="25"/>
      <c r="L647" s="5" t="str">
        <f t="shared" si="54"/>
        <v/>
      </c>
      <c r="M647" s="7"/>
      <c r="N647" s="7"/>
      <c r="O647" s="7"/>
      <c r="P647" s="20" t="str">
        <f>IF($A647="","",INDEX(Project_Tracker!$I$2:$I$101,INT((ROW()-6)/17)+1))</f>
        <v/>
      </c>
      <c r="Q647" s="20" t="str">
        <f>IF($A647="","",INDEX(Project_Tracker!$K$2:$K$101,INT((ROW()-6)/17)+1))</f>
        <v/>
      </c>
    </row>
    <row r="648" spans="1:17" x14ac:dyDescent="0.2">
      <c r="A648" s="20" t="str">
        <f>IF(INDEX(Project_Tracker!$AL$2:$AL$101,INT((ROW()-6)/17)+1)="","",INDEX(Project_Tracker!$AL$2:$AL$101,INT((ROW()-6)/17)+1))</f>
        <v/>
      </c>
      <c r="B648" s="21" t="str">
        <f>IF($A648="","",INDEX(Project_Tracker!$AM$2:$AM$101,INT((ROW()-6)/17)+1))</f>
        <v/>
      </c>
      <c r="C648" s="20" t="str">
        <f>IF($A648="","",INDEX(Project_Tracker!$C$2:$C$101,INT((ROW()-6)/17)+1))</f>
        <v/>
      </c>
      <c r="D648" s="6" t="str">
        <f>IF($A648="","",INDEX(Project_Tracker!$T$2:$T$101,INT((ROW()-6)/17)+1))</f>
        <v/>
      </c>
      <c r="E648" s="18">
        <f t="shared" si="50"/>
        <v>14</v>
      </c>
      <c r="F648" s="23" t="str">
        <f>IF($A648="","",INDEX('Logic &amp; Lists'!$I$4:$I$20,$E648))</f>
        <v/>
      </c>
      <c r="G648" s="18" t="str">
        <f>IF($A648="","",INDEX('Logic &amp; Lists'!$J$4:$J$20,$E648))</f>
        <v/>
      </c>
      <c r="H648" s="6" t="str">
        <f t="shared" si="51"/>
        <v/>
      </c>
      <c r="I648" s="18" t="str">
        <f t="shared" ca="1" si="52"/>
        <v/>
      </c>
      <c r="J648" s="5" t="str">
        <f t="shared" si="53"/>
        <v/>
      </c>
      <c r="K648" s="25"/>
      <c r="L648" s="5" t="str">
        <f t="shared" si="54"/>
        <v/>
      </c>
      <c r="M648" s="7"/>
      <c r="N648" s="7"/>
      <c r="O648" s="7"/>
      <c r="P648" s="20" t="str">
        <f>IF($A648="","",INDEX(Project_Tracker!$I$2:$I$101,INT((ROW()-6)/17)+1))</f>
        <v/>
      </c>
      <c r="Q648" s="20" t="str">
        <f>IF($A648="","",INDEX(Project_Tracker!$K$2:$K$101,INT((ROW()-6)/17)+1))</f>
        <v/>
      </c>
    </row>
    <row r="649" spans="1:17" x14ac:dyDescent="0.2">
      <c r="A649" s="20" t="str">
        <f>IF(INDEX(Project_Tracker!$AL$2:$AL$101,INT((ROW()-6)/17)+1)="","",INDEX(Project_Tracker!$AL$2:$AL$101,INT((ROW()-6)/17)+1))</f>
        <v/>
      </c>
      <c r="B649" s="21" t="str">
        <f>IF($A649="","",INDEX(Project_Tracker!$AM$2:$AM$101,INT((ROW()-6)/17)+1))</f>
        <v/>
      </c>
      <c r="C649" s="20" t="str">
        <f>IF($A649="","",INDEX(Project_Tracker!$C$2:$C$101,INT((ROW()-6)/17)+1))</f>
        <v/>
      </c>
      <c r="D649" s="6" t="str">
        <f>IF($A649="","",INDEX(Project_Tracker!$T$2:$T$101,INT((ROW()-6)/17)+1))</f>
        <v/>
      </c>
      <c r="E649" s="18">
        <f t="shared" si="50"/>
        <v>15</v>
      </c>
      <c r="F649" s="23" t="str">
        <f>IF($A649="","",INDEX('Logic &amp; Lists'!$I$4:$I$20,$E649))</f>
        <v/>
      </c>
      <c r="G649" s="18" t="str">
        <f>IF($A649="","",INDEX('Logic &amp; Lists'!$J$4:$J$20,$E649))</f>
        <v/>
      </c>
      <c r="H649" s="6" t="str">
        <f t="shared" si="51"/>
        <v/>
      </c>
      <c r="I649" s="18" t="str">
        <f t="shared" ca="1" si="52"/>
        <v/>
      </c>
      <c r="J649" s="5" t="str">
        <f t="shared" si="53"/>
        <v/>
      </c>
      <c r="K649" s="25"/>
      <c r="L649" s="5" t="str">
        <f t="shared" si="54"/>
        <v/>
      </c>
      <c r="M649" s="7"/>
      <c r="N649" s="7"/>
      <c r="O649" s="7"/>
      <c r="P649" s="20" t="str">
        <f>IF($A649="","",INDEX(Project_Tracker!$I$2:$I$101,INT((ROW()-6)/17)+1))</f>
        <v/>
      </c>
      <c r="Q649" s="20" t="str">
        <f>IF($A649="","",INDEX(Project_Tracker!$K$2:$K$101,INT((ROW()-6)/17)+1))</f>
        <v/>
      </c>
    </row>
    <row r="650" spans="1:17" x14ac:dyDescent="0.2">
      <c r="A650" s="20" t="str">
        <f>IF(INDEX(Project_Tracker!$AL$2:$AL$101,INT((ROW()-6)/17)+1)="","",INDEX(Project_Tracker!$AL$2:$AL$101,INT((ROW()-6)/17)+1))</f>
        <v/>
      </c>
      <c r="B650" s="21" t="str">
        <f>IF($A650="","",INDEX(Project_Tracker!$AM$2:$AM$101,INT((ROW()-6)/17)+1))</f>
        <v/>
      </c>
      <c r="C650" s="20" t="str">
        <f>IF($A650="","",INDEX(Project_Tracker!$C$2:$C$101,INT((ROW()-6)/17)+1))</f>
        <v/>
      </c>
      <c r="D650" s="6" t="str">
        <f>IF($A650="","",INDEX(Project_Tracker!$T$2:$T$101,INT((ROW()-6)/17)+1))</f>
        <v/>
      </c>
      <c r="E650" s="18">
        <f t="shared" si="50"/>
        <v>16</v>
      </c>
      <c r="F650" s="23" t="str">
        <f>IF($A650="","",INDEX('Logic &amp; Lists'!$I$4:$I$20,$E650))</f>
        <v/>
      </c>
      <c r="G650" s="18" t="str">
        <f>IF($A650="","",INDEX('Logic &amp; Lists'!$J$4:$J$20,$E650))</f>
        <v/>
      </c>
      <c r="H650" s="6" t="str">
        <f t="shared" si="51"/>
        <v/>
      </c>
      <c r="I650" s="18" t="str">
        <f t="shared" ca="1" si="52"/>
        <v/>
      </c>
      <c r="J650" s="5" t="str">
        <f t="shared" si="53"/>
        <v/>
      </c>
      <c r="K650" s="25"/>
      <c r="L650" s="5" t="str">
        <f t="shared" si="54"/>
        <v/>
      </c>
      <c r="M650" s="7"/>
      <c r="N650" s="7"/>
      <c r="O650" s="7"/>
      <c r="P650" s="20" t="str">
        <f>IF($A650="","",INDEX(Project_Tracker!$I$2:$I$101,INT((ROW()-6)/17)+1))</f>
        <v/>
      </c>
      <c r="Q650" s="20" t="str">
        <f>IF($A650="","",INDEX(Project_Tracker!$K$2:$K$101,INT((ROW()-6)/17)+1))</f>
        <v/>
      </c>
    </row>
    <row r="651" spans="1:17" x14ac:dyDescent="0.2">
      <c r="A651" s="20" t="str">
        <f>IF(INDEX(Project_Tracker!$AL$2:$AL$101,INT((ROW()-6)/17)+1)="","",INDEX(Project_Tracker!$AL$2:$AL$101,INT((ROW()-6)/17)+1))</f>
        <v/>
      </c>
      <c r="B651" s="21" t="str">
        <f>IF($A651="","",INDEX(Project_Tracker!$AM$2:$AM$101,INT((ROW()-6)/17)+1))</f>
        <v/>
      </c>
      <c r="C651" s="20" t="str">
        <f>IF($A651="","",INDEX(Project_Tracker!$C$2:$C$101,INT((ROW()-6)/17)+1))</f>
        <v/>
      </c>
      <c r="D651" s="6" t="str">
        <f>IF($A651="","",INDEX(Project_Tracker!$T$2:$T$101,INT((ROW()-6)/17)+1))</f>
        <v/>
      </c>
      <c r="E651" s="18">
        <f t="shared" si="50"/>
        <v>17</v>
      </c>
      <c r="F651" s="23" t="str">
        <f>IF($A651="","",INDEX('Logic &amp; Lists'!$I$4:$I$20,$E651))</f>
        <v/>
      </c>
      <c r="G651" s="18" t="str">
        <f>IF($A651="","",INDEX('Logic &amp; Lists'!$J$4:$J$20,$E651))</f>
        <v/>
      </c>
      <c r="H651" s="6" t="str">
        <f t="shared" si="51"/>
        <v/>
      </c>
      <c r="I651" s="18" t="str">
        <f t="shared" ca="1" si="52"/>
        <v/>
      </c>
      <c r="J651" s="5" t="str">
        <f t="shared" si="53"/>
        <v/>
      </c>
      <c r="K651" s="25"/>
      <c r="L651" s="5" t="str">
        <f t="shared" si="54"/>
        <v/>
      </c>
      <c r="M651" s="7"/>
      <c r="N651" s="7"/>
      <c r="O651" s="7"/>
      <c r="P651" s="20" t="str">
        <f>IF($A651="","",INDEX(Project_Tracker!$I$2:$I$101,INT((ROW()-6)/17)+1))</f>
        <v/>
      </c>
      <c r="Q651" s="20" t="str">
        <f>IF($A651="","",INDEX(Project_Tracker!$K$2:$K$101,INT((ROW()-6)/17)+1))</f>
        <v/>
      </c>
    </row>
    <row r="652" spans="1:17" x14ac:dyDescent="0.2">
      <c r="A652" s="20" t="str">
        <f>IF(INDEX(Project_Tracker!$AL$2:$AL$101,INT((ROW()-6)/17)+1)="","",INDEX(Project_Tracker!$AL$2:$AL$101,INT((ROW()-6)/17)+1))</f>
        <v/>
      </c>
      <c r="B652" s="21" t="str">
        <f>IF($A652="","",INDEX(Project_Tracker!$AM$2:$AM$101,INT((ROW()-6)/17)+1))</f>
        <v/>
      </c>
      <c r="C652" s="20" t="str">
        <f>IF($A652="","",INDEX(Project_Tracker!$C$2:$C$101,INT((ROW()-6)/17)+1))</f>
        <v/>
      </c>
      <c r="D652" s="6" t="str">
        <f>IF($A652="","",INDEX(Project_Tracker!$T$2:$T$101,INT((ROW()-6)/17)+1))</f>
        <v/>
      </c>
      <c r="E652" s="18">
        <f t="shared" si="50"/>
        <v>1</v>
      </c>
      <c r="F652" s="23" t="str">
        <f>IF($A652="","",INDEX('Logic &amp; Lists'!$I$4:$I$20,$E652))</f>
        <v/>
      </c>
      <c r="G652" s="18" t="str">
        <f>IF($A652="","",INDEX('Logic &amp; Lists'!$J$4:$J$20,$E652))</f>
        <v/>
      </c>
      <c r="H652" s="6" t="str">
        <f t="shared" si="51"/>
        <v/>
      </c>
      <c r="I652" s="18" t="str">
        <f t="shared" ca="1" si="52"/>
        <v/>
      </c>
      <c r="J652" s="5" t="str">
        <f t="shared" si="53"/>
        <v/>
      </c>
      <c r="K652" s="25"/>
      <c r="L652" s="5" t="str">
        <f t="shared" si="54"/>
        <v/>
      </c>
      <c r="M652" s="7"/>
      <c r="N652" s="7"/>
      <c r="O652" s="7"/>
      <c r="P652" s="20" t="str">
        <f>IF($A652="","",INDEX(Project_Tracker!$I$2:$I$101,INT((ROW()-6)/17)+1))</f>
        <v/>
      </c>
      <c r="Q652" s="20" t="str">
        <f>IF($A652="","",INDEX(Project_Tracker!$K$2:$K$101,INT((ROW()-6)/17)+1))</f>
        <v/>
      </c>
    </row>
    <row r="653" spans="1:17" x14ac:dyDescent="0.2">
      <c r="A653" s="20" t="str">
        <f>IF(INDEX(Project_Tracker!$AL$2:$AL$101,INT((ROW()-6)/17)+1)="","",INDEX(Project_Tracker!$AL$2:$AL$101,INT((ROW()-6)/17)+1))</f>
        <v/>
      </c>
      <c r="B653" s="21" t="str">
        <f>IF($A653="","",INDEX(Project_Tracker!$AM$2:$AM$101,INT((ROW()-6)/17)+1))</f>
        <v/>
      </c>
      <c r="C653" s="20" t="str">
        <f>IF($A653="","",INDEX(Project_Tracker!$C$2:$C$101,INT((ROW()-6)/17)+1))</f>
        <v/>
      </c>
      <c r="D653" s="6" t="str">
        <f>IF($A653="","",INDEX(Project_Tracker!$T$2:$T$101,INT((ROW()-6)/17)+1))</f>
        <v/>
      </c>
      <c r="E653" s="18">
        <f t="shared" si="50"/>
        <v>2</v>
      </c>
      <c r="F653" s="23" t="str">
        <f>IF($A653="","",INDEX('Logic &amp; Lists'!$I$4:$I$20,$E653))</f>
        <v/>
      </c>
      <c r="G653" s="18" t="str">
        <f>IF($A653="","",INDEX('Logic &amp; Lists'!$J$4:$J$20,$E653))</f>
        <v/>
      </c>
      <c r="H653" s="6" t="str">
        <f t="shared" si="51"/>
        <v/>
      </c>
      <c r="I653" s="18" t="str">
        <f t="shared" ca="1" si="52"/>
        <v/>
      </c>
      <c r="J653" s="5" t="str">
        <f t="shared" si="53"/>
        <v/>
      </c>
      <c r="K653" s="25"/>
      <c r="L653" s="5" t="str">
        <f t="shared" si="54"/>
        <v/>
      </c>
      <c r="M653" s="7"/>
      <c r="N653" s="7"/>
      <c r="O653" s="7"/>
      <c r="P653" s="20" t="str">
        <f>IF($A653="","",INDEX(Project_Tracker!$I$2:$I$101,INT((ROW()-6)/17)+1))</f>
        <v/>
      </c>
      <c r="Q653" s="20" t="str">
        <f>IF($A653="","",INDEX(Project_Tracker!$K$2:$K$101,INT((ROW()-6)/17)+1))</f>
        <v/>
      </c>
    </row>
    <row r="654" spans="1:17" x14ac:dyDescent="0.2">
      <c r="A654" s="20" t="str">
        <f>IF(INDEX(Project_Tracker!$AL$2:$AL$101,INT((ROW()-6)/17)+1)="","",INDEX(Project_Tracker!$AL$2:$AL$101,INT((ROW()-6)/17)+1))</f>
        <v/>
      </c>
      <c r="B654" s="21" t="str">
        <f>IF($A654="","",INDEX(Project_Tracker!$AM$2:$AM$101,INT((ROW()-6)/17)+1))</f>
        <v/>
      </c>
      <c r="C654" s="20" t="str">
        <f>IF($A654="","",INDEX(Project_Tracker!$C$2:$C$101,INT((ROW()-6)/17)+1))</f>
        <v/>
      </c>
      <c r="D654" s="6" t="str">
        <f>IF($A654="","",INDEX(Project_Tracker!$T$2:$T$101,INT((ROW()-6)/17)+1))</f>
        <v/>
      </c>
      <c r="E654" s="18">
        <f t="shared" si="50"/>
        <v>3</v>
      </c>
      <c r="F654" s="23" t="str">
        <f>IF($A654="","",INDEX('Logic &amp; Lists'!$I$4:$I$20,$E654))</f>
        <v/>
      </c>
      <c r="G654" s="18" t="str">
        <f>IF($A654="","",INDEX('Logic &amp; Lists'!$J$4:$J$20,$E654))</f>
        <v/>
      </c>
      <c r="H654" s="6" t="str">
        <f t="shared" si="51"/>
        <v/>
      </c>
      <c r="I654" s="18" t="str">
        <f t="shared" ca="1" si="52"/>
        <v/>
      </c>
      <c r="J654" s="5" t="str">
        <f t="shared" si="53"/>
        <v/>
      </c>
      <c r="K654" s="25"/>
      <c r="L654" s="5" t="str">
        <f t="shared" si="54"/>
        <v/>
      </c>
      <c r="M654" s="7"/>
      <c r="N654" s="7"/>
      <c r="O654" s="7"/>
      <c r="P654" s="20" t="str">
        <f>IF($A654="","",INDEX(Project_Tracker!$I$2:$I$101,INT((ROW()-6)/17)+1))</f>
        <v/>
      </c>
      <c r="Q654" s="20" t="str">
        <f>IF($A654="","",INDEX(Project_Tracker!$K$2:$K$101,INT((ROW()-6)/17)+1))</f>
        <v/>
      </c>
    </row>
    <row r="655" spans="1:17" x14ac:dyDescent="0.2">
      <c r="A655" s="20" t="str">
        <f>IF(INDEX(Project_Tracker!$AL$2:$AL$101,INT((ROW()-6)/17)+1)="","",INDEX(Project_Tracker!$AL$2:$AL$101,INT((ROW()-6)/17)+1))</f>
        <v/>
      </c>
      <c r="B655" s="21" t="str">
        <f>IF($A655="","",INDEX(Project_Tracker!$AM$2:$AM$101,INT((ROW()-6)/17)+1))</f>
        <v/>
      </c>
      <c r="C655" s="20" t="str">
        <f>IF($A655="","",INDEX(Project_Tracker!$C$2:$C$101,INT((ROW()-6)/17)+1))</f>
        <v/>
      </c>
      <c r="D655" s="6" t="str">
        <f>IF($A655="","",INDEX(Project_Tracker!$T$2:$T$101,INT((ROW()-6)/17)+1))</f>
        <v/>
      </c>
      <c r="E655" s="18">
        <f t="shared" si="50"/>
        <v>4</v>
      </c>
      <c r="F655" s="23" t="str">
        <f>IF($A655="","",INDEX('Logic &amp; Lists'!$I$4:$I$20,$E655))</f>
        <v/>
      </c>
      <c r="G655" s="18" t="str">
        <f>IF($A655="","",INDEX('Logic &amp; Lists'!$J$4:$J$20,$E655))</f>
        <v/>
      </c>
      <c r="H655" s="6" t="str">
        <f t="shared" si="51"/>
        <v/>
      </c>
      <c r="I655" s="18" t="str">
        <f t="shared" ca="1" si="52"/>
        <v/>
      </c>
      <c r="J655" s="5" t="str">
        <f t="shared" si="53"/>
        <v/>
      </c>
      <c r="K655" s="25"/>
      <c r="L655" s="5" t="str">
        <f t="shared" si="54"/>
        <v/>
      </c>
      <c r="M655" s="7"/>
      <c r="N655" s="7"/>
      <c r="O655" s="7"/>
      <c r="P655" s="20" t="str">
        <f>IF($A655="","",INDEX(Project_Tracker!$I$2:$I$101,INT((ROW()-6)/17)+1))</f>
        <v/>
      </c>
      <c r="Q655" s="20" t="str">
        <f>IF($A655="","",INDEX(Project_Tracker!$K$2:$K$101,INT((ROW()-6)/17)+1))</f>
        <v/>
      </c>
    </row>
    <row r="656" spans="1:17" x14ac:dyDescent="0.2">
      <c r="A656" s="20" t="str">
        <f>IF(INDEX(Project_Tracker!$AL$2:$AL$101,INT((ROW()-6)/17)+1)="","",INDEX(Project_Tracker!$AL$2:$AL$101,INT((ROW()-6)/17)+1))</f>
        <v/>
      </c>
      <c r="B656" s="21" t="str">
        <f>IF($A656="","",INDEX(Project_Tracker!$AM$2:$AM$101,INT((ROW()-6)/17)+1))</f>
        <v/>
      </c>
      <c r="C656" s="20" t="str">
        <f>IF($A656="","",INDEX(Project_Tracker!$C$2:$C$101,INT((ROW()-6)/17)+1))</f>
        <v/>
      </c>
      <c r="D656" s="6" t="str">
        <f>IF($A656="","",INDEX(Project_Tracker!$T$2:$T$101,INT((ROW()-6)/17)+1))</f>
        <v/>
      </c>
      <c r="E656" s="18">
        <f t="shared" si="50"/>
        <v>5</v>
      </c>
      <c r="F656" s="23" t="str">
        <f>IF($A656="","",INDEX('Logic &amp; Lists'!$I$4:$I$20,$E656))</f>
        <v/>
      </c>
      <c r="G656" s="18" t="str">
        <f>IF($A656="","",INDEX('Logic &amp; Lists'!$J$4:$J$20,$E656))</f>
        <v/>
      </c>
      <c r="H656" s="6" t="str">
        <f t="shared" si="51"/>
        <v/>
      </c>
      <c r="I656" s="18" t="str">
        <f t="shared" ca="1" si="52"/>
        <v/>
      </c>
      <c r="J656" s="5" t="str">
        <f t="shared" si="53"/>
        <v/>
      </c>
      <c r="K656" s="25"/>
      <c r="L656" s="5" t="str">
        <f t="shared" si="54"/>
        <v/>
      </c>
      <c r="M656" s="7"/>
      <c r="N656" s="7"/>
      <c r="O656" s="7"/>
      <c r="P656" s="20" t="str">
        <f>IF($A656="","",INDEX(Project_Tracker!$I$2:$I$101,INT((ROW()-6)/17)+1))</f>
        <v/>
      </c>
      <c r="Q656" s="20" t="str">
        <f>IF($A656="","",INDEX(Project_Tracker!$K$2:$K$101,INT((ROW()-6)/17)+1))</f>
        <v/>
      </c>
    </row>
    <row r="657" spans="1:17" x14ac:dyDescent="0.2">
      <c r="A657" s="20" t="str">
        <f>IF(INDEX(Project_Tracker!$AL$2:$AL$101,INT((ROW()-6)/17)+1)="","",INDEX(Project_Tracker!$AL$2:$AL$101,INT((ROW()-6)/17)+1))</f>
        <v/>
      </c>
      <c r="B657" s="21" t="str">
        <f>IF($A657="","",INDEX(Project_Tracker!$AM$2:$AM$101,INT((ROW()-6)/17)+1))</f>
        <v/>
      </c>
      <c r="C657" s="20" t="str">
        <f>IF($A657="","",INDEX(Project_Tracker!$C$2:$C$101,INT((ROW()-6)/17)+1))</f>
        <v/>
      </c>
      <c r="D657" s="6" t="str">
        <f>IF($A657="","",INDEX(Project_Tracker!$T$2:$T$101,INT((ROW()-6)/17)+1))</f>
        <v/>
      </c>
      <c r="E657" s="18">
        <f t="shared" si="50"/>
        <v>6</v>
      </c>
      <c r="F657" s="23" t="str">
        <f>IF($A657="","",INDEX('Logic &amp; Lists'!$I$4:$I$20,$E657))</f>
        <v/>
      </c>
      <c r="G657" s="18" t="str">
        <f>IF($A657="","",INDEX('Logic &amp; Lists'!$J$4:$J$20,$E657))</f>
        <v/>
      </c>
      <c r="H657" s="6" t="str">
        <f t="shared" si="51"/>
        <v/>
      </c>
      <c r="I657" s="18" t="str">
        <f t="shared" ca="1" si="52"/>
        <v/>
      </c>
      <c r="J657" s="5" t="str">
        <f t="shared" si="53"/>
        <v/>
      </c>
      <c r="K657" s="25"/>
      <c r="L657" s="5" t="str">
        <f t="shared" si="54"/>
        <v/>
      </c>
      <c r="M657" s="7"/>
      <c r="N657" s="7"/>
      <c r="O657" s="7"/>
      <c r="P657" s="20" t="str">
        <f>IF($A657="","",INDEX(Project_Tracker!$I$2:$I$101,INT((ROW()-6)/17)+1))</f>
        <v/>
      </c>
      <c r="Q657" s="20" t="str">
        <f>IF($A657="","",INDEX(Project_Tracker!$K$2:$K$101,INT((ROW()-6)/17)+1))</f>
        <v/>
      </c>
    </row>
    <row r="658" spans="1:17" x14ac:dyDescent="0.2">
      <c r="A658" s="20" t="str">
        <f>IF(INDEX(Project_Tracker!$AL$2:$AL$101,INT((ROW()-6)/17)+1)="","",INDEX(Project_Tracker!$AL$2:$AL$101,INT((ROW()-6)/17)+1))</f>
        <v/>
      </c>
      <c r="B658" s="21" t="str">
        <f>IF($A658="","",INDEX(Project_Tracker!$AM$2:$AM$101,INT((ROW()-6)/17)+1))</f>
        <v/>
      </c>
      <c r="C658" s="20" t="str">
        <f>IF($A658="","",INDEX(Project_Tracker!$C$2:$C$101,INT((ROW()-6)/17)+1))</f>
        <v/>
      </c>
      <c r="D658" s="6" t="str">
        <f>IF($A658="","",INDEX(Project_Tracker!$T$2:$T$101,INT((ROW()-6)/17)+1))</f>
        <v/>
      </c>
      <c r="E658" s="18">
        <f t="shared" si="50"/>
        <v>7</v>
      </c>
      <c r="F658" s="23" t="str">
        <f>IF($A658="","",INDEX('Logic &amp; Lists'!$I$4:$I$20,$E658))</f>
        <v/>
      </c>
      <c r="G658" s="18" t="str">
        <f>IF($A658="","",INDEX('Logic &amp; Lists'!$J$4:$J$20,$E658))</f>
        <v/>
      </c>
      <c r="H658" s="6" t="str">
        <f t="shared" si="51"/>
        <v/>
      </c>
      <c r="I658" s="18" t="str">
        <f t="shared" ca="1" si="52"/>
        <v/>
      </c>
      <c r="J658" s="5" t="str">
        <f t="shared" si="53"/>
        <v/>
      </c>
      <c r="K658" s="25"/>
      <c r="L658" s="5" t="str">
        <f t="shared" si="54"/>
        <v/>
      </c>
      <c r="M658" s="7"/>
      <c r="N658" s="7"/>
      <c r="O658" s="7"/>
      <c r="P658" s="20" t="str">
        <f>IF($A658="","",INDEX(Project_Tracker!$I$2:$I$101,INT((ROW()-6)/17)+1))</f>
        <v/>
      </c>
      <c r="Q658" s="20" t="str">
        <f>IF($A658="","",INDEX(Project_Tracker!$K$2:$K$101,INT((ROW()-6)/17)+1))</f>
        <v/>
      </c>
    </row>
    <row r="659" spans="1:17" x14ac:dyDescent="0.2">
      <c r="A659" s="20" t="str">
        <f>IF(INDEX(Project_Tracker!$AL$2:$AL$101,INT((ROW()-6)/17)+1)="","",INDEX(Project_Tracker!$AL$2:$AL$101,INT((ROW()-6)/17)+1))</f>
        <v/>
      </c>
      <c r="B659" s="21" t="str">
        <f>IF($A659="","",INDEX(Project_Tracker!$AM$2:$AM$101,INT((ROW()-6)/17)+1))</f>
        <v/>
      </c>
      <c r="C659" s="20" t="str">
        <f>IF($A659="","",INDEX(Project_Tracker!$C$2:$C$101,INT((ROW()-6)/17)+1))</f>
        <v/>
      </c>
      <c r="D659" s="6" t="str">
        <f>IF($A659="","",INDEX(Project_Tracker!$T$2:$T$101,INT((ROW()-6)/17)+1))</f>
        <v/>
      </c>
      <c r="E659" s="18">
        <f t="shared" si="50"/>
        <v>8</v>
      </c>
      <c r="F659" s="23" t="str">
        <f>IF($A659="","",INDEX('Logic &amp; Lists'!$I$4:$I$20,$E659))</f>
        <v/>
      </c>
      <c r="G659" s="18" t="str">
        <f>IF($A659="","",INDEX('Logic &amp; Lists'!$J$4:$J$20,$E659))</f>
        <v/>
      </c>
      <c r="H659" s="6" t="str">
        <f t="shared" si="51"/>
        <v/>
      </c>
      <c r="I659" s="18" t="str">
        <f t="shared" ca="1" si="52"/>
        <v/>
      </c>
      <c r="J659" s="5" t="str">
        <f t="shared" si="53"/>
        <v/>
      </c>
      <c r="K659" s="25"/>
      <c r="L659" s="5" t="str">
        <f t="shared" si="54"/>
        <v/>
      </c>
      <c r="M659" s="7"/>
      <c r="N659" s="7"/>
      <c r="O659" s="7"/>
      <c r="P659" s="20" t="str">
        <f>IF($A659="","",INDEX(Project_Tracker!$I$2:$I$101,INT((ROW()-6)/17)+1))</f>
        <v/>
      </c>
      <c r="Q659" s="20" t="str">
        <f>IF($A659="","",INDEX(Project_Tracker!$K$2:$K$101,INT((ROW()-6)/17)+1))</f>
        <v/>
      </c>
    </row>
    <row r="660" spans="1:17" x14ac:dyDescent="0.2">
      <c r="A660" s="20" t="str">
        <f>IF(INDEX(Project_Tracker!$AL$2:$AL$101,INT((ROW()-6)/17)+1)="","",INDEX(Project_Tracker!$AL$2:$AL$101,INT((ROW()-6)/17)+1))</f>
        <v/>
      </c>
      <c r="B660" s="21" t="str">
        <f>IF($A660="","",INDEX(Project_Tracker!$AM$2:$AM$101,INT((ROW()-6)/17)+1))</f>
        <v/>
      </c>
      <c r="C660" s="20" t="str">
        <f>IF($A660="","",INDEX(Project_Tracker!$C$2:$C$101,INT((ROW()-6)/17)+1))</f>
        <v/>
      </c>
      <c r="D660" s="6" t="str">
        <f>IF($A660="","",INDEX(Project_Tracker!$T$2:$T$101,INT((ROW()-6)/17)+1))</f>
        <v/>
      </c>
      <c r="E660" s="18">
        <f t="shared" si="50"/>
        <v>9</v>
      </c>
      <c r="F660" s="23" t="str">
        <f>IF($A660="","",INDEX('Logic &amp; Lists'!$I$4:$I$20,$E660))</f>
        <v/>
      </c>
      <c r="G660" s="18" t="str">
        <f>IF($A660="","",INDEX('Logic &amp; Lists'!$J$4:$J$20,$E660))</f>
        <v/>
      </c>
      <c r="H660" s="6" t="str">
        <f t="shared" si="51"/>
        <v/>
      </c>
      <c r="I660" s="18" t="str">
        <f t="shared" ca="1" si="52"/>
        <v/>
      </c>
      <c r="J660" s="5" t="str">
        <f t="shared" si="53"/>
        <v/>
      </c>
      <c r="K660" s="25"/>
      <c r="L660" s="5" t="str">
        <f t="shared" si="54"/>
        <v/>
      </c>
      <c r="M660" s="7"/>
      <c r="N660" s="7"/>
      <c r="O660" s="7"/>
      <c r="P660" s="20" t="str">
        <f>IF($A660="","",INDEX(Project_Tracker!$I$2:$I$101,INT((ROW()-6)/17)+1))</f>
        <v/>
      </c>
      <c r="Q660" s="20" t="str">
        <f>IF($A660="","",INDEX(Project_Tracker!$K$2:$K$101,INT((ROW()-6)/17)+1))</f>
        <v/>
      </c>
    </row>
    <row r="661" spans="1:17" x14ac:dyDescent="0.2">
      <c r="A661" s="20" t="str">
        <f>IF(INDEX(Project_Tracker!$AL$2:$AL$101,INT((ROW()-6)/17)+1)="","",INDEX(Project_Tracker!$AL$2:$AL$101,INT((ROW()-6)/17)+1))</f>
        <v/>
      </c>
      <c r="B661" s="21" t="str">
        <f>IF($A661="","",INDEX(Project_Tracker!$AM$2:$AM$101,INT((ROW()-6)/17)+1))</f>
        <v/>
      </c>
      <c r="C661" s="20" t="str">
        <f>IF($A661="","",INDEX(Project_Tracker!$C$2:$C$101,INT((ROW()-6)/17)+1))</f>
        <v/>
      </c>
      <c r="D661" s="6" t="str">
        <f>IF($A661="","",INDEX(Project_Tracker!$T$2:$T$101,INT((ROW()-6)/17)+1))</f>
        <v/>
      </c>
      <c r="E661" s="18">
        <f t="shared" si="50"/>
        <v>10</v>
      </c>
      <c r="F661" s="23" t="str">
        <f>IF($A661="","",INDEX('Logic &amp; Lists'!$I$4:$I$20,$E661))</f>
        <v/>
      </c>
      <c r="G661" s="18" t="str">
        <f>IF($A661="","",INDEX('Logic &amp; Lists'!$J$4:$J$20,$E661))</f>
        <v/>
      </c>
      <c r="H661" s="6" t="str">
        <f t="shared" si="51"/>
        <v/>
      </c>
      <c r="I661" s="18" t="str">
        <f t="shared" ca="1" si="52"/>
        <v/>
      </c>
      <c r="J661" s="5" t="str">
        <f t="shared" si="53"/>
        <v/>
      </c>
      <c r="K661" s="25"/>
      <c r="L661" s="5" t="str">
        <f t="shared" si="54"/>
        <v/>
      </c>
      <c r="M661" s="7"/>
      <c r="N661" s="7"/>
      <c r="O661" s="7"/>
      <c r="P661" s="20" t="str">
        <f>IF($A661="","",INDEX(Project_Tracker!$I$2:$I$101,INT((ROW()-6)/17)+1))</f>
        <v/>
      </c>
      <c r="Q661" s="20" t="str">
        <f>IF($A661="","",INDEX(Project_Tracker!$K$2:$K$101,INT((ROW()-6)/17)+1))</f>
        <v/>
      </c>
    </row>
    <row r="662" spans="1:17" x14ac:dyDescent="0.2">
      <c r="A662" s="20" t="str">
        <f>IF(INDEX(Project_Tracker!$AL$2:$AL$101,INT((ROW()-6)/17)+1)="","",INDEX(Project_Tracker!$AL$2:$AL$101,INT((ROW()-6)/17)+1))</f>
        <v/>
      </c>
      <c r="B662" s="21" t="str">
        <f>IF($A662="","",INDEX(Project_Tracker!$AM$2:$AM$101,INT((ROW()-6)/17)+1))</f>
        <v/>
      </c>
      <c r="C662" s="20" t="str">
        <f>IF($A662="","",INDEX(Project_Tracker!$C$2:$C$101,INT((ROW()-6)/17)+1))</f>
        <v/>
      </c>
      <c r="D662" s="6" t="str">
        <f>IF($A662="","",INDEX(Project_Tracker!$T$2:$T$101,INT((ROW()-6)/17)+1))</f>
        <v/>
      </c>
      <c r="E662" s="18">
        <f t="shared" si="50"/>
        <v>11</v>
      </c>
      <c r="F662" s="23" t="str">
        <f>IF($A662="","",INDEX('Logic &amp; Lists'!$I$4:$I$20,$E662))</f>
        <v/>
      </c>
      <c r="G662" s="18" t="str">
        <f>IF($A662="","",INDEX('Logic &amp; Lists'!$J$4:$J$20,$E662))</f>
        <v/>
      </c>
      <c r="H662" s="6" t="str">
        <f t="shared" si="51"/>
        <v/>
      </c>
      <c r="I662" s="18" t="str">
        <f t="shared" ca="1" si="52"/>
        <v/>
      </c>
      <c r="J662" s="5" t="str">
        <f t="shared" si="53"/>
        <v/>
      </c>
      <c r="K662" s="25"/>
      <c r="L662" s="5" t="str">
        <f t="shared" si="54"/>
        <v/>
      </c>
      <c r="M662" s="7"/>
      <c r="N662" s="7"/>
      <c r="O662" s="7"/>
      <c r="P662" s="20" t="str">
        <f>IF($A662="","",INDEX(Project_Tracker!$I$2:$I$101,INT((ROW()-6)/17)+1))</f>
        <v/>
      </c>
      <c r="Q662" s="20" t="str">
        <f>IF($A662="","",INDEX(Project_Tracker!$K$2:$K$101,INT((ROW()-6)/17)+1))</f>
        <v/>
      </c>
    </row>
    <row r="663" spans="1:17" x14ac:dyDescent="0.2">
      <c r="A663" s="20" t="str">
        <f>IF(INDEX(Project_Tracker!$AL$2:$AL$101,INT((ROW()-6)/17)+1)="","",INDEX(Project_Tracker!$AL$2:$AL$101,INT((ROW()-6)/17)+1))</f>
        <v/>
      </c>
      <c r="B663" s="21" t="str">
        <f>IF($A663="","",INDEX(Project_Tracker!$AM$2:$AM$101,INT((ROW()-6)/17)+1))</f>
        <v/>
      </c>
      <c r="C663" s="20" t="str">
        <f>IF($A663="","",INDEX(Project_Tracker!$C$2:$C$101,INT((ROW()-6)/17)+1))</f>
        <v/>
      </c>
      <c r="D663" s="6" t="str">
        <f>IF($A663="","",INDEX(Project_Tracker!$T$2:$T$101,INT((ROW()-6)/17)+1))</f>
        <v/>
      </c>
      <c r="E663" s="18">
        <f t="shared" si="50"/>
        <v>12</v>
      </c>
      <c r="F663" s="23" t="str">
        <f>IF($A663="","",INDEX('Logic &amp; Lists'!$I$4:$I$20,$E663))</f>
        <v/>
      </c>
      <c r="G663" s="18" t="str">
        <f>IF($A663="","",INDEX('Logic &amp; Lists'!$J$4:$J$20,$E663))</f>
        <v/>
      </c>
      <c r="H663" s="6" t="str">
        <f t="shared" si="51"/>
        <v/>
      </c>
      <c r="I663" s="18" t="str">
        <f t="shared" ca="1" si="52"/>
        <v/>
      </c>
      <c r="J663" s="5" t="str">
        <f t="shared" si="53"/>
        <v/>
      </c>
      <c r="K663" s="25"/>
      <c r="L663" s="5" t="str">
        <f t="shared" si="54"/>
        <v/>
      </c>
      <c r="M663" s="7"/>
      <c r="N663" s="7"/>
      <c r="O663" s="7"/>
      <c r="P663" s="20" t="str">
        <f>IF($A663="","",INDEX(Project_Tracker!$I$2:$I$101,INT((ROW()-6)/17)+1))</f>
        <v/>
      </c>
      <c r="Q663" s="20" t="str">
        <f>IF($A663="","",INDEX(Project_Tracker!$K$2:$K$101,INT((ROW()-6)/17)+1))</f>
        <v/>
      </c>
    </row>
    <row r="664" spans="1:17" x14ac:dyDescent="0.2">
      <c r="A664" s="20" t="str">
        <f>IF(INDEX(Project_Tracker!$AL$2:$AL$101,INT((ROW()-6)/17)+1)="","",INDEX(Project_Tracker!$AL$2:$AL$101,INT((ROW()-6)/17)+1))</f>
        <v/>
      </c>
      <c r="B664" s="21" t="str">
        <f>IF($A664="","",INDEX(Project_Tracker!$AM$2:$AM$101,INT((ROW()-6)/17)+1))</f>
        <v/>
      </c>
      <c r="C664" s="20" t="str">
        <f>IF($A664="","",INDEX(Project_Tracker!$C$2:$C$101,INT((ROW()-6)/17)+1))</f>
        <v/>
      </c>
      <c r="D664" s="6" t="str">
        <f>IF($A664="","",INDEX(Project_Tracker!$T$2:$T$101,INT((ROW()-6)/17)+1))</f>
        <v/>
      </c>
      <c r="E664" s="18">
        <f t="shared" si="50"/>
        <v>13</v>
      </c>
      <c r="F664" s="23" t="str">
        <f>IF($A664="","",INDEX('Logic &amp; Lists'!$I$4:$I$20,$E664))</f>
        <v/>
      </c>
      <c r="G664" s="18" t="str">
        <f>IF($A664="","",INDEX('Logic &amp; Lists'!$J$4:$J$20,$E664))</f>
        <v/>
      </c>
      <c r="H664" s="6" t="str">
        <f t="shared" si="51"/>
        <v/>
      </c>
      <c r="I664" s="18" t="str">
        <f t="shared" ca="1" si="52"/>
        <v/>
      </c>
      <c r="J664" s="5" t="str">
        <f t="shared" si="53"/>
        <v/>
      </c>
      <c r="K664" s="25"/>
      <c r="L664" s="5" t="str">
        <f t="shared" si="54"/>
        <v/>
      </c>
      <c r="M664" s="7"/>
      <c r="N664" s="7"/>
      <c r="O664" s="7"/>
      <c r="P664" s="20" t="str">
        <f>IF($A664="","",INDEX(Project_Tracker!$I$2:$I$101,INT((ROW()-6)/17)+1))</f>
        <v/>
      </c>
      <c r="Q664" s="20" t="str">
        <f>IF($A664="","",INDEX(Project_Tracker!$K$2:$K$101,INT((ROW()-6)/17)+1))</f>
        <v/>
      </c>
    </row>
    <row r="665" spans="1:17" x14ac:dyDescent="0.2">
      <c r="A665" s="20" t="str">
        <f>IF(INDEX(Project_Tracker!$AL$2:$AL$101,INT((ROW()-6)/17)+1)="","",INDEX(Project_Tracker!$AL$2:$AL$101,INT((ROW()-6)/17)+1))</f>
        <v/>
      </c>
      <c r="B665" s="21" t="str">
        <f>IF($A665="","",INDEX(Project_Tracker!$AM$2:$AM$101,INT((ROW()-6)/17)+1))</f>
        <v/>
      </c>
      <c r="C665" s="20" t="str">
        <f>IF($A665="","",INDEX(Project_Tracker!$C$2:$C$101,INT((ROW()-6)/17)+1))</f>
        <v/>
      </c>
      <c r="D665" s="6" t="str">
        <f>IF($A665="","",INDEX(Project_Tracker!$T$2:$T$101,INT((ROW()-6)/17)+1))</f>
        <v/>
      </c>
      <c r="E665" s="18">
        <f t="shared" si="50"/>
        <v>14</v>
      </c>
      <c r="F665" s="23" t="str">
        <f>IF($A665="","",INDEX('Logic &amp; Lists'!$I$4:$I$20,$E665))</f>
        <v/>
      </c>
      <c r="G665" s="18" t="str">
        <f>IF($A665="","",INDEX('Logic &amp; Lists'!$J$4:$J$20,$E665))</f>
        <v/>
      </c>
      <c r="H665" s="6" t="str">
        <f t="shared" si="51"/>
        <v/>
      </c>
      <c r="I665" s="18" t="str">
        <f t="shared" ca="1" si="52"/>
        <v/>
      </c>
      <c r="J665" s="5" t="str">
        <f t="shared" si="53"/>
        <v/>
      </c>
      <c r="K665" s="25"/>
      <c r="L665" s="5" t="str">
        <f t="shared" si="54"/>
        <v/>
      </c>
      <c r="M665" s="7"/>
      <c r="N665" s="7"/>
      <c r="O665" s="7"/>
      <c r="P665" s="20" t="str">
        <f>IF($A665="","",INDEX(Project_Tracker!$I$2:$I$101,INT((ROW()-6)/17)+1))</f>
        <v/>
      </c>
      <c r="Q665" s="20" t="str">
        <f>IF($A665="","",INDEX(Project_Tracker!$K$2:$K$101,INT((ROW()-6)/17)+1))</f>
        <v/>
      </c>
    </row>
    <row r="666" spans="1:17" x14ac:dyDescent="0.2">
      <c r="A666" s="20" t="str">
        <f>IF(INDEX(Project_Tracker!$AL$2:$AL$101,INT((ROW()-6)/17)+1)="","",INDEX(Project_Tracker!$AL$2:$AL$101,INT((ROW()-6)/17)+1))</f>
        <v/>
      </c>
      <c r="B666" s="21" t="str">
        <f>IF($A666="","",INDEX(Project_Tracker!$AM$2:$AM$101,INT((ROW()-6)/17)+1))</f>
        <v/>
      </c>
      <c r="C666" s="20" t="str">
        <f>IF($A666="","",INDEX(Project_Tracker!$C$2:$C$101,INT((ROW()-6)/17)+1))</f>
        <v/>
      </c>
      <c r="D666" s="6" t="str">
        <f>IF($A666="","",INDEX(Project_Tracker!$T$2:$T$101,INT((ROW()-6)/17)+1))</f>
        <v/>
      </c>
      <c r="E666" s="18">
        <f t="shared" si="50"/>
        <v>15</v>
      </c>
      <c r="F666" s="23" t="str">
        <f>IF($A666="","",INDEX('Logic &amp; Lists'!$I$4:$I$20,$E666))</f>
        <v/>
      </c>
      <c r="G666" s="18" t="str">
        <f>IF($A666="","",INDEX('Logic &amp; Lists'!$J$4:$J$20,$E666))</f>
        <v/>
      </c>
      <c r="H666" s="6" t="str">
        <f t="shared" si="51"/>
        <v/>
      </c>
      <c r="I666" s="18" t="str">
        <f t="shared" ca="1" si="52"/>
        <v/>
      </c>
      <c r="J666" s="5" t="str">
        <f t="shared" si="53"/>
        <v/>
      </c>
      <c r="K666" s="25"/>
      <c r="L666" s="5" t="str">
        <f t="shared" si="54"/>
        <v/>
      </c>
      <c r="M666" s="7"/>
      <c r="N666" s="7"/>
      <c r="O666" s="7"/>
      <c r="P666" s="20" t="str">
        <f>IF($A666="","",INDEX(Project_Tracker!$I$2:$I$101,INT((ROW()-6)/17)+1))</f>
        <v/>
      </c>
      <c r="Q666" s="20" t="str">
        <f>IF($A666="","",INDEX(Project_Tracker!$K$2:$K$101,INT((ROW()-6)/17)+1))</f>
        <v/>
      </c>
    </row>
    <row r="667" spans="1:17" x14ac:dyDescent="0.2">
      <c r="A667" s="20" t="str">
        <f>IF(INDEX(Project_Tracker!$AL$2:$AL$101,INT((ROW()-6)/17)+1)="","",INDEX(Project_Tracker!$AL$2:$AL$101,INT((ROW()-6)/17)+1))</f>
        <v/>
      </c>
      <c r="B667" s="21" t="str">
        <f>IF($A667="","",INDEX(Project_Tracker!$AM$2:$AM$101,INT((ROW()-6)/17)+1))</f>
        <v/>
      </c>
      <c r="C667" s="20" t="str">
        <f>IF($A667="","",INDEX(Project_Tracker!$C$2:$C$101,INT((ROW()-6)/17)+1))</f>
        <v/>
      </c>
      <c r="D667" s="6" t="str">
        <f>IF($A667="","",INDEX(Project_Tracker!$T$2:$T$101,INT((ROW()-6)/17)+1))</f>
        <v/>
      </c>
      <c r="E667" s="18">
        <f t="shared" si="50"/>
        <v>16</v>
      </c>
      <c r="F667" s="23" t="str">
        <f>IF($A667="","",INDEX('Logic &amp; Lists'!$I$4:$I$20,$E667))</f>
        <v/>
      </c>
      <c r="G667" s="18" t="str">
        <f>IF($A667="","",INDEX('Logic &amp; Lists'!$J$4:$J$20,$E667))</f>
        <v/>
      </c>
      <c r="H667" s="6" t="str">
        <f t="shared" si="51"/>
        <v/>
      </c>
      <c r="I667" s="18" t="str">
        <f t="shared" ca="1" si="52"/>
        <v/>
      </c>
      <c r="J667" s="5" t="str">
        <f t="shared" si="53"/>
        <v/>
      </c>
      <c r="K667" s="25"/>
      <c r="L667" s="5" t="str">
        <f t="shared" si="54"/>
        <v/>
      </c>
      <c r="M667" s="7"/>
      <c r="N667" s="7"/>
      <c r="O667" s="7"/>
      <c r="P667" s="20" t="str">
        <f>IF($A667="","",INDEX(Project_Tracker!$I$2:$I$101,INT((ROW()-6)/17)+1))</f>
        <v/>
      </c>
      <c r="Q667" s="20" t="str">
        <f>IF($A667="","",INDEX(Project_Tracker!$K$2:$K$101,INT((ROW()-6)/17)+1))</f>
        <v/>
      </c>
    </row>
    <row r="668" spans="1:17" x14ac:dyDescent="0.2">
      <c r="A668" s="20" t="str">
        <f>IF(INDEX(Project_Tracker!$AL$2:$AL$101,INT((ROW()-6)/17)+1)="","",INDEX(Project_Tracker!$AL$2:$AL$101,INT((ROW()-6)/17)+1))</f>
        <v/>
      </c>
      <c r="B668" s="21" t="str">
        <f>IF($A668="","",INDEX(Project_Tracker!$AM$2:$AM$101,INT((ROW()-6)/17)+1))</f>
        <v/>
      </c>
      <c r="C668" s="20" t="str">
        <f>IF($A668="","",INDEX(Project_Tracker!$C$2:$C$101,INT((ROW()-6)/17)+1))</f>
        <v/>
      </c>
      <c r="D668" s="6" t="str">
        <f>IF($A668="","",INDEX(Project_Tracker!$T$2:$T$101,INT((ROW()-6)/17)+1))</f>
        <v/>
      </c>
      <c r="E668" s="18">
        <f t="shared" si="50"/>
        <v>17</v>
      </c>
      <c r="F668" s="23" t="str">
        <f>IF($A668="","",INDEX('Logic &amp; Lists'!$I$4:$I$20,$E668))</f>
        <v/>
      </c>
      <c r="G668" s="18" t="str">
        <f>IF($A668="","",INDEX('Logic &amp; Lists'!$J$4:$J$20,$E668))</f>
        <v/>
      </c>
      <c r="H668" s="6" t="str">
        <f t="shared" si="51"/>
        <v/>
      </c>
      <c r="I668" s="18" t="str">
        <f t="shared" ca="1" si="52"/>
        <v/>
      </c>
      <c r="J668" s="5" t="str">
        <f t="shared" si="53"/>
        <v/>
      </c>
      <c r="K668" s="25"/>
      <c r="L668" s="5" t="str">
        <f t="shared" si="54"/>
        <v/>
      </c>
      <c r="M668" s="7"/>
      <c r="N668" s="7"/>
      <c r="O668" s="7"/>
      <c r="P668" s="20" t="str">
        <f>IF($A668="","",INDEX(Project_Tracker!$I$2:$I$101,INT((ROW()-6)/17)+1))</f>
        <v/>
      </c>
      <c r="Q668" s="20" t="str">
        <f>IF($A668="","",INDEX(Project_Tracker!$K$2:$K$101,INT((ROW()-6)/17)+1))</f>
        <v/>
      </c>
    </row>
    <row r="669" spans="1:17" x14ac:dyDescent="0.2">
      <c r="A669" s="20" t="str">
        <f>IF(INDEX(Project_Tracker!$AL$2:$AL$101,INT((ROW()-6)/17)+1)="","",INDEX(Project_Tracker!$AL$2:$AL$101,INT((ROW()-6)/17)+1))</f>
        <v/>
      </c>
      <c r="B669" s="21" t="str">
        <f>IF($A669="","",INDEX(Project_Tracker!$AM$2:$AM$101,INT((ROW()-6)/17)+1))</f>
        <v/>
      </c>
      <c r="C669" s="20" t="str">
        <f>IF($A669="","",INDEX(Project_Tracker!$C$2:$C$101,INT((ROW()-6)/17)+1))</f>
        <v/>
      </c>
      <c r="D669" s="6" t="str">
        <f>IF($A669="","",INDEX(Project_Tracker!$T$2:$T$101,INT((ROW()-6)/17)+1))</f>
        <v/>
      </c>
      <c r="E669" s="18">
        <f t="shared" si="50"/>
        <v>1</v>
      </c>
      <c r="F669" s="23" t="str">
        <f>IF($A669="","",INDEX('Logic &amp; Lists'!$I$4:$I$20,$E669))</f>
        <v/>
      </c>
      <c r="G669" s="18" t="str">
        <f>IF($A669="","",INDEX('Logic &amp; Lists'!$J$4:$J$20,$E669))</f>
        <v/>
      </c>
      <c r="H669" s="6" t="str">
        <f t="shared" si="51"/>
        <v/>
      </c>
      <c r="I669" s="18" t="str">
        <f t="shared" ca="1" si="52"/>
        <v/>
      </c>
      <c r="J669" s="5" t="str">
        <f t="shared" si="53"/>
        <v/>
      </c>
      <c r="K669" s="25"/>
      <c r="L669" s="5" t="str">
        <f t="shared" si="54"/>
        <v/>
      </c>
      <c r="M669" s="7"/>
      <c r="N669" s="7"/>
      <c r="O669" s="7"/>
      <c r="P669" s="20" t="str">
        <f>IF($A669="","",INDEX(Project_Tracker!$I$2:$I$101,INT((ROW()-6)/17)+1))</f>
        <v/>
      </c>
      <c r="Q669" s="20" t="str">
        <f>IF($A669="","",INDEX(Project_Tracker!$K$2:$K$101,INT((ROW()-6)/17)+1))</f>
        <v/>
      </c>
    </row>
    <row r="670" spans="1:17" x14ac:dyDescent="0.2">
      <c r="A670" s="20" t="str">
        <f>IF(INDEX(Project_Tracker!$AL$2:$AL$101,INT((ROW()-6)/17)+1)="","",INDEX(Project_Tracker!$AL$2:$AL$101,INT((ROW()-6)/17)+1))</f>
        <v/>
      </c>
      <c r="B670" s="21" t="str">
        <f>IF($A670="","",INDEX(Project_Tracker!$AM$2:$AM$101,INT((ROW()-6)/17)+1))</f>
        <v/>
      </c>
      <c r="C670" s="20" t="str">
        <f>IF($A670="","",INDEX(Project_Tracker!$C$2:$C$101,INT((ROW()-6)/17)+1))</f>
        <v/>
      </c>
      <c r="D670" s="6" t="str">
        <f>IF($A670="","",INDEX(Project_Tracker!$T$2:$T$101,INT((ROW()-6)/17)+1))</f>
        <v/>
      </c>
      <c r="E670" s="18">
        <f t="shared" si="50"/>
        <v>2</v>
      </c>
      <c r="F670" s="23" t="str">
        <f>IF($A670="","",INDEX('Logic &amp; Lists'!$I$4:$I$20,$E670))</f>
        <v/>
      </c>
      <c r="G670" s="18" t="str">
        <f>IF($A670="","",INDEX('Logic &amp; Lists'!$J$4:$J$20,$E670))</f>
        <v/>
      </c>
      <c r="H670" s="6" t="str">
        <f t="shared" si="51"/>
        <v/>
      </c>
      <c r="I670" s="18" t="str">
        <f t="shared" ca="1" si="52"/>
        <v/>
      </c>
      <c r="J670" s="5" t="str">
        <f t="shared" si="53"/>
        <v/>
      </c>
      <c r="K670" s="25"/>
      <c r="L670" s="5" t="str">
        <f t="shared" si="54"/>
        <v/>
      </c>
      <c r="M670" s="7"/>
      <c r="N670" s="7"/>
      <c r="O670" s="7"/>
      <c r="P670" s="20" t="str">
        <f>IF($A670="","",INDEX(Project_Tracker!$I$2:$I$101,INT((ROW()-6)/17)+1))</f>
        <v/>
      </c>
      <c r="Q670" s="20" t="str">
        <f>IF($A670="","",INDEX(Project_Tracker!$K$2:$K$101,INT((ROW()-6)/17)+1))</f>
        <v/>
      </c>
    </row>
    <row r="671" spans="1:17" x14ac:dyDescent="0.2">
      <c r="A671" s="20" t="str">
        <f>IF(INDEX(Project_Tracker!$AL$2:$AL$101,INT((ROW()-6)/17)+1)="","",INDEX(Project_Tracker!$AL$2:$AL$101,INT((ROW()-6)/17)+1))</f>
        <v/>
      </c>
      <c r="B671" s="21" t="str">
        <f>IF($A671="","",INDEX(Project_Tracker!$AM$2:$AM$101,INT((ROW()-6)/17)+1))</f>
        <v/>
      </c>
      <c r="C671" s="20" t="str">
        <f>IF($A671="","",INDEX(Project_Tracker!$C$2:$C$101,INT((ROW()-6)/17)+1))</f>
        <v/>
      </c>
      <c r="D671" s="6" t="str">
        <f>IF($A671="","",INDEX(Project_Tracker!$T$2:$T$101,INT((ROW()-6)/17)+1))</f>
        <v/>
      </c>
      <c r="E671" s="18">
        <f t="shared" si="50"/>
        <v>3</v>
      </c>
      <c r="F671" s="23" t="str">
        <f>IF($A671="","",INDEX('Logic &amp; Lists'!$I$4:$I$20,$E671))</f>
        <v/>
      </c>
      <c r="G671" s="18" t="str">
        <f>IF($A671="","",INDEX('Logic &amp; Lists'!$J$4:$J$20,$E671))</f>
        <v/>
      </c>
      <c r="H671" s="6" t="str">
        <f t="shared" si="51"/>
        <v/>
      </c>
      <c r="I671" s="18" t="str">
        <f t="shared" ca="1" si="52"/>
        <v/>
      </c>
      <c r="J671" s="5" t="str">
        <f t="shared" si="53"/>
        <v/>
      </c>
      <c r="K671" s="25"/>
      <c r="L671" s="5" t="str">
        <f t="shared" si="54"/>
        <v/>
      </c>
      <c r="M671" s="7"/>
      <c r="N671" s="7"/>
      <c r="O671" s="7"/>
      <c r="P671" s="20" t="str">
        <f>IF($A671="","",INDEX(Project_Tracker!$I$2:$I$101,INT((ROW()-6)/17)+1))</f>
        <v/>
      </c>
      <c r="Q671" s="20" t="str">
        <f>IF($A671="","",INDEX(Project_Tracker!$K$2:$K$101,INT((ROW()-6)/17)+1))</f>
        <v/>
      </c>
    </row>
    <row r="672" spans="1:17" x14ac:dyDescent="0.2">
      <c r="A672" s="20" t="str">
        <f>IF(INDEX(Project_Tracker!$AL$2:$AL$101,INT((ROW()-6)/17)+1)="","",INDEX(Project_Tracker!$AL$2:$AL$101,INT((ROW()-6)/17)+1))</f>
        <v/>
      </c>
      <c r="B672" s="21" t="str">
        <f>IF($A672="","",INDEX(Project_Tracker!$AM$2:$AM$101,INT((ROW()-6)/17)+1))</f>
        <v/>
      </c>
      <c r="C672" s="20" t="str">
        <f>IF($A672="","",INDEX(Project_Tracker!$C$2:$C$101,INT((ROW()-6)/17)+1))</f>
        <v/>
      </c>
      <c r="D672" s="6" t="str">
        <f>IF($A672="","",INDEX(Project_Tracker!$T$2:$T$101,INT((ROW()-6)/17)+1))</f>
        <v/>
      </c>
      <c r="E672" s="18">
        <f t="shared" si="50"/>
        <v>4</v>
      </c>
      <c r="F672" s="23" t="str">
        <f>IF($A672="","",INDEX('Logic &amp; Lists'!$I$4:$I$20,$E672))</f>
        <v/>
      </c>
      <c r="G672" s="18" t="str">
        <f>IF($A672="","",INDEX('Logic &amp; Lists'!$J$4:$J$20,$E672))</f>
        <v/>
      </c>
      <c r="H672" s="6" t="str">
        <f t="shared" si="51"/>
        <v/>
      </c>
      <c r="I672" s="18" t="str">
        <f t="shared" ca="1" si="52"/>
        <v/>
      </c>
      <c r="J672" s="5" t="str">
        <f t="shared" si="53"/>
        <v/>
      </c>
      <c r="K672" s="25"/>
      <c r="L672" s="5" t="str">
        <f t="shared" si="54"/>
        <v/>
      </c>
      <c r="M672" s="7"/>
      <c r="N672" s="7"/>
      <c r="O672" s="7"/>
      <c r="P672" s="20" t="str">
        <f>IF($A672="","",INDEX(Project_Tracker!$I$2:$I$101,INT((ROW()-6)/17)+1))</f>
        <v/>
      </c>
      <c r="Q672" s="20" t="str">
        <f>IF($A672="","",INDEX(Project_Tracker!$K$2:$K$101,INT((ROW()-6)/17)+1))</f>
        <v/>
      </c>
    </row>
    <row r="673" spans="1:17" x14ac:dyDescent="0.2">
      <c r="A673" s="20" t="str">
        <f>IF(INDEX(Project_Tracker!$AL$2:$AL$101,INT((ROW()-6)/17)+1)="","",INDEX(Project_Tracker!$AL$2:$AL$101,INT((ROW()-6)/17)+1))</f>
        <v/>
      </c>
      <c r="B673" s="21" t="str">
        <f>IF($A673="","",INDEX(Project_Tracker!$AM$2:$AM$101,INT((ROW()-6)/17)+1))</f>
        <v/>
      </c>
      <c r="C673" s="20" t="str">
        <f>IF($A673="","",INDEX(Project_Tracker!$C$2:$C$101,INT((ROW()-6)/17)+1))</f>
        <v/>
      </c>
      <c r="D673" s="6" t="str">
        <f>IF($A673="","",INDEX(Project_Tracker!$T$2:$T$101,INT((ROW()-6)/17)+1))</f>
        <v/>
      </c>
      <c r="E673" s="18">
        <f t="shared" si="50"/>
        <v>5</v>
      </c>
      <c r="F673" s="23" t="str">
        <f>IF($A673="","",INDEX('Logic &amp; Lists'!$I$4:$I$20,$E673))</f>
        <v/>
      </c>
      <c r="G673" s="18" t="str">
        <f>IF($A673="","",INDEX('Logic &amp; Lists'!$J$4:$J$20,$E673))</f>
        <v/>
      </c>
      <c r="H673" s="6" t="str">
        <f t="shared" si="51"/>
        <v/>
      </c>
      <c r="I673" s="18" t="str">
        <f t="shared" ca="1" si="52"/>
        <v/>
      </c>
      <c r="J673" s="5" t="str">
        <f t="shared" si="53"/>
        <v/>
      </c>
      <c r="K673" s="25"/>
      <c r="L673" s="5" t="str">
        <f t="shared" si="54"/>
        <v/>
      </c>
      <c r="M673" s="7"/>
      <c r="N673" s="7"/>
      <c r="O673" s="7"/>
      <c r="P673" s="20" t="str">
        <f>IF($A673="","",INDEX(Project_Tracker!$I$2:$I$101,INT((ROW()-6)/17)+1))</f>
        <v/>
      </c>
      <c r="Q673" s="20" t="str">
        <f>IF($A673="","",INDEX(Project_Tracker!$K$2:$K$101,INT((ROW()-6)/17)+1))</f>
        <v/>
      </c>
    </row>
    <row r="674" spans="1:17" x14ac:dyDescent="0.2">
      <c r="A674" s="20" t="str">
        <f>IF(INDEX(Project_Tracker!$AL$2:$AL$101,INT((ROW()-6)/17)+1)="","",INDEX(Project_Tracker!$AL$2:$AL$101,INT((ROW()-6)/17)+1))</f>
        <v/>
      </c>
      <c r="B674" s="21" t="str">
        <f>IF($A674="","",INDEX(Project_Tracker!$AM$2:$AM$101,INT((ROW()-6)/17)+1))</f>
        <v/>
      </c>
      <c r="C674" s="20" t="str">
        <f>IF($A674="","",INDEX(Project_Tracker!$C$2:$C$101,INT((ROW()-6)/17)+1))</f>
        <v/>
      </c>
      <c r="D674" s="6" t="str">
        <f>IF($A674="","",INDEX(Project_Tracker!$T$2:$T$101,INT((ROW()-6)/17)+1))</f>
        <v/>
      </c>
      <c r="E674" s="18">
        <f t="shared" si="50"/>
        <v>6</v>
      </c>
      <c r="F674" s="23" t="str">
        <f>IF($A674="","",INDEX('Logic &amp; Lists'!$I$4:$I$20,$E674))</f>
        <v/>
      </c>
      <c r="G674" s="18" t="str">
        <f>IF($A674="","",INDEX('Logic &amp; Lists'!$J$4:$J$20,$E674))</f>
        <v/>
      </c>
      <c r="H674" s="6" t="str">
        <f t="shared" si="51"/>
        <v/>
      </c>
      <c r="I674" s="18" t="str">
        <f t="shared" ca="1" si="52"/>
        <v/>
      </c>
      <c r="J674" s="5" t="str">
        <f t="shared" si="53"/>
        <v/>
      </c>
      <c r="K674" s="25"/>
      <c r="L674" s="5" t="str">
        <f t="shared" si="54"/>
        <v/>
      </c>
      <c r="M674" s="7"/>
      <c r="N674" s="7"/>
      <c r="O674" s="7"/>
      <c r="P674" s="20" t="str">
        <f>IF($A674="","",INDEX(Project_Tracker!$I$2:$I$101,INT((ROW()-6)/17)+1))</f>
        <v/>
      </c>
      <c r="Q674" s="20" t="str">
        <f>IF($A674="","",INDEX(Project_Tracker!$K$2:$K$101,INT((ROW()-6)/17)+1))</f>
        <v/>
      </c>
    </row>
    <row r="675" spans="1:17" x14ac:dyDescent="0.2">
      <c r="A675" s="20" t="str">
        <f>IF(INDEX(Project_Tracker!$AL$2:$AL$101,INT((ROW()-6)/17)+1)="","",INDEX(Project_Tracker!$AL$2:$AL$101,INT((ROW()-6)/17)+1))</f>
        <v/>
      </c>
      <c r="B675" s="21" t="str">
        <f>IF($A675="","",INDEX(Project_Tracker!$AM$2:$AM$101,INT((ROW()-6)/17)+1))</f>
        <v/>
      </c>
      <c r="C675" s="20" t="str">
        <f>IF($A675="","",INDEX(Project_Tracker!$C$2:$C$101,INT((ROW()-6)/17)+1))</f>
        <v/>
      </c>
      <c r="D675" s="6" t="str">
        <f>IF($A675="","",INDEX(Project_Tracker!$T$2:$T$101,INT((ROW()-6)/17)+1))</f>
        <v/>
      </c>
      <c r="E675" s="18">
        <f t="shared" si="50"/>
        <v>7</v>
      </c>
      <c r="F675" s="23" t="str">
        <f>IF($A675="","",INDEX('Logic &amp; Lists'!$I$4:$I$20,$E675))</f>
        <v/>
      </c>
      <c r="G675" s="18" t="str">
        <f>IF($A675="","",INDEX('Logic &amp; Lists'!$J$4:$J$20,$E675))</f>
        <v/>
      </c>
      <c r="H675" s="6" t="str">
        <f t="shared" si="51"/>
        <v/>
      </c>
      <c r="I675" s="18" t="str">
        <f t="shared" ca="1" si="52"/>
        <v/>
      </c>
      <c r="J675" s="5" t="str">
        <f t="shared" si="53"/>
        <v/>
      </c>
      <c r="K675" s="25"/>
      <c r="L675" s="5" t="str">
        <f t="shared" si="54"/>
        <v/>
      </c>
      <c r="M675" s="7"/>
      <c r="N675" s="7"/>
      <c r="O675" s="7"/>
      <c r="P675" s="20" t="str">
        <f>IF($A675="","",INDEX(Project_Tracker!$I$2:$I$101,INT((ROW()-6)/17)+1))</f>
        <v/>
      </c>
      <c r="Q675" s="20" t="str">
        <f>IF($A675="","",INDEX(Project_Tracker!$K$2:$K$101,INT((ROW()-6)/17)+1))</f>
        <v/>
      </c>
    </row>
    <row r="676" spans="1:17" x14ac:dyDescent="0.2">
      <c r="A676" s="20" t="str">
        <f>IF(INDEX(Project_Tracker!$AL$2:$AL$101,INT((ROW()-6)/17)+1)="","",INDEX(Project_Tracker!$AL$2:$AL$101,INT((ROW()-6)/17)+1))</f>
        <v/>
      </c>
      <c r="B676" s="21" t="str">
        <f>IF($A676="","",INDEX(Project_Tracker!$AM$2:$AM$101,INT((ROW()-6)/17)+1))</f>
        <v/>
      </c>
      <c r="C676" s="20" t="str">
        <f>IF($A676="","",INDEX(Project_Tracker!$C$2:$C$101,INT((ROW()-6)/17)+1))</f>
        <v/>
      </c>
      <c r="D676" s="6" t="str">
        <f>IF($A676="","",INDEX(Project_Tracker!$T$2:$T$101,INT((ROW()-6)/17)+1))</f>
        <v/>
      </c>
      <c r="E676" s="18">
        <f t="shared" si="50"/>
        <v>8</v>
      </c>
      <c r="F676" s="23" t="str">
        <f>IF($A676="","",INDEX('Logic &amp; Lists'!$I$4:$I$20,$E676))</f>
        <v/>
      </c>
      <c r="G676" s="18" t="str">
        <f>IF($A676="","",INDEX('Logic &amp; Lists'!$J$4:$J$20,$E676))</f>
        <v/>
      </c>
      <c r="H676" s="6" t="str">
        <f t="shared" si="51"/>
        <v/>
      </c>
      <c r="I676" s="18" t="str">
        <f t="shared" ca="1" si="52"/>
        <v/>
      </c>
      <c r="J676" s="5" t="str">
        <f t="shared" si="53"/>
        <v/>
      </c>
      <c r="K676" s="25"/>
      <c r="L676" s="5" t="str">
        <f t="shared" si="54"/>
        <v/>
      </c>
      <c r="M676" s="7"/>
      <c r="N676" s="7"/>
      <c r="O676" s="7"/>
      <c r="P676" s="20" t="str">
        <f>IF($A676="","",INDEX(Project_Tracker!$I$2:$I$101,INT((ROW()-6)/17)+1))</f>
        <v/>
      </c>
      <c r="Q676" s="20" t="str">
        <f>IF($A676="","",INDEX(Project_Tracker!$K$2:$K$101,INT((ROW()-6)/17)+1))</f>
        <v/>
      </c>
    </row>
    <row r="677" spans="1:17" x14ac:dyDescent="0.2">
      <c r="A677" s="20" t="str">
        <f>IF(INDEX(Project_Tracker!$AL$2:$AL$101,INT((ROW()-6)/17)+1)="","",INDEX(Project_Tracker!$AL$2:$AL$101,INT((ROW()-6)/17)+1))</f>
        <v/>
      </c>
      <c r="B677" s="21" t="str">
        <f>IF($A677="","",INDEX(Project_Tracker!$AM$2:$AM$101,INT((ROW()-6)/17)+1))</f>
        <v/>
      </c>
      <c r="C677" s="20" t="str">
        <f>IF($A677="","",INDEX(Project_Tracker!$C$2:$C$101,INT((ROW()-6)/17)+1))</f>
        <v/>
      </c>
      <c r="D677" s="6" t="str">
        <f>IF($A677="","",INDEX(Project_Tracker!$T$2:$T$101,INT((ROW()-6)/17)+1))</f>
        <v/>
      </c>
      <c r="E677" s="18">
        <f t="shared" si="50"/>
        <v>9</v>
      </c>
      <c r="F677" s="23" t="str">
        <f>IF($A677="","",INDEX('Logic &amp; Lists'!$I$4:$I$20,$E677))</f>
        <v/>
      </c>
      <c r="G677" s="18" t="str">
        <f>IF($A677="","",INDEX('Logic &amp; Lists'!$J$4:$J$20,$E677))</f>
        <v/>
      </c>
      <c r="H677" s="6" t="str">
        <f t="shared" si="51"/>
        <v/>
      </c>
      <c r="I677" s="18" t="str">
        <f t="shared" ca="1" si="52"/>
        <v/>
      </c>
      <c r="J677" s="5" t="str">
        <f t="shared" si="53"/>
        <v/>
      </c>
      <c r="K677" s="25"/>
      <c r="L677" s="5" t="str">
        <f t="shared" si="54"/>
        <v/>
      </c>
      <c r="M677" s="7"/>
      <c r="N677" s="7"/>
      <c r="O677" s="7"/>
      <c r="P677" s="20" t="str">
        <f>IF($A677="","",INDEX(Project_Tracker!$I$2:$I$101,INT((ROW()-6)/17)+1))</f>
        <v/>
      </c>
      <c r="Q677" s="20" t="str">
        <f>IF($A677="","",INDEX(Project_Tracker!$K$2:$K$101,INT((ROW()-6)/17)+1))</f>
        <v/>
      </c>
    </row>
    <row r="678" spans="1:17" x14ac:dyDescent="0.2">
      <c r="A678" s="20" t="str">
        <f>IF(INDEX(Project_Tracker!$AL$2:$AL$101,INT((ROW()-6)/17)+1)="","",INDEX(Project_Tracker!$AL$2:$AL$101,INT((ROW()-6)/17)+1))</f>
        <v/>
      </c>
      <c r="B678" s="21" t="str">
        <f>IF($A678="","",INDEX(Project_Tracker!$AM$2:$AM$101,INT((ROW()-6)/17)+1))</f>
        <v/>
      </c>
      <c r="C678" s="20" t="str">
        <f>IF($A678="","",INDEX(Project_Tracker!$C$2:$C$101,INT((ROW()-6)/17)+1))</f>
        <v/>
      </c>
      <c r="D678" s="6" t="str">
        <f>IF($A678="","",INDEX(Project_Tracker!$T$2:$T$101,INT((ROW()-6)/17)+1))</f>
        <v/>
      </c>
      <c r="E678" s="18">
        <f t="shared" si="50"/>
        <v>10</v>
      </c>
      <c r="F678" s="23" t="str">
        <f>IF($A678="","",INDEX('Logic &amp; Lists'!$I$4:$I$20,$E678))</f>
        <v/>
      </c>
      <c r="G678" s="18" t="str">
        <f>IF($A678="","",INDEX('Logic &amp; Lists'!$J$4:$J$20,$E678))</f>
        <v/>
      </c>
      <c r="H678" s="6" t="str">
        <f t="shared" si="51"/>
        <v/>
      </c>
      <c r="I678" s="18" t="str">
        <f t="shared" ca="1" si="52"/>
        <v/>
      </c>
      <c r="J678" s="5" t="str">
        <f t="shared" si="53"/>
        <v/>
      </c>
      <c r="K678" s="25"/>
      <c r="L678" s="5" t="str">
        <f t="shared" si="54"/>
        <v/>
      </c>
      <c r="M678" s="7"/>
      <c r="N678" s="7"/>
      <c r="O678" s="7"/>
      <c r="P678" s="20" t="str">
        <f>IF($A678="","",INDEX(Project_Tracker!$I$2:$I$101,INT((ROW()-6)/17)+1))</f>
        <v/>
      </c>
      <c r="Q678" s="20" t="str">
        <f>IF($A678="","",INDEX(Project_Tracker!$K$2:$K$101,INT((ROW()-6)/17)+1))</f>
        <v/>
      </c>
    </row>
    <row r="679" spans="1:17" x14ac:dyDescent="0.2">
      <c r="A679" s="20" t="str">
        <f>IF(INDEX(Project_Tracker!$AL$2:$AL$101,INT((ROW()-6)/17)+1)="","",INDEX(Project_Tracker!$AL$2:$AL$101,INT((ROW()-6)/17)+1))</f>
        <v/>
      </c>
      <c r="B679" s="21" t="str">
        <f>IF($A679="","",INDEX(Project_Tracker!$AM$2:$AM$101,INT((ROW()-6)/17)+1))</f>
        <v/>
      </c>
      <c r="C679" s="20" t="str">
        <f>IF($A679="","",INDEX(Project_Tracker!$C$2:$C$101,INT((ROW()-6)/17)+1))</f>
        <v/>
      </c>
      <c r="D679" s="6" t="str">
        <f>IF($A679="","",INDEX(Project_Tracker!$T$2:$T$101,INT((ROW()-6)/17)+1))</f>
        <v/>
      </c>
      <c r="E679" s="18">
        <f t="shared" si="50"/>
        <v>11</v>
      </c>
      <c r="F679" s="23" t="str">
        <f>IF($A679="","",INDEX('Logic &amp; Lists'!$I$4:$I$20,$E679))</f>
        <v/>
      </c>
      <c r="G679" s="18" t="str">
        <f>IF($A679="","",INDEX('Logic &amp; Lists'!$J$4:$J$20,$E679))</f>
        <v/>
      </c>
      <c r="H679" s="6" t="str">
        <f t="shared" si="51"/>
        <v/>
      </c>
      <c r="I679" s="18" t="str">
        <f t="shared" ca="1" si="52"/>
        <v/>
      </c>
      <c r="J679" s="5" t="str">
        <f t="shared" si="53"/>
        <v/>
      </c>
      <c r="K679" s="25"/>
      <c r="L679" s="5" t="str">
        <f t="shared" si="54"/>
        <v/>
      </c>
      <c r="M679" s="7"/>
      <c r="N679" s="7"/>
      <c r="O679" s="7"/>
      <c r="P679" s="20" t="str">
        <f>IF($A679="","",INDEX(Project_Tracker!$I$2:$I$101,INT((ROW()-6)/17)+1))</f>
        <v/>
      </c>
      <c r="Q679" s="20" t="str">
        <f>IF($A679="","",INDEX(Project_Tracker!$K$2:$K$101,INT((ROW()-6)/17)+1))</f>
        <v/>
      </c>
    </row>
    <row r="680" spans="1:17" x14ac:dyDescent="0.2">
      <c r="A680" s="20" t="str">
        <f>IF(INDEX(Project_Tracker!$AL$2:$AL$101,INT((ROW()-6)/17)+1)="","",INDEX(Project_Tracker!$AL$2:$AL$101,INT((ROW()-6)/17)+1))</f>
        <v/>
      </c>
      <c r="B680" s="21" t="str">
        <f>IF($A680="","",INDEX(Project_Tracker!$AM$2:$AM$101,INT((ROW()-6)/17)+1))</f>
        <v/>
      </c>
      <c r="C680" s="20" t="str">
        <f>IF($A680="","",INDEX(Project_Tracker!$C$2:$C$101,INT((ROW()-6)/17)+1))</f>
        <v/>
      </c>
      <c r="D680" s="6" t="str">
        <f>IF($A680="","",INDEX(Project_Tracker!$T$2:$T$101,INT((ROW()-6)/17)+1))</f>
        <v/>
      </c>
      <c r="E680" s="18">
        <f t="shared" si="50"/>
        <v>12</v>
      </c>
      <c r="F680" s="23" t="str">
        <f>IF($A680="","",INDEX('Logic &amp; Lists'!$I$4:$I$20,$E680))</f>
        <v/>
      </c>
      <c r="G680" s="18" t="str">
        <f>IF($A680="","",INDEX('Logic &amp; Lists'!$J$4:$J$20,$E680))</f>
        <v/>
      </c>
      <c r="H680" s="6" t="str">
        <f t="shared" si="51"/>
        <v/>
      </c>
      <c r="I680" s="18" t="str">
        <f t="shared" ca="1" si="52"/>
        <v/>
      </c>
      <c r="J680" s="5" t="str">
        <f t="shared" si="53"/>
        <v/>
      </c>
      <c r="K680" s="25"/>
      <c r="L680" s="5" t="str">
        <f t="shared" si="54"/>
        <v/>
      </c>
      <c r="M680" s="7"/>
      <c r="N680" s="7"/>
      <c r="O680" s="7"/>
      <c r="P680" s="20" t="str">
        <f>IF($A680="","",INDEX(Project_Tracker!$I$2:$I$101,INT((ROW()-6)/17)+1))</f>
        <v/>
      </c>
      <c r="Q680" s="20" t="str">
        <f>IF($A680="","",INDEX(Project_Tracker!$K$2:$K$101,INT((ROW()-6)/17)+1))</f>
        <v/>
      </c>
    </row>
    <row r="681" spans="1:17" x14ac:dyDescent="0.2">
      <c r="A681" s="20" t="str">
        <f>IF(INDEX(Project_Tracker!$AL$2:$AL$101,INT((ROW()-6)/17)+1)="","",INDEX(Project_Tracker!$AL$2:$AL$101,INT((ROW()-6)/17)+1))</f>
        <v/>
      </c>
      <c r="B681" s="21" t="str">
        <f>IF($A681="","",INDEX(Project_Tracker!$AM$2:$AM$101,INT((ROW()-6)/17)+1))</f>
        <v/>
      </c>
      <c r="C681" s="20" t="str">
        <f>IF($A681="","",INDEX(Project_Tracker!$C$2:$C$101,INT((ROW()-6)/17)+1))</f>
        <v/>
      </c>
      <c r="D681" s="6" t="str">
        <f>IF($A681="","",INDEX(Project_Tracker!$T$2:$T$101,INT((ROW()-6)/17)+1))</f>
        <v/>
      </c>
      <c r="E681" s="18">
        <f t="shared" si="50"/>
        <v>13</v>
      </c>
      <c r="F681" s="23" t="str">
        <f>IF($A681="","",INDEX('Logic &amp; Lists'!$I$4:$I$20,$E681))</f>
        <v/>
      </c>
      <c r="G681" s="18" t="str">
        <f>IF($A681="","",INDEX('Logic &amp; Lists'!$J$4:$J$20,$E681))</f>
        <v/>
      </c>
      <c r="H681" s="6" t="str">
        <f t="shared" si="51"/>
        <v/>
      </c>
      <c r="I681" s="18" t="str">
        <f t="shared" ca="1" si="52"/>
        <v/>
      </c>
      <c r="J681" s="5" t="str">
        <f t="shared" si="53"/>
        <v/>
      </c>
      <c r="K681" s="25"/>
      <c r="L681" s="5" t="str">
        <f t="shared" si="54"/>
        <v/>
      </c>
      <c r="M681" s="7"/>
      <c r="N681" s="7"/>
      <c r="O681" s="7"/>
      <c r="P681" s="20" t="str">
        <f>IF($A681="","",INDEX(Project_Tracker!$I$2:$I$101,INT((ROW()-6)/17)+1))</f>
        <v/>
      </c>
      <c r="Q681" s="20" t="str">
        <f>IF($A681="","",INDEX(Project_Tracker!$K$2:$K$101,INT((ROW()-6)/17)+1))</f>
        <v/>
      </c>
    </row>
    <row r="682" spans="1:17" x14ac:dyDescent="0.2">
      <c r="A682" s="20" t="str">
        <f>IF(INDEX(Project_Tracker!$AL$2:$AL$101,INT((ROW()-6)/17)+1)="","",INDEX(Project_Tracker!$AL$2:$AL$101,INT((ROW()-6)/17)+1))</f>
        <v/>
      </c>
      <c r="B682" s="21" t="str">
        <f>IF($A682="","",INDEX(Project_Tracker!$AM$2:$AM$101,INT((ROW()-6)/17)+1))</f>
        <v/>
      </c>
      <c r="C682" s="20" t="str">
        <f>IF($A682="","",INDEX(Project_Tracker!$C$2:$C$101,INT((ROW()-6)/17)+1))</f>
        <v/>
      </c>
      <c r="D682" s="6" t="str">
        <f>IF($A682="","",INDEX(Project_Tracker!$T$2:$T$101,INT((ROW()-6)/17)+1))</f>
        <v/>
      </c>
      <c r="E682" s="18">
        <f t="shared" si="50"/>
        <v>14</v>
      </c>
      <c r="F682" s="23" t="str">
        <f>IF($A682="","",INDEX('Logic &amp; Lists'!$I$4:$I$20,$E682))</f>
        <v/>
      </c>
      <c r="G682" s="18" t="str">
        <f>IF($A682="","",INDEX('Logic &amp; Lists'!$J$4:$J$20,$E682))</f>
        <v/>
      </c>
      <c r="H682" s="6" t="str">
        <f t="shared" si="51"/>
        <v/>
      </c>
      <c r="I682" s="18" t="str">
        <f t="shared" ca="1" si="52"/>
        <v/>
      </c>
      <c r="J682" s="5" t="str">
        <f t="shared" si="53"/>
        <v/>
      </c>
      <c r="K682" s="25"/>
      <c r="L682" s="5" t="str">
        <f t="shared" si="54"/>
        <v/>
      </c>
      <c r="M682" s="7"/>
      <c r="N682" s="7"/>
      <c r="O682" s="7"/>
      <c r="P682" s="20" t="str">
        <f>IF($A682="","",INDEX(Project_Tracker!$I$2:$I$101,INT((ROW()-6)/17)+1))</f>
        <v/>
      </c>
      <c r="Q682" s="20" t="str">
        <f>IF($A682="","",INDEX(Project_Tracker!$K$2:$K$101,INT((ROW()-6)/17)+1))</f>
        <v/>
      </c>
    </row>
    <row r="683" spans="1:17" x14ac:dyDescent="0.2">
      <c r="A683" s="20" t="str">
        <f>IF(INDEX(Project_Tracker!$AL$2:$AL$101,INT((ROW()-6)/17)+1)="","",INDEX(Project_Tracker!$AL$2:$AL$101,INT((ROW()-6)/17)+1))</f>
        <v/>
      </c>
      <c r="B683" s="21" t="str">
        <f>IF($A683="","",INDEX(Project_Tracker!$AM$2:$AM$101,INT((ROW()-6)/17)+1))</f>
        <v/>
      </c>
      <c r="C683" s="20" t="str">
        <f>IF($A683="","",INDEX(Project_Tracker!$C$2:$C$101,INT((ROW()-6)/17)+1))</f>
        <v/>
      </c>
      <c r="D683" s="6" t="str">
        <f>IF($A683="","",INDEX(Project_Tracker!$T$2:$T$101,INT((ROW()-6)/17)+1))</f>
        <v/>
      </c>
      <c r="E683" s="18">
        <f t="shared" si="50"/>
        <v>15</v>
      </c>
      <c r="F683" s="23" t="str">
        <f>IF($A683="","",INDEX('Logic &amp; Lists'!$I$4:$I$20,$E683))</f>
        <v/>
      </c>
      <c r="G683" s="18" t="str">
        <f>IF($A683="","",INDEX('Logic &amp; Lists'!$J$4:$J$20,$E683))</f>
        <v/>
      </c>
      <c r="H683" s="6" t="str">
        <f t="shared" si="51"/>
        <v/>
      </c>
      <c r="I683" s="18" t="str">
        <f t="shared" ca="1" si="52"/>
        <v/>
      </c>
      <c r="J683" s="5" t="str">
        <f t="shared" si="53"/>
        <v/>
      </c>
      <c r="K683" s="25"/>
      <c r="L683" s="5" t="str">
        <f t="shared" si="54"/>
        <v/>
      </c>
      <c r="M683" s="7"/>
      <c r="N683" s="7"/>
      <c r="O683" s="7"/>
      <c r="P683" s="20" t="str">
        <f>IF($A683="","",INDEX(Project_Tracker!$I$2:$I$101,INT((ROW()-6)/17)+1))</f>
        <v/>
      </c>
      <c r="Q683" s="20" t="str">
        <f>IF($A683="","",INDEX(Project_Tracker!$K$2:$K$101,INT((ROW()-6)/17)+1))</f>
        <v/>
      </c>
    </row>
    <row r="684" spans="1:17" x14ac:dyDescent="0.2">
      <c r="A684" s="20" t="str">
        <f>IF(INDEX(Project_Tracker!$AL$2:$AL$101,INT((ROW()-6)/17)+1)="","",INDEX(Project_Tracker!$AL$2:$AL$101,INT((ROW()-6)/17)+1))</f>
        <v/>
      </c>
      <c r="B684" s="21" t="str">
        <f>IF($A684="","",INDEX(Project_Tracker!$AM$2:$AM$101,INT((ROW()-6)/17)+1))</f>
        <v/>
      </c>
      <c r="C684" s="20" t="str">
        <f>IF($A684="","",INDEX(Project_Tracker!$C$2:$C$101,INT((ROW()-6)/17)+1))</f>
        <v/>
      </c>
      <c r="D684" s="6" t="str">
        <f>IF($A684="","",INDEX(Project_Tracker!$T$2:$T$101,INT((ROW()-6)/17)+1))</f>
        <v/>
      </c>
      <c r="E684" s="18">
        <f t="shared" si="50"/>
        <v>16</v>
      </c>
      <c r="F684" s="23" t="str">
        <f>IF($A684="","",INDEX('Logic &amp; Lists'!$I$4:$I$20,$E684))</f>
        <v/>
      </c>
      <c r="G684" s="18" t="str">
        <f>IF($A684="","",INDEX('Logic &amp; Lists'!$J$4:$J$20,$E684))</f>
        <v/>
      </c>
      <c r="H684" s="6" t="str">
        <f t="shared" si="51"/>
        <v/>
      </c>
      <c r="I684" s="18" t="str">
        <f t="shared" ca="1" si="52"/>
        <v/>
      </c>
      <c r="J684" s="5" t="str">
        <f t="shared" si="53"/>
        <v/>
      </c>
      <c r="K684" s="25"/>
      <c r="L684" s="5" t="str">
        <f t="shared" si="54"/>
        <v/>
      </c>
      <c r="M684" s="7"/>
      <c r="N684" s="7"/>
      <c r="O684" s="7"/>
      <c r="P684" s="20" t="str">
        <f>IF($A684="","",INDEX(Project_Tracker!$I$2:$I$101,INT((ROW()-6)/17)+1))</f>
        <v/>
      </c>
      <c r="Q684" s="20" t="str">
        <f>IF($A684="","",INDEX(Project_Tracker!$K$2:$K$101,INT((ROW()-6)/17)+1))</f>
        <v/>
      </c>
    </row>
    <row r="685" spans="1:17" x14ac:dyDescent="0.2">
      <c r="A685" s="20" t="str">
        <f>IF(INDEX(Project_Tracker!$AL$2:$AL$101,INT((ROW()-6)/17)+1)="","",INDEX(Project_Tracker!$AL$2:$AL$101,INT((ROW()-6)/17)+1))</f>
        <v/>
      </c>
      <c r="B685" s="21" t="str">
        <f>IF($A685="","",INDEX(Project_Tracker!$AM$2:$AM$101,INT((ROW()-6)/17)+1))</f>
        <v/>
      </c>
      <c r="C685" s="20" t="str">
        <f>IF($A685="","",INDEX(Project_Tracker!$C$2:$C$101,INT((ROW()-6)/17)+1))</f>
        <v/>
      </c>
      <c r="D685" s="6" t="str">
        <f>IF($A685="","",INDEX(Project_Tracker!$T$2:$T$101,INT((ROW()-6)/17)+1))</f>
        <v/>
      </c>
      <c r="E685" s="18">
        <f t="shared" si="50"/>
        <v>17</v>
      </c>
      <c r="F685" s="23" t="str">
        <f>IF($A685="","",INDEX('Logic &amp; Lists'!$I$4:$I$20,$E685))</f>
        <v/>
      </c>
      <c r="G685" s="18" t="str">
        <f>IF($A685="","",INDEX('Logic &amp; Lists'!$J$4:$J$20,$E685))</f>
        <v/>
      </c>
      <c r="H685" s="6" t="str">
        <f t="shared" si="51"/>
        <v/>
      </c>
      <c r="I685" s="18" t="str">
        <f t="shared" ca="1" si="52"/>
        <v/>
      </c>
      <c r="J685" s="5" t="str">
        <f t="shared" si="53"/>
        <v/>
      </c>
      <c r="K685" s="25"/>
      <c r="L685" s="5" t="str">
        <f t="shared" si="54"/>
        <v/>
      </c>
      <c r="M685" s="7"/>
      <c r="N685" s="7"/>
      <c r="O685" s="7"/>
      <c r="P685" s="20" t="str">
        <f>IF($A685="","",INDEX(Project_Tracker!$I$2:$I$101,INT((ROW()-6)/17)+1))</f>
        <v/>
      </c>
      <c r="Q685" s="20" t="str">
        <f>IF($A685="","",INDEX(Project_Tracker!$K$2:$K$101,INT((ROW()-6)/17)+1))</f>
        <v/>
      </c>
    </row>
    <row r="686" spans="1:17" x14ac:dyDescent="0.2">
      <c r="A686" s="20" t="str">
        <f>IF(INDEX(Project_Tracker!$AL$2:$AL$101,INT((ROW()-6)/17)+1)="","",INDEX(Project_Tracker!$AL$2:$AL$101,INT((ROW()-6)/17)+1))</f>
        <v/>
      </c>
      <c r="B686" s="21" t="str">
        <f>IF($A686="","",INDEX(Project_Tracker!$AM$2:$AM$101,INT((ROW()-6)/17)+1))</f>
        <v/>
      </c>
      <c r="C686" s="20" t="str">
        <f>IF($A686="","",INDEX(Project_Tracker!$C$2:$C$101,INT((ROW()-6)/17)+1))</f>
        <v/>
      </c>
      <c r="D686" s="6" t="str">
        <f>IF($A686="","",INDEX(Project_Tracker!$T$2:$T$101,INT((ROW()-6)/17)+1))</f>
        <v/>
      </c>
      <c r="E686" s="18">
        <f t="shared" si="50"/>
        <v>1</v>
      </c>
      <c r="F686" s="23" t="str">
        <f>IF($A686="","",INDEX('Logic &amp; Lists'!$I$4:$I$20,$E686))</f>
        <v/>
      </c>
      <c r="G686" s="18" t="str">
        <f>IF($A686="","",INDEX('Logic &amp; Lists'!$J$4:$J$20,$E686))</f>
        <v/>
      </c>
      <c r="H686" s="6" t="str">
        <f t="shared" si="51"/>
        <v/>
      </c>
      <c r="I686" s="18" t="str">
        <f t="shared" ca="1" si="52"/>
        <v/>
      </c>
      <c r="J686" s="5" t="str">
        <f t="shared" si="53"/>
        <v/>
      </c>
      <c r="K686" s="25"/>
      <c r="L686" s="5" t="str">
        <f t="shared" si="54"/>
        <v/>
      </c>
      <c r="M686" s="7"/>
      <c r="N686" s="7"/>
      <c r="O686" s="7"/>
      <c r="P686" s="20" t="str">
        <f>IF($A686="","",INDEX(Project_Tracker!$I$2:$I$101,INT((ROW()-6)/17)+1))</f>
        <v/>
      </c>
      <c r="Q686" s="20" t="str">
        <f>IF($A686="","",INDEX(Project_Tracker!$K$2:$K$101,INT((ROW()-6)/17)+1))</f>
        <v/>
      </c>
    </row>
    <row r="687" spans="1:17" x14ac:dyDescent="0.2">
      <c r="A687" s="20" t="str">
        <f>IF(INDEX(Project_Tracker!$AL$2:$AL$101,INT((ROW()-6)/17)+1)="","",INDEX(Project_Tracker!$AL$2:$AL$101,INT((ROW()-6)/17)+1))</f>
        <v/>
      </c>
      <c r="B687" s="21" t="str">
        <f>IF($A687="","",INDEX(Project_Tracker!$AM$2:$AM$101,INT((ROW()-6)/17)+1))</f>
        <v/>
      </c>
      <c r="C687" s="20" t="str">
        <f>IF($A687="","",INDEX(Project_Tracker!$C$2:$C$101,INT((ROW()-6)/17)+1))</f>
        <v/>
      </c>
      <c r="D687" s="6" t="str">
        <f>IF($A687="","",INDEX(Project_Tracker!$T$2:$T$101,INT((ROW()-6)/17)+1))</f>
        <v/>
      </c>
      <c r="E687" s="18">
        <f t="shared" si="50"/>
        <v>2</v>
      </c>
      <c r="F687" s="23" t="str">
        <f>IF($A687="","",INDEX('Logic &amp; Lists'!$I$4:$I$20,$E687))</f>
        <v/>
      </c>
      <c r="G687" s="18" t="str">
        <f>IF($A687="","",INDEX('Logic &amp; Lists'!$J$4:$J$20,$E687))</f>
        <v/>
      </c>
      <c r="H687" s="6" t="str">
        <f t="shared" si="51"/>
        <v/>
      </c>
      <c r="I687" s="18" t="str">
        <f t="shared" ca="1" si="52"/>
        <v/>
      </c>
      <c r="J687" s="5" t="str">
        <f t="shared" si="53"/>
        <v/>
      </c>
      <c r="K687" s="25"/>
      <c r="L687" s="5" t="str">
        <f t="shared" si="54"/>
        <v/>
      </c>
      <c r="M687" s="7"/>
      <c r="N687" s="7"/>
      <c r="O687" s="7"/>
      <c r="P687" s="20" t="str">
        <f>IF($A687="","",INDEX(Project_Tracker!$I$2:$I$101,INT((ROW()-6)/17)+1))</f>
        <v/>
      </c>
      <c r="Q687" s="20" t="str">
        <f>IF($A687="","",INDEX(Project_Tracker!$K$2:$K$101,INT((ROW()-6)/17)+1))</f>
        <v/>
      </c>
    </row>
    <row r="688" spans="1:17" x14ac:dyDescent="0.2">
      <c r="A688" s="20" t="str">
        <f>IF(INDEX(Project_Tracker!$AL$2:$AL$101,INT((ROW()-6)/17)+1)="","",INDEX(Project_Tracker!$AL$2:$AL$101,INT((ROW()-6)/17)+1))</f>
        <v/>
      </c>
      <c r="B688" s="21" t="str">
        <f>IF($A688="","",INDEX(Project_Tracker!$AM$2:$AM$101,INT((ROW()-6)/17)+1))</f>
        <v/>
      </c>
      <c r="C688" s="20" t="str">
        <f>IF($A688="","",INDEX(Project_Tracker!$C$2:$C$101,INT((ROW()-6)/17)+1))</f>
        <v/>
      </c>
      <c r="D688" s="6" t="str">
        <f>IF($A688="","",INDEX(Project_Tracker!$T$2:$T$101,INT((ROW()-6)/17)+1))</f>
        <v/>
      </c>
      <c r="E688" s="18">
        <f t="shared" si="50"/>
        <v>3</v>
      </c>
      <c r="F688" s="23" t="str">
        <f>IF($A688="","",INDEX('Logic &amp; Lists'!$I$4:$I$20,$E688))</f>
        <v/>
      </c>
      <c r="G688" s="18" t="str">
        <f>IF($A688="","",INDEX('Logic &amp; Lists'!$J$4:$J$20,$E688))</f>
        <v/>
      </c>
      <c r="H688" s="6" t="str">
        <f t="shared" si="51"/>
        <v/>
      </c>
      <c r="I688" s="18" t="str">
        <f t="shared" ca="1" si="52"/>
        <v/>
      </c>
      <c r="J688" s="5" t="str">
        <f t="shared" si="53"/>
        <v/>
      </c>
      <c r="K688" s="25"/>
      <c r="L688" s="5" t="str">
        <f t="shared" si="54"/>
        <v/>
      </c>
      <c r="M688" s="7"/>
      <c r="N688" s="7"/>
      <c r="O688" s="7"/>
      <c r="P688" s="20" t="str">
        <f>IF($A688="","",INDEX(Project_Tracker!$I$2:$I$101,INT((ROW()-6)/17)+1))</f>
        <v/>
      </c>
      <c r="Q688" s="20" t="str">
        <f>IF($A688="","",INDEX(Project_Tracker!$K$2:$K$101,INT((ROW()-6)/17)+1))</f>
        <v/>
      </c>
    </row>
    <row r="689" spans="1:17" x14ac:dyDescent="0.2">
      <c r="A689" s="20" t="str">
        <f>IF(INDEX(Project_Tracker!$AL$2:$AL$101,INT((ROW()-6)/17)+1)="","",INDEX(Project_Tracker!$AL$2:$AL$101,INT((ROW()-6)/17)+1))</f>
        <v/>
      </c>
      <c r="B689" s="21" t="str">
        <f>IF($A689="","",INDEX(Project_Tracker!$AM$2:$AM$101,INT((ROW()-6)/17)+1))</f>
        <v/>
      </c>
      <c r="C689" s="20" t="str">
        <f>IF($A689="","",INDEX(Project_Tracker!$C$2:$C$101,INT((ROW()-6)/17)+1))</f>
        <v/>
      </c>
      <c r="D689" s="6" t="str">
        <f>IF($A689="","",INDEX(Project_Tracker!$T$2:$T$101,INT((ROW()-6)/17)+1))</f>
        <v/>
      </c>
      <c r="E689" s="18">
        <f t="shared" si="50"/>
        <v>4</v>
      </c>
      <c r="F689" s="23" t="str">
        <f>IF($A689="","",INDEX('Logic &amp; Lists'!$I$4:$I$20,$E689))</f>
        <v/>
      </c>
      <c r="G689" s="18" t="str">
        <f>IF($A689="","",INDEX('Logic &amp; Lists'!$J$4:$J$20,$E689))</f>
        <v/>
      </c>
      <c r="H689" s="6" t="str">
        <f t="shared" si="51"/>
        <v/>
      </c>
      <c r="I689" s="18" t="str">
        <f t="shared" ca="1" si="52"/>
        <v/>
      </c>
      <c r="J689" s="5" t="str">
        <f t="shared" si="53"/>
        <v/>
      </c>
      <c r="K689" s="25"/>
      <c r="L689" s="5" t="str">
        <f t="shared" si="54"/>
        <v/>
      </c>
      <c r="M689" s="7"/>
      <c r="N689" s="7"/>
      <c r="O689" s="7"/>
      <c r="P689" s="20" t="str">
        <f>IF($A689="","",INDEX(Project_Tracker!$I$2:$I$101,INT((ROW()-6)/17)+1))</f>
        <v/>
      </c>
      <c r="Q689" s="20" t="str">
        <f>IF($A689="","",INDEX(Project_Tracker!$K$2:$K$101,INT((ROW()-6)/17)+1))</f>
        <v/>
      </c>
    </row>
    <row r="690" spans="1:17" x14ac:dyDescent="0.2">
      <c r="A690" s="20" t="str">
        <f>IF(INDEX(Project_Tracker!$AL$2:$AL$101,INT((ROW()-6)/17)+1)="","",INDEX(Project_Tracker!$AL$2:$AL$101,INT((ROW()-6)/17)+1))</f>
        <v/>
      </c>
      <c r="B690" s="21" t="str">
        <f>IF($A690="","",INDEX(Project_Tracker!$AM$2:$AM$101,INT((ROW()-6)/17)+1))</f>
        <v/>
      </c>
      <c r="C690" s="20" t="str">
        <f>IF($A690="","",INDEX(Project_Tracker!$C$2:$C$101,INT((ROW()-6)/17)+1))</f>
        <v/>
      </c>
      <c r="D690" s="6" t="str">
        <f>IF($A690="","",INDEX(Project_Tracker!$T$2:$T$101,INT((ROW()-6)/17)+1))</f>
        <v/>
      </c>
      <c r="E690" s="18">
        <f t="shared" si="50"/>
        <v>5</v>
      </c>
      <c r="F690" s="23" t="str">
        <f>IF($A690="","",INDEX('Logic &amp; Lists'!$I$4:$I$20,$E690))</f>
        <v/>
      </c>
      <c r="G690" s="18" t="str">
        <f>IF($A690="","",INDEX('Logic &amp; Lists'!$J$4:$J$20,$E690))</f>
        <v/>
      </c>
      <c r="H690" s="6" t="str">
        <f t="shared" si="51"/>
        <v/>
      </c>
      <c r="I690" s="18" t="str">
        <f t="shared" ca="1" si="52"/>
        <v/>
      </c>
      <c r="J690" s="5" t="str">
        <f t="shared" si="53"/>
        <v/>
      </c>
      <c r="K690" s="25"/>
      <c r="L690" s="5" t="str">
        <f t="shared" si="54"/>
        <v/>
      </c>
      <c r="M690" s="7"/>
      <c r="N690" s="7"/>
      <c r="O690" s="7"/>
      <c r="P690" s="20" t="str">
        <f>IF($A690="","",INDEX(Project_Tracker!$I$2:$I$101,INT((ROW()-6)/17)+1))</f>
        <v/>
      </c>
      <c r="Q690" s="20" t="str">
        <f>IF($A690="","",INDEX(Project_Tracker!$K$2:$K$101,INT((ROW()-6)/17)+1))</f>
        <v/>
      </c>
    </row>
    <row r="691" spans="1:17" x14ac:dyDescent="0.2">
      <c r="A691" s="20" t="str">
        <f>IF(INDEX(Project_Tracker!$AL$2:$AL$101,INT((ROW()-6)/17)+1)="","",INDEX(Project_Tracker!$AL$2:$AL$101,INT((ROW()-6)/17)+1))</f>
        <v/>
      </c>
      <c r="B691" s="21" t="str">
        <f>IF($A691="","",INDEX(Project_Tracker!$AM$2:$AM$101,INT((ROW()-6)/17)+1))</f>
        <v/>
      </c>
      <c r="C691" s="20" t="str">
        <f>IF($A691="","",INDEX(Project_Tracker!$C$2:$C$101,INT((ROW()-6)/17)+1))</f>
        <v/>
      </c>
      <c r="D691" s="6" t="str">
        <f>IF($A691="","",INDEX(Project_Tracker!$T$2:$T$101,INT((ROW()-6)/17)+1))</f>
        <v/>
      </c>
      <c r="E691" s="18">
        <f t="shared" si="50"/>
        <v>6</v>
      </c>
      <c r="F691" s="23" t="str">
        <f>IF($A691="","",INDEX('Logic &amp; Lists'!$I$4:$I$20,$E691))</f>
        <v/>
      </c>
      <c r="G691" s="18" t="str">
        <f>IF($A691="","",INDEX('Logic &amp; Lists'!$J$4:$J$20,$E691))</f>
        <v/>
      </c>
      <c r="H691" s="6" t="str">
        <f t="shared" si="51"/>
        <v/>
      </c>
      <c r="I691" s="18" t="str">
        <f t="shared" ca="1" si="52"/>
        <v/>
      </c>
      <c r="J691" s="5" t="str">
        <f t="shared" si="53"/>
        <v/>
      </c>
      <c r="K691" s="25"/>
      <c r="L691" s="5" t="str">
        <f t="shared" si="54"/>
        <v/>
      </c>
      <c r="M691" s="7"/>
      <c r="N691" s="7"/>
      <c r="O691" s="7"/>
      <c r="P691" s="20" t="str">
        <f>IF($A691="","",INDEX(Project_Tracker!$I$2:$I$101,INT((ROW()-6)/17)+1))</f>
        <v/>
      </c>
      <c r="Q691" s="20" t="str">
        <f>IF($A691="","",INDEX(Project_Tracker!$K$2:$K$101,INT((ROW()-6)/17)+1))</f>
        <v/>
      </c>
    </row>
    <row r="692" spans="1:17" x14ac:dyDescent="0.2">
      <c r="A692" s="20" t="str">
        <f>IF(INDEX(Project_Tracker!$AL$2:$AL$101,INT((ROW()-6)/17)+1)="","",INDEX(Project_Tracker!$AL$2:$AL$101,INT((ROW()-6)/17)+1))</f>
        <v/>
      </c>
      <c r="B692" s="21" t="str">
        <f>IF($A692="","",INDEX(Project_Tracker!$AM$2:$AM$101,INT((ROW()-6)/17)+1))</f>
        <v/>
      </c>
      <c r="C692" s="20" t="str">
        <f>IF($A692="","",INDEX(Project_Tracker!$C$2:$C$101,INT((ROW()-6)/17)+1))</f>
        <v/>
      </c>
      <c r="D692" s="6" t="str">
        <f>IF($A692="","",INDEX(Project_Tracker!$T$2:$T$101,INT((ROW()-6)/17)+1))</f>
        <v/>
      </c>
      <c r="E692" s="18">
        <f t="shared" si="50"/>
        <v>7</v>
      </c>
      <c r="F692" s="23" t="str">
        <f>IF($A692="","",INDEX('Logic &amp; Lists'!$I$4:$I$20,$E692))</f>
        <v/>
      </c>
      <c r="G692" s="18" t="str">
        <f>IF($A692="","",INDEX('Logic &amp; Lists'!$J$4:$J$20,$E692))</f>
        <v/>
      </c>
      <c r="H692" s="6" t="str">
        <f t="shared" si="51"/>
        <v/>
      </c>
      <c r="I692" s="18" t="str">
        <f t="shared" ca="1" si="52"/>
        <v/>
      </c>
      <c r="J692" s="5" t="str">
        <f t="shared" si="53"/>
        <v/>
      </c>
      <c r="K692" s="25"/>
      <c r="L692" s="5" t="str">
        <f t="shared" si="54"/>
        <v/>
      </c>
      <c r="M692" s="7"/>
      <c r="N692" s="7"/>
      <c r="O692" s="7"/>
      <c r="P692" s="20" t="str">
        <f>IF($A692="","",INDEX(Project_Tracker!$I$2:$I$101,INT((ROW()-6)/17)+1))</f>
        <v/>
      </c>
      <c r="Q692" s="20" t="str">
        <f>IF($A692="","",INDEX(Project_Tracker!$K$2:$K$101,INT((ROW()-6)/17)+1))</f>
        <v/>
      </c>
    </row>
    <row r="693" spans="1:17" x14ac:dyDescent="0.2">
      <c r="A693" s="20" t="str">
        <f>IF(INDEX(Project_Tracker!$AL$2:$AL$101,INT((ROW()-6)/17)+1)="","",INDEX(Project_Tracker!$AL$2:$AL$101,INT((ROW()-6)/17)+1))</f>
        <v/>
      </c>
      <c r="B693" s="21" t="str">
        <f>IF($A693="","",INDEX(Project_Tracker!$AM$2:$AM$101,INT((ROW()-6)/17)+1))</f>
        <v/>
      </c>
      <c r="C693" s="20" t="str">
        <f>IF($A693="","",INDEX(Project_Tracker!$C$2:$C$101,INT((ROW()-6)/17)+1))</f>
        <v/>
      </c>
      <c r="D693" s="6" t="str">
        <f>IF($A693="","",INDEX(Project_Tracker!$T$2:$T$101,INT((ROW()-6)/17)+1))</f>
        <v/>
      </c>
      <c r="E693" s="18">
        <f t="shared" si="50"/>
        <v>8</v>
      </c>
      <c r="F693" s="23" t="str">
        <f>IF($A693="","",INDEX('Logic &amp; Lists'!$I$4:$I$20,$E693))</f>
        <v/>
      </c>
      <c r="G693" s="18" t="str">
        <f>IF($A693="","",INDEX('Logic &amp; Lists'!$J$4:$J$20,$E693))</f>
        <v/>
      </c>
      <c r="H693" s="6" t="str">
        <f t="shared" si="51"/>
        <v/>
      </c>
      <c r="I693" s="18" t="str">
        <f t="shared" ca="1" si="52"/>
        <v/>
      </c>
      <c r="J693" s="5" t="str">
        <f t="shared" si="53"/>
        <v/>
      </c>
      <c r="K693" s="25"/>
      <c r="L693" s="5" t="str">
        <f t="shared" si="54"/>
        <v/>
      </c>
      <c r="M693" s="7"/>
      <c r="N693" s="7"/>
      <c r="O693" s="7"/>
      <c r="P693" s="20" t="str">
        <f>IF($A693="","",INDEX(Project_Tracker!$I$2:$I$101,INT((ROW()-6)/17)+1))</f>
        <v/>
      </c>
      <c r="Q693" s="20" t="str">
        <f>IF($A693="","",INDEX(Project_Tracker!$K$2:$K$101,INT((ROW()-6)/17)+1))</f>
        <v/>
      </c>
    </row>
    <row r="694" spans="1:17" x14ac:dyDescent="0.2">
      <c r="A694" s="20" t="str">
        <f>IF(INDEX(Project_Tracker!$AL$2:$AL$101,INT((ROW()-6)/17)+1)="","",INDEX(Project_Tracker!$AL$2:$AL$101,INT((ROW()-6)/17)+1))</f>
        <v/>
      </c>
      <c r="B694" s="21" t="str">
        <f>IF($A694="","",INDEX(Project_Tracker!$AM$2:$AM$101,INT((ROW()-6)/17)+1))</f>
        <v/>
      </c>
      <c r="C694" s="20" t="str">
        <f>IF($A694="","",INDEX(Project_Tracker!$C$2:$C$101,INT((ROW()-6)/17)+1))</f>
        <v/>
      </c>
      <c r="D694" s="6" t="str">
        <f>IF($A694="","",INDEX(Project_Tracker!$T$2:$T$101,INT((ROW()-6)/17)+1))</f>
        <v/>
      </c>
      <c r="E694" s="18">
        <f t="shared" si="50"/>
        <v>9</v>
      </c>
      <c r="F694" s="23" t="str">
        <f>IF($A694="","",INDEX('Logic &amp; Lists'!$I$4:$I$20,$E694))</f>
        <v/>
      </c>
      <c r="G694" s="18" t="str">
        <f>IF($A694="","",INDEX('Logic &amp; Lists'!$J$4:$J$20,$E694))</f>
        <v/>
      </c>
      <c r="H694" s="6" t="str">
        <f t="shared" si="51"/>
        <v/>
      </c>
      <c r="I694" s="18" t="str">
        <f t="shared" ca="1" si="52"/>
        <v/>
      </c>
      <c r="J694" s="5" t="str">
        <f t="shared" si="53"/>
        <v/>
      </c>
      <c r="K694" s="25"/>
      <c r="L694" s="5" t="str">
        <f t="shared" si="54"/>
        <v/>
      </c>
      <c r="M694" s="7"/>
      <c r="N694" s="7"/>
      <c r="O694" s="7"/>
      <c r="P694" s="20" t="str">
        <f>IF($A694="","",INDEX(Project_Tracker!$I$2:$I$101,INT((ROW()-6)/17)+1))</f>
        <v/>
      </c>
      <c r="Q694" s="20" t="str">
        <f>IF($A694="","",INDEX(Project_Tracker!$K$2:$K$101,INT((ROW()-6)/17)+1))</f>
        <v/>
      </c>
    </row>
    <row r="695" spans="1:17" x14ac:dyDescent="0.2">
      <c r="A695" s="20" t="str">
        <f>IF(INDEX(Project_Tracker!$AL$2:$AL$101,INT((ROW()-6)/17)+1)="","",INDEX(Project_Tracker!$AL$2:$AL$101,INT((ROW()-6)/17)+1))</f>
        <v/>
      </c>
      <c r="B695" s="21" t="str">
        <f>IF($A695="","",INDEX(Project_Tracker!$AM$2:$AM$101,INT((ROW()-6)/17)+1))</f>
        <v/>
      </c>
      <c r="C695" s="20" t="str">
        <f>IF($A695="","",INDEX(Project_Tracker!$C$2:$C$101,INT((ROW()-6)/17)+1))</f>
        <v/>
      </c>
      <c r="D695" s="6" t="str">
        <f>IF($A695="","",INDEX(Project_Tracker!$T$2:$T$101,INT((ROW()-6)/17)+1))</f>
        <v/>
      </c>
      <c r="E695" s="18">
        <f t="shared" si="50"/>
        <v>10</v>
      </c>
      <c r="F695" s="23" t="str">
        <f>IF($A695="","",INDEX('Logic &amp; Lists'!$I$4:$I$20,$E695))</f>
        <v/>
      </c>
      <c r="G695" s="18" t="str">
        <f>IF($A695="","",INDEX('Logic &amp; Lists'!$J$4:$J$20,$E695))</f>
        <v/>
      </c>
      <c r="H695" s="6" t="str">
        <f t="shared" si="51"/>
        <v/>
      </c>
      <c r="I695" s="18" t="str">
        <f t="shared" ca="1" si="52"/>
        <v/>
      </c>
      <c r="J695" s="5" t="str">
        <f t="shared" si="53"/>
        <v/>
      </c>
      <c r="K695" s="25"/>
      <c r="L695" s="5" t="str">
        <f t="shared" si="54"/>
        <v/>
      </c>
      <c r="M695" s="7"/>
      <c r="N695" s="7"/>
      <c r="O695" s="7"/>
      <c r="P695" s="20" t="str">
        <f>IF($A695="","",INDEX(Project_Tracker!$I$2:$I$101,INT((ROW()-6)/17)+1))</f>
        <v/>
      </c>
      <c r="Q695" s="20" t="str">
        <f>IF($A695="","",INDEX(Project_Tracker!$K$2:$K$101,INT((ROW()-6)/17)+1))</f>
        <v/>
      </c>
    </row>
    <row r="696" spans="1:17" x14ac:dyDescent="0.2">
      <c r="A696" s="20" t="str">
        <f>IF(INDEX(Project_Tracker!$AL$2:$AL$101,INT((ROW()-6)/17)+1)="","",INDEX(Project_Tracker!$AL$2:$AL$101,INT((ROW()-6)/17)+1))</f>
        <v/>
      </c>
      <c r="B696" s="21" t="str">
        <f>IF($A696="","",INDEX(Project_Tracker!$AM$2:$AM$101,INT((ROW()-6)/17)+1))</f>
        <v/>
      </c>
      <c r="C696" s="20" t="str">
        <f>IF($A696="","",INDEX(Project_Tracker!$C$2:$C$101,INT((ROW()-6)/17)+1))</f>
        <v/>
      </c>
      <c r="D696" s="6" t="str">
        <f>IF($A696="","",INDEX(Project_Tracker!$T$2:$T$101,INT((ROW()-6)/17)+1))</f>
        <v/>
      </c>
      <c r="E696" s="18">
        <f t="shared" si="50"/>
        <v>11</v>
      </c>
      <c r="F696" s="23" t="str">
        <f>IF($A696="","",INDEX('Logic &amp; Lists'!$I$4:$I$20,$E696))</f>
        <v/>
      </c>
      <c r="G696" s="18" t="str">
        <f>IF($A696="","",INDEX('Logic &amp; Lists'!$J$4:$J$20,$E696))</f>
        <v/>
      </c>
      <c r="H696" s="6" t="str">
        <f t="shared" si="51"/>
        <v/>
      </c>
      <c r="I696" s="18" t="str">
        <f t="shared" ca="1" si="52"/>
        <v/>
      </c>
      <c r="J696" s="5" t="str">
        <f t="shared" si="53"/>
        <v/>
      </c>
      <c r="K696" s="25"/>
      <c r="L696" s="5" t="str">
        <f t="shared" si="54"/>
        <v/>
      </c>
      <c r="M696" s="7"/>
      <c r="N696" s="7"/>
      <c r="O696" s="7"/>
      <c r="P696" s="20" t="str">
        <f>IF($A696="","",INDEX(Project_Tracker!$I$2:$I$101,INT((ROW()-6)/17)+1))</f>
        <v/>
      </c>
      <c r="Q696" s="20" t="str">
        <f>IF($A696="","",INDEX(Project_Tracker!$K$2:$K$101,INT((ROW()-6)/17)+1))</f>
        <v/>
      </c>
    </row>
    <row r="697" spans="1:17" x14ac:dyDescent="0.2">
      <c r="A697" s="20" t="str">
        <f>IF(INDEX(Project_Tracker!$AL$2:$AL$101,INT((ROW()-6)/17)+1)="","",INDEX(Project_Tracker!$AL$2:$AL$101,INT((ROW()-6)/17)+1))</f>
        <v/>
      </c>
      <c r="B697" s="21" t="str">
        <f>IF($A697="","",INDEX(Project_Tracker!$AM$2:$AM$101,INT((ROW()-6)/17)+1))</f>
        <v/>
      </c>
      <c r="C697" s="20" t="str">
        <f>IF($A697="","",INDEX(Project_Tracker!$C$2:$C$101,INT((ROW()-6)/17)+1))</f>
        <v/>
      </c>
      <c r="D697" s="6" t="str">
        <f>IF($A697="","",INDEX(Project_Tracker!$T$2:$T$101,INT((ROW()-6)/17)+1))</f>
        <v/>
      </c>
      <c r="E697" s="18">
        <f t="shared" si="50"/>
        <v>12</v>
      </c>
      <c r="F697" s="23" t="str">
        <f>IF($A697="","",INDEX('Logic &amp; Lists'!$I$4:$I$20,$E697))</f>
        <v/>
      </c>
      <c r="G697" s="18" t="str">
        <f>IF($A697="","",INDEX('Logic &amp; Lists'!$J$4:$J$20,$E697))</f>
        <v/>
      </c>
      <c r="H697" s="6" t="str">
        <f t="shared" si="51"/>
        <v/>
      </c>
      <c r="I697" s="18" t="str">
        <f t="shared" ca="1" si="52"/>
        <v/>
      </c>
      <c r="J697" s="5" t="str">
        <f t="shared" si="53"/>
        <v/>
      </c>
      <c r="K697" s="25"/>
      <c r="L697" s="5" t="str">
        <f t="shared" si="54"/>
        <v/>
      </c>
      <c r="M697" s="7"/>
      <c r="N697" s="7"/>
      <c r="O697" s="7"/>
      <c r="P697" s="20" t="str">
        <f>IF($A697="","",INDEX(Project_Tracker!$I$2:$I$101,INT((ROW()-6)/17)+1))</f>
        <v/>
      </c>
      <c r="Q697" s="20" t="str">
        <f>IF($A697="","",INDEX(Project_Tracker!$K$2:$K$101,INT((ROW()-6)/17)+1))</f>
        <v/>
      </c>
    </row>
    <row r="698" spans="1:17" x14ac:dyDescent="0.2">
      <c r="A698" s="20" t="str">
        <f>IF(INDEX(Project_Tracker!$AL$2:$AL$101,INT((ROW()-6)/17)+1)="","",INDEX(Project_Tracker!$AL$2:$AL$101,INT((ROW()-6)/17)+1))</f>
        <v/>
      </c>
      <c r="B698" s="21" t="str">
        <f>IF($A698="","",INDEX(Project_Tracker!$AM$2:$AM$101,INT((ROW()-6)/17)+1))</f>
        <v/>
      </c>
      <c r="C698" s="20" t="str">
        <f>IF($A698="","",INDEX(Project_Tracker!$C$2:$C$101,INT((ROW()-6)/17)+1))</f>
        <v/>
      </c>
      <c r="D698" s="6" t="str">
        <f>IF($A698="","",INDEX(Project_Tracker!$T$2:$T$101,INT((ROW()-6)/17)+1))</f>
        <v/>
      </c>
      <c r="E698" s="18">
        <f t="shared" si="50"/>
        <v>13</v>
      </c>
      <c r="F698" s="23" t="str">
        <f>IF($A698="","",INDEX('Logic &amp; Lists'!$I$4:$I$20,$E698))</f>
        <v/>
      </c>
      <c r="G698" s="18" t="str">
        <f>IF($A698="","",INDEX('Logic &amp; Lists'!$J$4:$J$20,$E698))</f>
        <v/>
      </c>
      <c r="H698" s="6" t="str">
        <f t="shared" si="51"/>
        <v/>
      </c>
      <c r="I698" s="18" t="str">
        <f t="shared" ca="1" si="52"/>
        <v/>
      </c>
      <c r="J698" s="5" t="str">
        <f t="shared" si="53"/>
        <v/>
      </c>
      <c r="K698" s="25"/>
      <c r="L698" s="5" t="str">
        <f t="shared" si="54"/>
        <v/>
      </c>
      <c r="M698" s="7"/>
      <c r="N698" s="7"/>
      <c r="O698" s="7"/>
      <c r="P698" s="20" t="str">
        <f>IF($A698="","",INDEX(Project_Tracker!$I$2:$I$101,INT((ROW()-6)/17)+1))</f>
        <v/>
      </c>
      <c r="Q698" s="20" t="str">
        <f>IF($A698="","",INDEX(Project_Tracker!$K$2:$K$101,INT((ROW()-6)/17)+1))</f>
        <v/>
      </c>
    </row>
    <row r="699" spans="1:17" x14ac:dyDescent="0.2">
      <c r="A699" s="20" t="str">
        <f>IF(INDEX(Project_Tracker!$AL$2:$AL$101,INT((ROW()-6)/17)+1)="","",INDEX(Project_Tracker!$AL$2:$AL$101,INT((ROW()-6)/17)+1))</f>
        <v/>
      </c>
      <c r="B699" s="21" t="str">
        <f>IF($A699="","",INDEX(Project_Tracker!$AM$2:$AM$101,INT((ROW()-6)/17)+1))</f>
        <v/>
      </c>
      <c r="C699" s="20" t="str">
        <f>IF($A699="","",INDEX(Project_Tracker!$C$2:$C$101,INT((ROW()-6)/17)+1))</f>
        <v/>
      </c>
      <c r="D699" s="6" t="str">
        <f>IF($A699="","",INDEX(Project_Tracker!$T$2:$T$101,INT((ROW()-6)/17)+1))</f>
        <v/>
      </c>
      <c r="E699" s="18">
        <f t="shared" si="50"/>
        <v>14</v>
      </c>
      <c r="F699" s="23" t="str">
        <f>IF($A699="","",INDEX('Logic &amp; Lists'!$I$4:$I$20,$E699))</f>
        <v/>
      </c>
      <c r="G699" s="18" t="str">
        <f>IF($A699="","",INDEX('Logic &amp; Lists'!$J$4:$J$20,$E699))</f>
        <v/>
      </c>
      <c r="H699" s="6" t="str">
        <f t="shared" si="51"/>
        <v/>
      </c>
      <c r="I699" s="18" t="str">
        <f t="shared" ca="1" si="52"/>
        <v/>
      </c>
      <c r="J699" s="5" t="str">
        <f t="shared" si="53"/>
        <v/>
      </c>
      <c r="K699" s="25"/>
      <c r="L699" s="5" t="str">
        <f t="shared" si="54"/>
        <v/>
      </c>
      <c r="M699" s="7"/>
      <c r="N699" s="7"/>
      <c r="O699" s="7"/>
      <c r="P699" s="20" t="str">
        <f>IF($A699="","",INDEX(Project_Tracker!$I$2:$I$101,INT((ROW()-6)/17)+1))</f>
        <v/>
      </c>
      <c r="Q699" s="20" t="str">
        <f>IF($A699="","",INDEX(Project_Tracker!$K$2:$K$101,INT((ROW()-6)/17)+1))</f>
        <v/>
      </c>
    </row>
    <row r="700" spans="1:17" x14ac:dyDescent="0.2">
      <c r="A700" s="20" t="str">
        <f>IF(INDEX(Project_Tracker!$AL$2:$AL$101,INT((ROW()-6)/17)+1)="","",INDEX(Project_Tracker!$AL$2:$AL$101,INT((ROW()-6)/17)+1))</f>
        <v/>
      </c>
      <c r="B700" s="21" t="str">
        <f>IF($A700="","",INDEX(Project_Tracker!$AM$2:$AM$101,INT((ROW()-6)/17)+1))</f>
        <v/>
      </c>
      <c r="C700" s="20" t="str">
        <f>IF($A700="","",INDEX(Project_Tracker!$C$2:$C$101,INT((ROW()-6)/17)+1))</f>
        <v/>
      </c>
      <c r="D700" s="6" t="str">
        <f>IF($A700="","",INDEX(Project_Tracker!$T$2:$T$101,INT((ROW()-6)/17)+1))</f>
        <v/>
      </c>
      <c r="E700" s="18">
        <f t="shared" si="50"/>
        <v>15</v>
      </c>
      <c r="F700" s="23" t="str">
        <f>IF($A700="","",INDEX('Logic &amp; Lists'!$I$4:$I$20,$E700))</f>
        <v/>
      </c>
      <c r="G700" s="18" t="str">
        <f>IF($A700="","",INDEX('Logic &amp; Lists'!$J$4:$J$20,$E700))</f>
        <v/>
      </c>
      <c r="H700" s="6" t="str">
        <f t="shared" si="51"/>
        <v/>
      </c>
      <c r="I700" s="18" t="str">
        <f t="shared" ca="1" si="52"/>
        <v/>
      </c>
      <c r="J700" s="5" t="str">
        <f t="shared" si="53"/>
        <v/>
      </c>
      <c r="K700" s="25"/>
      <c r="L700" s="5" t="str">
        <f t="shared" si="54"/>
        <v/>
      </c>
      <c r="M700" s="7"/>
      <c r="N700" s="7"/>
      <c r="O700" s="7"/>
      <c r="P700" s="20" t="str">
        <f>IF($A700="","",INDEX(Project_Tracker!$I$2:$I$101,INT((ROW()-6)/17)+1))</f>
        <v/>
      </c>
      <c r="Q700" s="20" t="str">
        <f>IF($A700="","",INDEX(Project_Tracker!$K$2:$K$101,INT((ROW()-6)/17)+1))</f>
        <v/>
      </c>
    </row>
    <row r="701" spans="1:17" x14ac:dyDescent="0.2">
      <c r="A701" s="20" t="str">
        <f>IF(INDEX(Project_Tracker!$AL$2:$AL$101,INT((ROW()-6)/17)+1)="","",INDEX(Project_Tracker!$AL$2:$AL$101,INT((ROW()-6)/17)+1))</f>
        <v/>
      </c>
      <c r="B701" s="21" t="str">
        <f>IF($A701="","",INDEX(Project_Tracker!$AM$2:$AM$101,INT((ROW()-6)/17)+1))</f>
        <v/>
      </c>
      <c r="C701" s="20" t="str">
        <f>IF($A701="","",INDEX(Project_Tracker!$C$2:$C$101,INT((ROW()-6)/17)+1))</f>
        <v/>
      </c>
      <c r="D701" s="6" t="str">
        <f>IF($A701="","",INDEX(Project_Tracker!$T$2:$T$101,INT((ROW()-6)/17)+1))</f>
        <v/>
      </c>
      <c r="E701" s="18">
        <f t="shared" si="50"/>
        <v>16</v>
      </c>
      <c r="F701" s="23" t="str">
        <f>IF($A701="","",INDEX('Logic &amp; Lists'!$I$4:$I$20,$E701))</f>
        <v/>
      </c>
      <c r="G701" s="18" t="str">
        <f>IF($A701="","",INDEX('Logic &amp; Lists'!$J$4:$J$20,$E701))</f>
        <v/>
      </c>
      <c r="H701" s="6" t="str">
        <f t="shared" si="51"/>
        <v/>
      </c>
      <c r="I701" s="18" t="str">
        <f t="shared" ca="1" si="52"/>
        <v/>
      </c>
      <c r="J701" s="5" t="str">
        <f t="shared" si="53"/>
        <v/>
      </c>
      <c r="K701" s="25"/>
      <c r="L701" s="5" t="str">
        <f t="shared" si="54"/>
        <v/>
      </c>
      <c r="M701" s="7"/>
      <c r="N701" s="7"/>
      <c r="O701" s="7"/>
      <c r="P701" s="20" t="str">
        <f>IF($A701="","",INDEX(Project_Tracker!$I$2:$I$101,INT((ROW()-6)/17)+1))</f>
        <v/>
      </c>
      <c r="Q701" s="20" t="str">
        <f>IF($A701="","",INDEX(Project_Tracker!$K$2:$K$101,INT((ROW()-6)/17)+1))</f>
        <v/>
      </c>
    </row>
    <row r="702" spans="1:17" x14ac:dyDescent="0.2">
      <c r="A702" s="20" t="str">
        <f>IF(INDEX(Project_Tracker!$AL$2:$AL$101,INT((ROW()-6)/17)+1)="","",INDEX(Project_Tracker!$AL$2:$AL$101,INT((ROW()-6)/17)+1))</f>
        <v/>
      </c>
      <c r="B702" s="21" t="str">
        <f>IF($A702="","",INDEX(Project_Tracker!$AM$2:$AM$101,INT((ROW()-6)/17)+1))</f>
        <v/>
      </c>
      <c r="C702" s="20" t="str">
        <f>IF($A702="","",INDEX(Project_Tracker!$C$2:$C$101,INT((ROW()-6)/17)+1))</f>
        <v/>
      </c>
      <c r="D702" s="6" t="str">
        <f>IF($A702="","",INDEX(Project_Tracker!$T$2:$T$101,INT((ROW()-6)/17)+1))</f>
        <v/>
      </c>
      <c r="E702" s="18">
        <f t="shared" si="50"/>
        <v>17</v>
      </c>
      <c r="F702" s="23" t="str">
        <f>IF($A702="","",INDEX('Logic &amp; Lists'!$I$4:$I$20,$E702))</f>
        <v/>
      </c>
      <c r="G702" s="18" t="str">
        <f>IF($A702="","",INDEX('Logic &amp; Lists'!$J$4:$J$20,$E702))</f>
        <v/>
      </c>
      <c r="H702" s="6" t="str">
        <f t="shared" si="51"/>
        <v/>
      </c>
      <c r="I702" s="18" t="str">
        <f t="shared" ca="1" si="52"/>
        <v/>
      </c>
      <c r="J702" s="5" t="str">
        <f t="shared" si="53"/>
        <v/>
      </c>
      <c r="K702" s="25"/>
      <c r="L702" s="5" t="str">
        <f t="shared" si="54"/>
        <v/>
      </c>
      <c r="M702" s="7"/>
      <c r="N702" s="7"/>
      <c r="O702" s="7"/>
      <c r="P702" s="20" t="str">
        <f>IF($A702="","",INDEX(Project_Tracker!$I$2:$I$101,INT((ROW()-6)/17)+1))</f>
        <v/>
      </c>
      <c r="Q702" s="20" t="str">
        <f>IF($A702="","",INDEX(Project_Tracker!$K$2:$K$101,INT((ROW()-6)/17)+1))</f>
        <v/>
      </c>
    </row>
    <row r="703" spans="1:17" x14ac:dyDescent="0.2">
      <c r="A703" s="20" t="str">
        <f>IF(INDEX(Project_Tracker!$AL$2:$AL$101,INT((ROW()-6)/17)+1)="","",INDEX(Project_Tracker!$AL$2:$AL$101,INT((ROW()-6)/17)+1))</f>
        <v/>
      </c>
      <c r="B703" s="21" t="str">
        <f>IF($A703="","",INDEX(Project_Tracker!$AM$2:$AM$101,INT((ROW()-6)/17)+1))</f>
        <v/>
      </c>
      <c r="C703" s="20" t="str">
        <f>IF($A703="","",INDEX(Project_Tracker!$C$2:$C$101,INT((ROW()-6)/17)+1))</f>
        <v/>
      </c>
      <c r="D703" s="6" t="str">
        <f>IF($A703="","",INDEX(Project_Tracker!$T$2:$T$101,INT((ROW()-6)/17)+1))</f>
        <v/>
      </c>
      <c r="E703" s="18">
        <f t="shared" si="50"/>
        <v>1</v>
      </c>
      <c r="F703" s="23" t="str">
        <f>IF($A703="","",INDEX('Logic &amp; Lists'!$I$4:$I$20,$E703))</f>
        <v/>
      </c>
      <c r="G703" s="18" t="str">
        <f>IF($A703="","",INDEX('Logic &amp; Lists'!$J$4:$J$20,$E703))</f>
        <v/>
      </c>
      <c r="H703" s="6" t="str">
        <f t="shared" si="51"/>
        <v/>
      </c>
      <c r="I703" s="18" t="str">
        <f t="shared" ca="1" si="52"/>
        <v/>
      </c>
      <c r="J703" s="5" t="str">
        <f t="shared" si="53"/>
        <v/>
      </c>
      <c r="K703" s="25"/>
      <c r="L703" s="5" t="str">
        <f t="shared" si="54"/>
        <v/>
      </c>
      <c r="M703" s="7"/>
      <c r="N703" s="7"/>
      <c r="O703" s="7"/>
      <c r="P703" s="20" t="str">
        <f>IF($A703="","",INDEX(Project_Tracker!$I$2:$I$101,INT((ROW()-6)/17)+1))</f>
        <v/>
      </c>
      <c r="Q703" s="20" t="str">
        <f>IF($A703="","",INDEX(Project_Tracker!$K$2:$K$101,INT((ROW()-6)/17)+1))</f>
        <v/>
      </c>
    </row>
    <row r="704" spans="1:17" x14ac:dyDescent="0.2">
      <c r="A704" s="20" t="str">
        <f>IF(INDEX(Project_Tracker!$AL$2:$AL$101,INT((ROW()-6)/17)+1)="","",INDEX(Project_Tracker!$AL$2:$AL$101,INT((ROW()-6)/17)+1))</f>
        <v/>
      </c>
      <c r="B704" s="21" t="str">
        <f>IF($A704="","",INDEX(Project_Tracker!$AM$2:$AM$101,INT((ROW()-6)/17)+1))</f>
        <v/>
      </c>
      <c r="C704" s="20" t="str">
        <f>IF($A704="","",INDEX(Project_Tracker!$C$2:$C$101,INT((ROW()-6)/17)+1))</f>
        <v/>
      </c>
      <c r="D704" s="6" t="str">
        <f>IF($A704="","",INDEX(Project_Tracker!$T$2:$T$101,INT((ROW()-6)/17)+1))</f>
        <v/>
      </c>
      <c r="E704" s="18">
        <f t="shared" si="50"/>
        <v>2</v>
      </c>
      <c r="F704" s="23" t="str">
        <f>IF($A704="","",INDEX('Logic &amp; Lists'!$I$4:$I$20,$E704))</f>
        <v/>
      </c>
      <c r="G704" s="18" t="str">
        <f>IF($A704="","",INDEX('Logic &amp; Lists'!$J$4:$J$20,$E704))</f>
        <v/>
      </c>
      <c r="H704" s="6" t="str">
        <f t="shared" si="51"/>
        <v/>
      </c>
      <c r="I704" s="18" t="str">
        <f t="shared" ca="1" si="52"/>
        <v/>
      </c>
      <c r="J704" s="5" t="str">
        <f t="shared" si="53"/>
        <v/>
      </c>
      <c r="K704" s="25"/>
      <c r="L704" s="5" t="str">
        <f t="shared" si="54"/>
        <v/>
      </c>
      <c r="M704" s="7"/>
      <c r="N704" s="7"/>
      <c r="O704" s="7"/>
      <c r="P704" s="20" t="str">
        <f>IF($A704="","",INDEX(Project_Tracker!$I$2:$I$101,INT((ROW()-6)/17)+1))</f>
        <v/>
      </c>
      <c r="Q704" s="20" t="str">
        <f>IF($A704="","",INDEX(Project_Tracker!$K$2:$K$101,INT((ROW()-6)/17)+1))</f>
        <v/>
      </c>
    </row>
    <row r="705" spans="1:17" x14ac:dyDescent="0.2">
      <c r="A705" s="20" t="str">
        <f>IF(INDEX(Project_Tracker!$AL$2:$AL$101,INT((ROW()-6)/17)+1)="","",INDEX(Project_Tracker!$AL$2:$AL$101,INT((ROW()-6)/17)+1))</f>
        <v/>
      </c>
      <c r="B705" s="21" t="str">
        <f>IF($A705="","",INDEX(Project_Tracker!$AM$2:$AM$101,INT((ROW()-6)/17)+1))</f>
        <v/>
      </c>
      <c r="C705" s="20" t="str">
        <f>IF($A705="","",INDEX(Project_Tracker!$C$2:$C$101,INT((ROW()-6)/17)+1))</f>
        <v/>
      </c>
      <c r="D705" s="6" t="str">
        <f>IF($A705="","",INDEX(Project_Tracker!$T$2:$T$101,INT((ROW()-6)/17)+1))</f>
        <v/>
      </c>
      <c r="E705" s="18">
        <f t="shared" si="50"/>
        <v>3</v>
      </c>
      <c r="F705" s="23" t="str">
        <f>IF($A705="","",INDEX('Logic &amp; Lists'!$I$4:$I$20,$E705))</f>
        <v/>
      </c>
      <c r="G705" s="18" t="str">
        <f>IF($A705="","",INDEX('Logic &amp; Lists'!$J$4:$J$20,$E705))</f>
        <v/>
      </c>
      <c r="H705" s="6" t="str">
        <f t="shared" si="51"/>
        <v/>
      </c>
      <c r="I705" s="18" t="str">
        <f t="shared" ca="1" si="52"/>
        <v/>
      </c>
      <c r="J705" s="5" t="str">
        <f t="shared" si="53"/>
        <v/>
      </c>
      <c r="K705" s="25"/>
      <c r="L705" s="5" t="str">
        <f t="shared" si="54"/>
        <v/>
      </c>
      <c r="M705" s="7"/>
      <c r="N705" s="7"/>
      <c r="O705" s="7"/>
      <c r="P705" s="20" t="str">
        <f>IF($A705="","",INDEX(Project_Tracker!$I$2:$I$101,INT((ROW()-6)/17)+1))</f>
        <v/>
      </c>
      <c r="Q705" s="20" t="str">
        <f>IF($A705="","",INDEX(Project_Tracker!$K$2:$K$101,INT((ROW()-6)/17)+1))</f>
        <v/>
      </c>
    </row>
    <row r="706" spans="1:17" x14ac:dyDescent="0.2">
      <c r="A706" s="20" t="str">
        <f>IF(INDEX(Project_Tracker!$AL$2:$AL$101,INT((ROW()-6)/17)+1)="","",INDEX(Project_Tracker!$AL$2:$AL$101,INT((ROW()-6)/17)+1))</f>
        <v/>
      </c>
      <c r="B706" s="21" t="str">
        <f>IF($A706="","",INDEX(Project_Tracker!$AM$2:$AM$101,INT((ROW()-6)/17)+1))</f>
        <v/>
      </c>
      <c r="C706" s="20" t="str">
        <f>IF($A706="","",INDEX(Project_Tracker!$C$2:$C$101,INT((ROW()-6)/17)+1))</f>
        <v/>
      </c>
      <c r="D706" s="6" t="str">
        <f>IF($A706="","",INDEX(Project_Tracker!$T$2:$T$101,INT((ROW()-6)/17)+1))</f>
        <v/>
      </c>
      <c r="E706" s="18">
        <f t="shared" si="50"/>
        <v>4</v>
      </c>
      <c r="F706" s="23" t="str">
        <f>IF($A706="","",INDEX('Logic &amp; Lists'!$I$4:$I$20,$E706))</f>
        <v/>
      </c>
      <c r="G706" s="18" t="str">
        <f>IF($A706="","",INDEX('Logic &amp; Lists'!$J$4:$J$20,$E706))</f>
        <v/>
      </c>
      <c r="H706" s="6" t="str">
        <f t="shared" si="51"/>
        <v/>
      </c>
      <c r="I706" s="18" t="str">
        <f t="shared" ca="1" si="52"/>
        <v/>
      </c>
      <c r="J706" s="5" t="str">
        <f t="shared" si="53"/>
        <v/>
      </c>
      <c r="K706" s="25"/>
      <c r="L706" s="5" t="str">
        <f t="shared" si="54"/>
        <v/>
      </c>
      <c r="M706" s="7"/>
      <c r="N706" s="7"/>
      <c r="O706" s="7"/>
      <c r="P706" s="20" t="str">
        <f>IF($A706="","",INDEX(Project_Tracker!$I$2:$I$101,INT((ROW()-6)/17)+1))</f>
        <v/>
      </c>
      <c r="Q706" s="20" t="str">
        <f>IF($A706="","",INDEX(Project_Tracker!$K$2:$K$101,INT((ROW()-6)/17)+1))</f>
        <v/>
      </c>
    </row>
    <row r="707" spans="1:17" x14ac:dyDescent="0.2">
      <c r="A707" s="20" t="str">
        <f>IF(INDEX(Project_Tracker!$AL$2:$AL$101,INT((ROW()-6)/17)+1)="","",INDEX(Project_Tracker!$AL$2:$AL$101,INT((ROW()-6)/17)+1))</f>
        <v/>
      </c>
      <c r="B707" s="21" t="str">
        <f>IF($A707="","",INDEX(Project_Tracker!$AM$2:$AM$101,INT((ROW()-6)/17)+1))</f>
        <v/>
      </c>
      <c r="C707" s="20" t="str">
        <f>IF($A707="","",INDEX(Project_Tracker!$C$2:$C$101,INT((ROW()-6)/17)+1))</f>
        <v/>
      </c>
      <c r="D707" s="6" t="str">
        <f>IF($A707="","",INDEX(Project_Tracker!$T$2:$T$101,INT((ROW()-6)/17)+1))</f>
        <v/>
      </c>
      <c r="E707" s="18">
        <f t="shared" si="50"/>
        <v>5</v>
      </c>
      <c r="F707" s="23" t="str">
        <f>IF($A707="","",INDEX('Logic &amp; Lists'!$I$4:$I$20,$E707))</f>
        <v/>
      </c>
      <c r="G707" s="18" t="str">
        <f>IF($A707="","",INDEX('Logic &amp; Lists'!$J$4:$J$20,$E707))</f>
        <v/>
      </c>
      <c r="H707" s="6" t="str">
        <f t="shared" si="51"/>
        <v/>
      </c>
      <c r="I707" s="18" t="str">
        <f t="shared" ca="1" si="52"/>
        <v/>
      </c>
      <c r="J707" s="5" t="str">
        <f t="shared" si="53"/>
        <v/>
      </c>
      <c r="K707" s="25"/>
      <c r="L707" s="5" t="str">
        <f t="shared" si="54"/>
        <v/>
      </c>
      <c r="M707" s="7"/>
      <c r="N707" s="7"/>
      <c r="O707" s="7"/>
      <c r="P707" s="20" t="str">
        <f>IF($A707="","",INDEX(Project_Tracker!$I$2:$I$101,INT((ROW()-6)/17)+1))</f>
        <v/>
      </c>
      <c r="Q707" s="20" t="str">
        <f>IF($A707="","",INDEX(Project_Tracker!$K$2:$K$101,INT((ROW()-6)/17)+1))</f>
        <v/>
      </c>
    </row>
    <row r="708" spans="1:17" x14ac:dyDescent="0.2">
      <c r="A708" s="20" t="str">
        <f>IF(INDEX(Project_Tracker!$AL$2:$AL$101,INT((ROW()-6)/17)+1)="","",INDEX(Project_Tracker!$AL$2:$AL$101,INT((ROW()-6)/17)+1))</f>
        <v/>
      </c>
      <c r="B708" s="21" t="str">
        <f>IF($A708="","",INDEX(Project_Tracker!$AM$2:$AM$101,INT((ROW()-6)/17)+1))</f>
        <v/>
      </c>
      <c r="C708" s="20" t="str">
        <f>IF($A708="","",INDEX(Project_Tracker!$C$2:$C$101,INT((ROW()-6)/17)+1))</f>
        <v/>
      </c>
      <c r="D708" s="6" t="str">
        <f>IF($A708="","",INDEX(Project_Tracker!$T$2:$T$101,INT((ROW()-6)/17)+1))</f>
        <v/>
      </c>
      <c r="E708" s="18">
        <f t="shared" si="50"/>
        <v>6</v>
      </c>
      <c r="F708" s="23" t="str">
        <f>IF($A708="","",INDEX('Logic &amp; Lists'!$I$4:$I$20,$E708))</f>
        <v/>
      </c>
      <c r="G708" s="18" t="str">
        <f>IF($A708="","",INDEX('Logic &amp; Lists'!$J$4:$J$20,$E708))</f>
        <v/>
      </c>
      <c r="H708" s="6" t="str">
        <f t="shared" si="51"/>
        <v/>
      </c>
      <c r="I708" s="18" t="str">
        <f t="shared" ca="1" si="52"/>
        <v/>
      </c>
      <c r="J708" s="5" t="str">
        <f t="shared" si="53"/>
        <v/>
      </c>
      <c r="K708" s="25"/>
      <c r="L708" s="5" t="str">
        <f t="shared" si="54"/>
        <v/>
      </c>
      <c r="M708" s="7"/>
      <c r="N708" s="7"/>
      <c r="O708" s="7"/>
      <c r="P708" s="20" t="str">
        <f>IF($A708="","",INDEX(Project_Tracker!$I$2:$I$101,INT((ROW()-6)/17)+1))</f>
        <v/>
      </c>
      <c r="Q708" s="20" t="str">
        <f>IF($A708="","",INDEX(Project_Tracker!$K$2:$K$101,INT((ROW()-6)/17)+1))</f>
        <v/>
      </c>
    </row>
    <row r="709" spans="1:17" x14ac:dyDescent="0.2">
      <c r="A709" s="20" t="str">
        <f>IF(INDEX(Project_Tracker!$AL$2:$AL$101,INT((ROW()-6)/17)+1)="","",INDEX(Project_Tracker!$AL$2:$AL$101,INT((ROW()-6)/17)+1))</f>
        <v/>
      </c>
      <c r="B709" s="21" t="str">
        <f>IF($A709="","",INDEX(Project_Tracker!$AM$2:$AM$101,INT((ROW()-6)/17)+1))</f>
        <v/>
      </c>
      <c r="C709" s="20" t="str">
        <f>IF($A709="","",INDEX(Project_Tracker!$C$2:$C$101,INT((ROW()-6)/17)+1))</f>
        <v/>
      </c>
      <c r="D709" s="6" t="str">
        <f>IF($A709="","",INDEX(Project_Tracker!$T$2:$T$101,INT((ROW()-6)/17)+1))</f>
        <v/>
      </c>
      <c r="E709" s="18">
        <f t="shared" si="50"/>
        <v>7</v>
      </c>
      <c r="F709" s="23" t="str">
        <f>IF($A709="","",INDEX('Logic &amp; Lists'!$I$4:$I$20,$E709))</f>
        <v/>
      </c>
      <c r="G709" s="18" t="str">
        <f>IF($A709="","",INDEX('Logic &amp; Lists'!$J$4:$J$20,$E709))</f>
        <v/>
      </c>
      <c r="H709" s="6" t="str">
        <f t="shared" si="51"/>
        <v/>
      </c>
      <c r="I709" s="18" t="str">
        <f t="shared" ca="1" si="52"/>
        <v/>
      </c>
      <c r="J709" s="5" t="str">
        <f t="shared" si="53"/>
        <v/>
      </c>
      <c r="K709" s="25"/>
      <c r="L709" s="5" t="str">
        <f t="shared" si="54"/>
        <v/>
      </c>
      <c r="M709" s="7"/>
      <c r="N709" s="7"/>
      <c r="O709" s="7"/>
      <c r="P709" s="20" t="str">
        <f>IF($A709="","",INDEX(Project_Tracker!$I$2:$I$101,INT((ROW()-6)/17)+1))</f>
        <v/>
      </c>
      <c r="Q709" s="20" t="str">
        <f>IF($A709="","",INDEX(Project_Tracker!$K$2:$K$101,INT((ROW()-6)/17)+1))</f>
        <v/>
      </c>
    </row>
    <row r="710" spans="1:17" x14ac:dyDescent="0.2">
      <c r="A710" s="20" t="str">
        <f>IF(INDEX(Project_Tracker!$AL$2:$AL$101,INT((ROW()-6)/17)+1)="","",INDEX(Project_Tracker!$AL$2:$AL$101,INT((ROW()-6)/17)+1))</f>
        <v/>
      </c>
      <c r="B710" s="21" t="str">
        <f>IF($A710="","",INDEX(Project_Tracker!$AM$2:$AM$101,INT((ROW()-6)/17)+1))</f>
        <v/>
      </c>
      <c r="C710" s="20" t="str">
        <f>IF($A710="","",INDEX(Project_Tracker!$C$2:$C$101,INT((ROW()-6)/17)+1))</f>
        <v/>
      </c>
      <c r="D710" s="6" t="str">
        <f>IF($A710="","",INDEX(Project_Tracker!$T$2:$T$101,INT((ROW()-6)/17)+1))</f>
        <v/>
      </c>
      <c r="E710" s="18">
        <f t="shared" ref="E710:E773" si="55">MOD(ROW()-6,17)+1</f>
        <v>8</v>
      </c>
      <c r="F710" s="23" t="str">
        <f>IF($A710="","",INDEX('Logic &amp; Lists'!$I$4:$I$20,$E710))</f>
        <v/>
      </c>
      <c r="G710" s="18" t="str">
        <f>IF($A710="","",INDEX('Logic &amp; Lists'!$J$4:$J$20,$E710))</f>
        <v/>
      </c>
      <c r="H710" s="6" t="str">
        <f t="shared" ref="H710:H773" si="56">IF($D710="","",$D710-$G710)</f>
        <v/>
      </c>
      <c r="I710" s="18" t="str">
        <f t="shared" ref="I710:I773" ca="1" si="57">IF($H710="","",$H710-TODAY())</f>
        <v/>
      </c>
      <c r="J710" s="5" t="str">
        <f t="shared" ref="J710:J773" si="58">IF($A710="","",IF($K710&lt;&gt;"","ORDERED",IF($I710&lt;0,"OVERDUE",IF($I710&lt;=7,"URGENT",IF($I710&lt;=14,"PREPARE","OK")))))</f>
        <v/>
      </c>
      <c r="K710" s="25"/>
      <c r="L710" s="5" t="str">
        <f t="shared" ref="L710:L773" si="59">IF($A710="","",IF($K710="",$J710,IF($K710&lt;=$H710,"Ordered On Time","Ordered Late")))</f>
        <v/>
      </c>
      <c r="M710" s="7"/>
      <c r="N710" s="7"/>
      <c r="O710" s="7"/>
      <c r="P710" s="20" t="str">
        <f>IF($A710="","",INDEX(Project_Tracker!$I$2:$I$101,INT((ROW()-6)/17)+1))</f>
        <v/>
      </c>
      <c r="Q710" s="20" t="str">
        <f>IF($A710="","",INDEX(Project_Tracker!$K$2:$K$101,INT((ROW()-6)/17)+1))</f>
        <v/>
      </c>
    </row>
    <row r="711" spans="1:17" x14ac:dyDescent="0.2">
      <c r="A711" s="20" t="str">
        <f>IF(INDEX(Project_Tracker!$AL$2:$AL$101,INT((ROW()-6)/17)+1)="","",INDEX(Project_Tracker!$AL$2:$AL$101,INT((ROW()-6)/17)+1))</f>
        <v/>
      </c>
      <c r="B711" s="21" t="str">
        <f>IF($A711="","",INDEX(Project_Tracker!$AM$2:$AM$101,INT((ROW()-6)/17)+1))</f>
        <v/>
      </c>
      <c r="C711" s="20" t="str">
        <f>IF($A711="","",INDEX(Project_Tracker!$C$2:$C$101,INT((ROW()-6)/17)+1))</f>
        <v/>
      </c>
      <c r="D711" s="6" t="str">
        <f>IF($A711="","",INDEX(Project_Tracker!$T$2:$T$101,INT((ROW()-6)/17)+1))</f>
        <v/>
      </c>
      <c r="E711" s="18">
        <f t="shared" si="55"/>
        <v>9</v>
      </c>
      <c r="F711" s="23" t="str">
        <f>IF($A711="","",INDEX('Logic &amp; Lists'!$I$4:$I$20,$E711))</f>
        <v/>
      </c>
      <c r="G711" s="18" t="str">
        <f>IF($A711="","",INDEX('Logic &amp; Lists'!$J$4:$J$20,$E711))</f>
        <v/>
      </c>
      <c r="H711" s="6" t="str">
        <f t="shared" si="56"/>
        <v/>
      </c>
      <c r="I711" s="18" t="str">
        <f t="shared" ca="1" si="57"/>
        <v/>
      </c>
      <c r="J711" s="5" t="str">
        <f t="shared" si="58"/>
        <v/>
      </c>
      <c r="K711" s="25"/>
      <c r="L711" s="5" t="str">
        <f t="shared" si="59"/>
        <v/>
      </c>
      <c r="M711" s="7"/>
      <c r="N711" s="7"/>
      <c r="O711" s="7"/>
      <c r="P711" s="20" t="str">
        <f>IF($A711="","",INDEX(Project_Tracker!$I$2:$I$101,INT((ROW()-6)/17)+1))</f>
        <v/>
      </c>
      <c r="Q711" s="20" t="str">
        <f>IF($A711="","",INDEX(Project_Tracker!$K$2:$K$101,INT((ROW()-6)/17)+1))</f>
        <v/>
      </c>
    </row>
    <row r="712" spans="1:17" x14ac:dyDescent="0.2">
      <c r="A712" s="20" t="str">
        <f>IF(INDEX(Project_Tracker!$AL$2:$AL$101,INT((ROW()-6)/17)+1)="","",INDEX(Project_Tracker!$AL$2:$AL$101,INT((ROW()-6)/17)+1))</f>
        <v/>
      </c>
      <c r="B712" s="21" t="str">
        <f>IF($A712="","",INDEX(Project_Tracker!$AM$2:$AM$101,INT((ROW()-6)/17)+1))</f>
        <v/>
      </c>
      <c r="C712" s="20" t="str">
        <f>IF($A712="","",INDEX(Project_Tracker!$C$2:$C$101,INT((ROW()-6)/17)+1))</f>
        <v/>
      </c>
      <c r="D712" s="6" t="str">
        <f>IF($A712="","",INDEX(Project_Tracker!$T$2:$T$101,INT((ROW()-6)/17)+1))</f>
        <v/>
      </c>
      <c r="E712" s="18">
        <f t="shared" si="55"/>
        <v>10</v>
      </c>
      <c r="F712" s="23" t="str">
        <f>IF($A712="","",INDEX('Logic &amp; Lists'!$I$4:$I$20,$E712))</f>
        <v/>
      </c>
      <c r="G712" s="18" t="str">
        <f>IF($A712="","",INDEX('Logic &amp; Lists'!$J$4:$J$20,$E712))</f>
        <v/>
      </c>
      <c r="H712" s="6" t="str">
        <f t="shared" si="56"/>
        <v/>
      </c>
      <c r="I712" s="18" t="str">
        <f t="shared" ca="1" si="57"/>
        <v/>
      </c>
      <c r="J712" s="5" t="str">
        <f t="shared" si="58"/>
        <v/>
      </c>
      <c r="K712" s="25"/>
      <c r="L712" s="5" t="str">
        <f t="shared" si="59"/>
        <v/>
      </c>
      <c r="M712" s="7"/>
      <c r="N712" s="7"/>
      <c r="O712" s="7"/>
      <c r="P712" s="20" t="str">
        <f>IF($A712="","",INDEX(Project_Tracker!$I$2:$I$101,INT((ROW()-6)/17)+1))</f>
        <v/>
      </c>
      <c r="Q712" s="20" t="str">
        <f>IF($A712="","",INDEX(Project_Tracker!$K$2:$K$101,INT((ROW()-6)/17)+1))</f>
        <v/>
      </c>
    </row>
    <row r="713" spans="1:17" x14ac:dyDescent="0.2">
      <c r="A713" s="20" t="str">
        <f>IF(INDEX(Project_Tracker!$AL$2:$AL$101,INT((ROW()-6)/17)+1)="","",INDEX(Project_Tracker!$AL$2:$AL$101,INT((ROW()-6)/17)+1))</f>
        <v/>
      </c>
      <c r="B713" s="21" t="str">
        <f>IF($A713="","",INDEX(Project_Tracker!$AM$2:$AM$101,INT((ROW()-6)/17)+1))</f>
        <v/>
      </c>
      <c r="C713" s="20" t="str">
        <f>IF($A713="","",INDEX(Project_Tracker!$C$2:$C$101,INT((ROW()-6)/17)+1))</f>
        <v/>
      </c>
      <c r="D713" s="6" t="str">
        <f>IF($A713="","",INDEX(Project_Tracker!$T$2:$T$101,INT((ROW()-6)/17)+1))</f>
        <v/>
      </c>
      <c r="E713" s="18">
        <f t="shared" si="55"/>
        <v>11</v>
      </c>
      <c r="F713" s="23" t="str">
        <f>IF($A713="","",INDEX('Logic &amp; Lists'!$I$4:$I$20,$E713))</f>
        <v/>
      </c>
      <c r="G713" s="18" t="str">
        <f>IF($A713="","",INDEX('Logic &amp; Lists'!$J$4:$J$20,$E713))</f>
        <v/>
      </c>
      <c r="H713" s="6" t="str">
        <f t="shared" si="56"/>
        <v/>
      </c>
      <c r="I713" s="18" t="str">
        <f t="shared" ca="1" si="57"/>
        <v/>
      </c>
      <c r="J713" s="5" t="str">
        <f t="shared" si="58"/>
        <v/>
      </c>
      <c r="K713" s="25"/>
      <c r="L713" s="5" t="str">
        <f t="shared" si="59"/>
        <v/>
      </c>
      <c r="M713" s="7"/>
      <c r="N713" s="7"/>
      <c r="O713" s="7"/>
      <c r="P713" s="20" t="str">
        <f>IF($A713="","",INDEX(Project_Tracker!$I$2:$I$101,INT((ROW()-6)/17)+1))</f>
        <v/>
      </c>
      <c r="Q713" s="20" t="str">
        <f>IF($A713="","",INDEX(Project_Tracker!$K$2:$K$101,INT((ROW()-6)/17)+1))</f>
        <v/>
      </c>
    </row>
    <row r="714" spans="1:17" x14ac:dyDescent="0.2">
      <c r="A714" s="20" t="str">
        <f>IF(INDEX(Project_Tracker!$AL$2:$AL$101,INT((ROW()-6)/17)+1)="","",INDEX(Project_Tracker!$AL$2:$AL$101,INT((ROW()-6)/17)+1))</f>
        <v/>
      </c>
      <c r="B714" s="21" t="str">
        <f>IF($A714="","",INDEX(Project_Tracker!$AM$2:$AM$101,INT((ROW()-6)/17)+1))</f>
        <v/>
      </c>
      <c r="C714" s="20" t="str">
        <f>IF($A714="","",INDEX(Project_Tracker!$C$2:$C$101,INT((ROW()-6)/17)+1))</f>
        <v/>
      </c>
      <c r="D714" s="6" t="str">
        <f>IF($A714="","",INDEX(Project_Tracker!$T$2:$T$101,INT((ROW()-6)/17)+1))</f>
        <v/>
      </c>
      <c r="E714" s="18">
        <f t="shared" si="55"/>
        <v>12</v>
      </c>
      <c r="F714" s="23" t="str">
        <f>IF($A714="","",INDEX('Logic &amp; Lists'!$I$4:$I$20,$E714))</f>
        <v/>
      </c>
      <c r="G714" s="18" t="str">
        <f>IF($A714="","",INDEX('Logic &amp; Lists'!$J$4:$J$20,$E714))</f>
        <v/>
      </c>
      <c r="H714" s="6" t="str">
        <f t="shared" si="56"/>
        <v/>
      </c>
      <c r="I714" s="18" t="str">
        <f t="shared" ca="1" si="57"/>
        <v/>
      </c>
      <c r="J714" s="5" t="str">
        <f t="shared" si="58"/>
        <v/>
      </c>
      <c r="K714" s="25"/>
      <c r="L714" s="5" t="str">
        <f t="shared" si="59"/>
        <v/>
      </c>
      <c r="M714" s="7"/>
      <c r="N714" s="7"/>
      <c r="O714" s="7"/>
      <c r="P714" s="20" t="str">
        <f>IF($A714="","",INDEX(Project_Tracker!$I$2:$I$101,INT((ROW()-6)/17)+1))</f>
        <v/>
      </c>
      <c r="Q714" s="20" t="str">
        <f>IF($A714="","",INDEX(Project_Tracker!$K$2:$K$101,INT((ROW()-6)/17)+1))</f>
        <v/>
      </c>
    </row>
    <row r="715" spans="1:17" x14ac:dyDescent="0.2">
      <c r="A715" s="20" t="str">
        <f>IF(INDEX(Project_Tracker!$AL$2:$AL$101,INT((ROW()-6)/17)+1)="","",INDEX(Project_Tracker!$AL$2:$AL$101,INT((ROW()-6)/17)+1))</f>
        <v/>
      </c>
      <c r="B715" s="21" t="str">
        <f>IF($A715="","",INDEX(Project_Tracker!$AM$2:$AM$101,INT((ROW()-6)/17)+1))</f>
        <v/>
      </c>
      <c r="C715" s="20" t="str">
        <f>IF($A715="","",INDEX(Project_Tracker!$C$2:$C$101,INT((ROW()-6)/17)+1))</f>
        <v/>
      </c>
      <c r="D715" s="6" t="str">
        <f>IF($A715="","",INDEX(Project_Tracker!$T$2:$T$101,INT((ROW()-6)/17)+1))</f>
        <v/>
      </c>
      <c r="E715" s="18">
        <f t="shared" si="55"/>
        <v>13</v>
      </c>
      <c r="F715" s="23" t="str">
        <f>IF($A715="","",INDEX('Logic &amp; Lists'!$I$4:$I$20,$E715))</f>
        <v/>
      </c>
      <c r="G715" s="18" t="str">
        <f>IF($A715="","",INDEX('Logic &amp; Lists'!$J$4:$J$20,$E715))</f>
        <v/>
      </c>
      <c r="H715" s="6" t="str">
        <f t="shared" si="56"/>
        <v/>
      </c>
      <c r="I715" s="18" t="str">
        <f t="shared" ca="1" si="57"/>
        <v/>
      </c>
      <c r="J715" s="5" t="str">
        <f t="shared" si="58"/>
        <v/>
      </c>
      <c r="K715" s="25"/>
      <c r="L715" s="5" t="str">
        <f t="shared" si="59"/>
        <v/>
      </c>
      <c r="M715" s="7"/>
      <c r="N715" s="7"/>
      <c r="O715" s="7"/>
      <c r="P715" s="20" t="str">
        <f>IF($A715="","",INDEX(Project_Tracker!$I$2:$I$101,INT((ROW()-6)/17)+1))</f>
        <v/>
      </c>
      <c r="Q715" s="20" t="str">
        <f>IF($A715="","",INDEX(Project_Tracker!$K$2:$K$101,INT((ROW()-6)/17)+1))</f>
        <v/>
      </c>
    </row>
    <row r="716" spans="1:17" x14ac:dyDescent="0.2">
      <c r="A716" s="20" t="str">
        <f>IF(INDEX(Project_Tracker!$AL$2:$AL$101,INT((ROW()-6)/17)+1)="","",INDEX(Project_Tracker!$AL$2:$AL$101,INT((ROW()-6)/17)+1))</f>
        <v/>
      </c>
      <c r="B716" s="21" t="str">
        <f>IF($A716="","",INDEX(Project_Tracker!$AM$2:$AM$101,INT((ROW()-6)/17)+1))</f>
        <v/>
      </c>
      <c r="C716" s="20" t="str">
        <f>IF($A716="","",INDEX(Project_Tracker!$C$2:$C$101,INT((ROW()-6)/17)+1))</f>
        <v/>
      </c>
      <c r="D716" s="6" t="str">
        <f>IF($A716="","",INDEX(Project_Tracker!$T$2:$T$101,INT((ROW()-6)/17)+1))</f>
        <v/>
      </c>
      <c r="E716" s="18">
        <f t="shared" si="55"/>
        <v>14</v>
      </c>
      <c r="F716" s="23" t="str">
        <f>IF($A716="","",INDEX('Logic &amp; Lists'!$I$4:$I$20,$E716))</f>
        <v/>
      </c>
      <c r="G716" s="18" t="str">
        <f>IF($A716="","",INDEX('Logic &amp; Lists'!$J$4:$J$20,$E716))</f>
        <v/>
      </c>
      <c r="H716" s="6" t="str">
        <f t="shared" si="56"/>
        <v/>
      </c>
      <c r="I716" s="18" t="str">
        <f t="shared" ca="1" si="57"/>
        <v/>
      </c>
      <c r="J716" s="5" t="str">
        <f t="shared" si="58"/>
        <v/>
      </c>
      <c r="K716" s="25"/>
      <c r="L716" s="5" t="str">
        <f t="shared" si="59"/>
        <v/>
      </c>
      <c r="M716" s="7"/>
      <c r="N716" s="7"/>
      <c r="O716" s="7"/>
      <c r="P716" s="20" t="str">
        <f>IF($A716="","",INDEX(Project_Tracker!$I$2:$I$101,INT((ROW()-6)/17)+1))</f>
        <v/>
      </c>
      <c r="Q716" s="20" t="str">
        <f>IF($A716="","",INDEX(Project_Tracker!$K$2:$K$101,INT((ROW()-6)/17)+1))</f>
        <v/>
      </c>
    </row>
    <row r="717" spans="1:17" x14ac:dyDescent="0.2">
      <c r="A717" s="20" t="str">
        <f>IF(INDEX(Project_Tracker!$AL$2:$AL$101,INT((ROW()-6)/17)+1)="","",INDEX(Project_Tracker!$AL$2:$AL$101,INT((ROW()-6)/17)+1))</f>
        <v/>
      </c>
      <c r="B717" s="21" t="str">
        <f>IF($A717="","",INDEX(Project_Tracker!$AM$2:$AM$101,INT((ROW()-6)/17)+1))</f>
        <v/>
      </c>
      <c r="C717" s="20" t="str">
        <f>IF($A717="","",INDEX(Project_Tracker!$C$2:$C$101,INT((ROW()-6)/17)+1))</f>
        <v/>
      </c>
      <c r="D717" s="6" t="str">
        <f>IF($A717="","",INDEX(Project_Tracker!$T$2:$T$101,INT((ROW()-6)/17)+1))</f>
        <v/>
      </c>
      <c r="E717" s="18">
        <f t="shared" si="55"/>
        <v>15</v>
      </c>
      <c r="F717" s="23" t="str">
        <f>IF($A717="","",INDEX('Logic &amp; Lists'!$I$4:$I$20,$E717))</f>
        <v/>
      </c>
      <c r="G717" s="18" t="str">
        <f>IF($A717="","",INDEX('Logic &amp; Lists'!$J$4:$J$20,$E717))</f>
        <v/>
      </c>
      <c r="H717" s="6" t="str">
        <f t="shared" si="56"/>
        <v/>
      </c>
      <c r="I717" s="18" t="str">
        <f t="shared" ca="1" si="57"/>
        <v/>
      </c>
      <c r="J717" s="5" t="str">
        <f t="shared" si="58"/>
        <v/>
      </c>
      <c r="K717" s="25"/>
      <c r="L717" s="5" t="str">
        <f t="shared" si="59"/>
        <v/>
      </c>
      <c r="M717" s="7"/>
      <c r="N717" s="7"/>
      <c r="O717" s="7"/>
      <c r="P717" s="20" t="str">
        <f>IF($A717="","",INDEX(Project_Tracker!$I$2:$I$101,INT((ROW()-6)/17)+1))</f>
        <v/>
      </c>
      <c r="Q717" s="20" t="str">
        <f>IF($A717="","",INDEX(Project_Tracker!$K$2:$K$101,INT((ROW()-6)/17)+1))</f>
        <v/>
      </c>
    </row>
    <row r="718" spans="1:17" x14ac:dyDescent="0.2">
      <c r="A718" s="20" t="str">
        <f>IF(INDEX(Project_Tracker!$AL$2:$AL$101,INT((ROW()-6)/17)+1)="","",INDEX(Project_Tracker!$AL$2:$AL$101,INT((ROW()-6)/17)+1))</f>
        <v/>
      </c>
      <c r="B718" s="21" t="str">
        <f>IF($A718="","",INDEX(Project_Tracker!$AM$2:$AM$101,INT((ROW()-6)/17)+1))</f>
        <v/>
      </c>
      <c r="C718" s="20" t="str">
        <f>IF($A718="","",INDEX(Project_Tracker!$C$2:$C$101,INT((ROW()-6)/17)+1))</f>
        <v/>
      </c>
      <c r="D718" s="6" t="str">
        <f>IF($A718="","",INDEX(Project_Tracker!$T$2:$T$101,INT((ROW()-6)/17)+1))</f>
        <v/>
      </c>
      <c r="E718" s="18">
        <f t="shared" si="55"/>
        <v>16</v>
      </c>
      <c r="F718" s="23" t="str">
        <f>IF($A718="","",INDEX('Logic &amp; Lists'!$I$4:$I$20,$E718))</f>
        <v/>
      </c>
      <c r="G718" s="18" t="str">
        <f>IF($A718="","",INDEX('Logic &amp; Lists'!$J$4:$J$20,$E718))</f>
        <v/>
      </c>
      <c r="H718" s="6" t="str">
        <f t="shared" si="56"/>
        <v/>
      </c>
      <c r="I718" s="18" t="str">
        <f t="shared" ca="1" si="57"/>
        <v/>
      </c>
      <c r="J718" s="5" t="str">
        <f t="shared" si="58"/>
        <v/>
      </c>
      <c r="K718" s="25"/>
      <c r="L718" s="5" t="str">
        <f t="shared" si="59"/>
        <v/>
      </c>
      <c r="M718" s="7"/>
      <c r="N718" s="7"/>
      <c r="O718" s="7"/>
      <c r="P718" s="20" t="str">
        <f>IF($A718="","",INDEX(Project_Tracker!$I$2:$I$101,INT((ROW()-6)/17)+1))</f>
        <v/>
      </c>
      <c r="Q718" s="20" t="str">
        <f>IF($A718="","",INDEX(Project_Tracker!$K$2:$K$101,INT((ROW()-6)/17)+1))</f>
        <v/>
      </c>
    </row>
    <row r="719" spans="1:17" x14ac:dyDescent="0.2">
      <c r="A719" s="20" t="str">
        <f>IF(INDEX(Project_Tracker!$AL$2:$AL$101,INT((ROW()-6)/17)+1)="","",INDEX(Project_Tracker!$AL$2:$AL$101,INT((ROW()-6)/17)+1))</f>
        <v/>
      </c>
      <c r="B719" s="21" t="str">
        <f>IF($A719="","",INDEX(Project_Tracker!$AM$2:$AM$101,INT((ROW()-6)/17)+1))</f>
        <v/>
      </c>
      <c r="C719" s="20" t="str">
        <f>IF($A719="","",INDEX(Project_Tracker!$C$2:$C$101,INT((ROW()-6)/17)+1))</f>
        <v/>
      </c>
      <c r="D719" s="6" t="str">
        <f>IF($A719="","",INDEX(Project_Tracker!$T$2:$T$101,INT((ROW()-6)/17)+1))</f>
        <v/>
      </c>
      <c r="E719" s="18">
        <f t="shared" si="55"/>
        <v>17</v>
      </c>
      <c r="F719" s="23" t="str">
        <f>IF($A719="","",INDEX('Logic &amp; Lists'!$I$4:$I$20,$E719))</f>
        <v/>
      </c>
      <c r="G719" s="18" t="str">
        <f>IF($A719="","",INDEX('Logic &amp; Lists'!$J$4:$J$20,$E719))</f>
        <v/>
      </c>
      <c r="H719" s="6" t="str">
        <f t="shared" si="56"/>
        <v/>
      </c>
      <c r="I719" s="18" t="str">
        <f t="shared" ca="1" si="57"/>
        <v/>
      </c>
      <c r="J719" s="5" t="str">
        <f t="shared" si="58"/>
        <v/>
      </c>
      <c r="K719" s="25"/>
      <c r="L719" s="5" t="str">
        <f t="shared" si="59"/>
        <v/>
      </c>
      <c r="M719" s="7"/>
      <c r="N719" s="7"/>
      <c r="O719" s="7"/>
      <c r="P719" s="20" t="str">
        <f>IF($A719="","",INDEX(Project_Tracker!$I$2:$I$101,INT((ROW()-6)/17)+1))</f>
        <v/>
      </c>
      <c r="Q719" s="20" t="str">
        <f>IF($A719="","",INDEX(Project_Tracker!$K$2:$K$101,INT((ROW()-6)/17)+1))</f>
        <v/>
      </c>
    </row>
    <row r="720" spans="1:17" x14ac:dyDescent="0.2">
      <c r="A720" s="20" t="str">
        <f>IF(INDEX(Project_Tracker!$AL$2:$AL$101,INT((ROW()-6)/17)+1)="","",INDEX(Project_Tracker!$AL$2:$AL$101,INT((ROW()-6)/17)+1))</f>
        <v/>
      </c>
      <c r="B720" s="21" t="str">
        <f>IF($A720="","",INDEX(Project_Tracker!$AM$2:$AM$101,INT((ROW()-6)/17)+1))</f>
        <v/>
      </c>
      <c r="C720" s="20" t="str">
        <f>IF($A720="","",INDEX(Project_Tracker!$C$2:$C$101,INT((ROW()-6)/17)+1))</f>
        <v/>
      </c>
      <c r="D720" s="6" t="str">
        <f>IF($A720="","",INDEX(Project_Tracker!$T$2:$T$101,INT((ROW()-6)/17)+1))</f>
        <v/>
      </c>
      <c r="E720" s="18">
        <f t="shared" si="55"/>
        <v>1</v>
      </c>
      <c r="F720" s="23" t="str">
        <f>IF($A720="","",INDEX('Logic &amp; Lists'!$I$4:$I$20,$E720))</f>
        <v/>
      </c>
      <c r="G720" s="18" t="str">
        <f>IF($A720="","",INDEX('Logic &amp; Lists'!$J$4:$J$20,$E720))</f>
        <v/>
      </c>
      <c r="H720" s="6" t="str">
        <f t="shared" si="56"/>
        <v/>
      </c>
      <c r="I720" s="18" t="str">
        <f t="shared" ca="1" si="57"/>
        <v/>
      </c>
      <c r="J720" s="5" t="str">
        <f t="shared" si="58"/>
        <v/>
      </c>
      <c r="K720" s="25"/>
      <c r="L720" s="5" t="str">
        <f t="shared" si="59"/>
        <v/>
      </c>
      <c r="M720" s="7"/>
      <c r="N720" s="7"/>
      <c r="O720" s="7"/>
      <c r="P720" s="20" t="str">
        <f>IF($A720="","",INDEX(Project_Tracker!$I$2:$I$101,INT((ROW()-6)/17)+1))</f>
        <v/>
      </c>
      <c r="Q720" s="20" t="str">
        <f>IF($A720="","",INDEX(Project_Tracker!$K$2:$K$101,INT((ROW()-6)/17)+1))</f>
        <v/>
      </c>
    </row>
    <row r="721" spans="1:17" x14ac:dyDescent="0.2">
      <c r="A721" s="20" t="str">
        <f>IF(INDEX(Project_Tracker!$AL$2:$AL$101,INT((ROW()-6)/17)+1)="","",INDEX(Project_Tracker!$AL$2:$AL$101,INT((ROW()-6)/17)+1))</f>
        <v/>
      </c>
      <c r="B721" s="21" t="str">
        <f>IF($A721="","",INDEX(Project_Tracker!$AM$2:$AM$101,INT((ROW()-6)/17)+1))</f>
        <v/>
      </c>
      <c r="C721" s="20" t="str">
        <f>IF($A721="","",INDEX(Project_Tracker!$C$2:$C$101,INT((ROW()-6)/17)+1))</f>
        <v/>
      </c>
      <c r="D721" s="6" t="str">
        <f>IF($A721="","",INDEX(Project_Tracker!$T$2:$T$101,INT((ROW()-6)/17)+1))</f>
        <v/>
      </c>
      <c r="E721" s="18">
        <f t="shared" si="55"/>
        <v>2</v>
      </c>
      <c r="F721" s="23" t="str">
        <f>IF($A721="","",INDEX('Logic &amp; Lists'!$I$4:$I$20,$E721))</f>
        <v/>
      </c>
      <c r="G721" s="18" t="str">
        <f>IF($A721="","",INDEX('Logic &amp; Lists'!$J$4:$J$20,$E721))</f>
        <v/>
      </c>
      <c r="H721" s="6" t="str">
        <f t="shared" si="56"/>
        <v/>
      </c>
      <c r="I721" s="18" t="str">
        <f t="shared" ca="1" si="57"/>
        <v/>
      </c>
      <c r="J721" s="5" t="str">
        <f t="shared" si="58"/>
        <v/>
      </c>
      <c r="K721" s="25"/>
      <c r="L721" s="5" t="str">
        <f t="shared" si="59"/>
        <v/>
      </c>
      <c r="M721" s="7"/>
      <c r="N721" s="7"/>
      <c r="O721" s="7"/>
      <c r="P721" s="20" t="str">
        <f>IF($A721="","",INDEX(Project_Tracker!$I$2:$I$101,INT((ROW()-6)/17)+1))</f>
        <v/>
      </c>
      <c r="Q721" s="20" t="str">
        <f>IF($A721="","",INDEX(Project_Tracker!$K$2:$K$101,INT((ROW()-6)/17)+1))</f>
        <v/>
      </c>
    </row>
    <row r="722" spans="1:17" x14ac:dyDescent="0.2">
      <c r="A722" s="20" t="str">
        <f>IF(INDEX(Project_Tracker!$AL$2:$AL$101,INT((ROW()-6)/17)+1)="","",INDEX(Project_Tracker!$AL$2:$AL$101,INT((ROW()-6)/17)+1))</f>
        <v/>
      </c>
      <c r="B722" s="21" t="str">
        <f>IF($A722="","",INDEX(Project_Tracker!$AM$2:$AM$101,INT((ROW()-6)/17)+1))</f>
        <v/>
      </c>
      <c r="C722" s="20" t="str">
        <f>IF($A722="","",INDEX(Project_Tracker!$C$2:$C$101,INT((ROW()-6)/17)+1))</f>
        <v/>
      </c>
      <c r="D722" s="6" t="str">
        <f>IF($A722="","",INDEX(Project_Tracker!$T$2:$T$101,INT((ROW()-6)/17)+1))</f>
        <v/>
      </c>
      <c r="E722" s="18">
        <f t="shared" si="55"/>
        <v>3</v>
      </c>
      <c r="F722" s="23" t="str">
        <f>IF($A722="","",INDEX('Logic &amp; Lists'!$I$4:$I$20,$E722))</f>
        <v/>
      </c>
      <c r="G722" s="18" t="str">
        <f>IF($A722="","",INDEX('Logic &amp; Lists'!$J$4:$J$20,$E722))</f>
        <v/>
      </c>
      <c r="H722" s="6" t="str">
        <f t="shared" si="56"/>
        <v/>
      </c>
      <c r="I722" s="18" t="str">
        <f t="shared" ca="1" si="57"/>
        <v/>
      </c>
      <c r="J722" s="5" t="str">
        <f t="shared" si="58"/>
        <v/>
      </c>
      <c r="K722" s="25"/>
      <c r="L722" s="5" t="str">
        <f t="shared" si="59"/>
        <v/>
      </c>
      <c r="M722" s="7"/>
      <c r="N722" s="7"/>
      <c r="O722" s="7"/>
      <c r="P722" s="20" t="str">
        <f>IF($A722="","",INDEX(Project_Tracker!$I$2:$I$101,INT((ROW()-6)/17)+1))</f>
        <v/>
      </c>
      <c r="Q722" s="20" t="str">
        <f>IF($A722="","",INDEX(Project_Tracker!$K$2:$K$101,INT((ROW()-6)/17)+1))</f>
        <v/>
      </c>
    </row>
    <row r="723" spans="1:17" x14ac:dyDescent="0.2">
      <c r="A723" s="20" t="str">
        <f>IF(INDEX(Project_Tracker!$AL$2:$AL$101,INT((ROW()-6)/17)+1)="","",INDEX(Project_Tracker!$AL$2:$AL$101,INT((ROW()-6)/17)+1))</f>
        <v/>
      </c>
      <c r="B723" s="21" t="str">
        <f>IF($A723="","",INDEX(Project_Tracker!$AM$2:$AM$101,INT((ROW()-6)/17)+1))</f>
        <v/>
      </c>
      <c r="C723" s="20" t="str">
        <f>IF($A723="","",INDEX(Project_Tracker!$C$2:$C$101,INT((ROW()-6)/17)+1))</f>
        <v/>
      </c>
      <c r="D723" s="6" t="str">
        <f>IF($A723="","",INDEX(Project_Tracker!$T$2:$T$101,INT((ROW()-6)/17)+1))</f>
        <v/>
      </c>
      <c r="E723" s="18">
        <f t="shared" si="55"/>
        <v>4</v>
      </c>
      <c r="F723" s="23" t="str">
        <f>IF($A723="","",INDEX('Logic &amp; Lists'!$I$4:$I$20,$E723))</f>
        <v/>
      </c>
      <c r="G723" s="18" t="str">
        <f>IF($A723="","",INDEX('Logic &amp; Lists'!$J$4:$J$20,$E723))</f>
        <v/>
      </c>
      <c r="H723" s="6" t="str">
        <f t="shared" si="56"/>
        <v/>
      </c>
      <c r="I723" s="18" t="str">
        <f t="shared" ca="1" si="57"/>
        <v/>
      </c>
      <c r="J723" s="5" t="str">
        <f t="shared" si="58"/>
        <v/>
      </c>
      <c r="K723" s="25"/>
      <c r="L723" s="5" t="str">
        <f t="shared" si="59"/>
        <v/>
      </c>
      <c r="M723" s="7"/>
      <c r="N723" s="7"/>
      <c r="O723" s="7"/>
      <c r="P723" s="20" t="str">
        <f>IF($A723="","",INDEX(Project_Tracker!$I$2:$I$101,INT((ROW()-6)/17)+1))</f>
        <v/>
      </c>
      <c r="Q723" s="20" t="str">
        <f>IF($A723="","",INDEX(Project_Tracker!$K$2:$K$101,INT((ROW()-6)/17)+1))</f>
        <v/>
      </c>
    </row>
    <row r="724" spans="1:17" x14ac:dyDescent="0.2">
      <c r="A724" s="20" t="str">
        <f>IF(INDEX(Project_Tracker!$AL$2:$AL$101,INT((ROW()-6)/17)+1)="","",INDEX(Project_Tracker!$AL$2:$AL$101,INT((ROW()-6)/17)+1))</f>
        <v/>
      </c>
      <c r="B724" s="21" t="str">
        <f>IF($A724="","",INDEX(Project_Tracker!$AM$2:$AM$101,INT((ROW()-6)/17)+1))</f>
        <v/>
      </c>
      <c r="C724" s="20" t="str">
        <f>IF($A724="","",INDEX(Project_Tracker!$C$2:$C$101,INT((ROW()-6)/17)+1))</f>
        <v/>
      </c>
      <c r="D724" s="6" t="str">
        <f>IF($A724="","",INDEX(Project_Tracker!$T$2:$T$101,INT((ROW()-6)/17)+1))</f>
        <v/>
      </c>
      <c r="E724" s="18">
        <f t="shared" si="55"/>
        <v>5</v>
      </c>
      <c r="F724" s="23" t="str">
        <f>IF($A724="","",INDEX('Logic &amp; Lists'!$I$4:$I$20,$E724))</f>
        <v/>
      </c>
      <c r="G724" s="18" t="str">
        <f>IF($A724="","",INDEX('Logic &amp; Lists'!$J$4:$J$20,$E724))</f>
        <v/>
      </c>
      <c r="H724" s="6" t="str">
        <f t="shared" si="56"/>
        <v/>
      </c>
      <c r="I724" s="18" t="str">
        <f t="shared" ca="1" si="57"/>
        <v/>
      </c>
      <c r="J724" s="5" t="str">
        <f t="shared" si="58"/>
        <v/>
      </c>
      <c r="K724" s="25"/>
      <c r="L724" s="5" t="str">
        <f t="shared" si="59"/>
        <v/>
      </c>
      <c r="M724" s="7"/>
      <c r="N724" s="7"/>
      <c r="O724" s="7"/>
      <c r="P724" s="20" t="str">
        <f>IF($A724="","",INDEX(Project_Tracker!$I$2:$I$101,INT((ROW()-6)/17)+1))</f>
        <v/>
      </c>
      <c r="Q724" s="20" t="str">
        <f>IF($A724="","",INDEX(Project_Tracker!$K$2:$K$101,INT((ROW()-6)/17)+1))</f>
        <v/>
      </c>
    </row>
    <row r="725" spans="1:17" x14ac:dyDescent="0.2">
      <c r="A725" s="20" t="str">
        <f>IF(INDEX(Project_Tracker!$AL$2:$AL$101,INT((ROW()-6)/17)+1)="","",INDEX(Project_Tracker!$AL$2:$AL$101,INT((ROW()-6)/17)+1))</f>
        <v/>
      </c>
      <c r="B725" s="21" t="str">
        <f>IF($A725="","",INDEX(Project_Tracker!$AM$2:$AM$101,INT((ROW()-6)/17)+1))</f>
        <v/>
      </c>
      <c r="C725" s="20" t="str">
        <f>IF($A725="","",INDEX(Project_Tracker!$C$2:$C$101,INT((ROW()-6)/17)+1))</f>
        <v/>
      </c>
      <c r="D725" s="6" t="str">
        <f>IF($A725="","",INDEX(Project_Tracker!$T$2:$T$101,INT((ROW()-6)/17)+1))</f>
        <v/>
      </c>
      <c r="E725" s="18">
        <f t="shared" si="55"/>
        <v>6</v>
      </c>
      <c r="F725" s="23" t="str">
        <f>IF($A725="","",INDEX('Logic &amp; Lists'!$I$4:$I$20,$E725))</f>
        <v/>
      </c>
      <c r="G725" s="18" t="str">
        <f>IF($A725="","",INDEX('Logic &amp; Lists'!$J$4:$J$20,$E725))</f>
        <v/>
      </c>
      <c r="H725" s="6" t="str">
        <f t="shared" si="56"/>
        <v/>
      </c>
      <c r="I725" s="18" t="str">
        <f t="shared" ca="1" si="57"/>
        <v/>
      </c>
      <c r="J725" s="5" t="str">
        <f t="shared" si="58"/>
        <v/>
      </c>
      <c r="K725" s="25"/>
      <c r="L725" s="5" t="str">
        <f t="shared" si="59"/>
        <v/>
      </c>
      <c r="M725" s="7"/>
      <c r="N725" s="7"/>
      <c r="O725" s="7"/>
      <c r="P725" s="20" t="str">
        <f>IF($A725="","",INDEX(Project_Tracker!$I$2:$I$101,INT((ROW()-6)/17)+1))</f>
        <v/>
      </c>
      <c r="Q725" s="20" t="str">
        <f>IF($A725="","",INDEX(Project_Tracker!$K$2:$K$101,INT((ROW()-6)/17)+1))</f>
        <v/>
      </c>
    </row>
    <row r="726" spans="1:17" x14ac:dyDescent="0.2">
      <c r="A726" s="20" t="str">
        <f>IF(INDEX(Project_Tracker!$AL$2:$AL$101,INT((ROW()-6)/17)+1)="","",INDEX(Project_Tracker!$AL$2:$AL$101,INT((ROW()-6)/17)+1))</f>
        <v/>
      </c>
      <c r="B726" s="21" t="str">
        <f>IF($A726="","",INDEX(Project_Tracker!$AM$2:$AM$101,INT((ROW()-6)/17)+1))</f>
        <v/>
      </c>
      <c r="C726" s="20" t="str">
        <f>IF($A726="","",INDEX(Project_Tracker!$C$2:$C$101,INT((ROW()-6)/17)+1))</f>
        <v/>
      </c>
      <c r="D726" s="6" t="str">
        <f>IF($A726="","",INDEX(Project_Tracker!$T$2:$T$101,INT((ROW()-6)/17)+1))</f>
        <v/>
      </c>
      <c r="E726" s="18">
        <f t="shared" si="55"/>
        <v>7</v>
      </c>
      <c r="F726" s="23" t="str">
        <f>IF($A726="","",INDEX('Logic &amp; Lists'!$I$4:$I$20,$E726))</f>
        <v/>
      </c>
      <c r="G726" s="18" t="str">
        <f>IF($A726="","",INDEX('Logic &amp; Lists'!$J$4:$J$20,$E726))</f>
        <v/>
      </c>
      <c r="H726" s="6" t="str">
        <f t="shared" si="56"/>
        <v/>
      </c>
      <c r="I726" s="18" t="str">
        <f t="shared" ca="1" si="57"/>
        <v/>
      </c>
      <c r="J726" s="5" t="str">
        <f t="shared" si="58"/>
        <v/>
      </c>
      <c r="K726" s="25"/>
      <c r="L726" s="5" t="str">
        <f t="shared" si="59"/>
        <v/>
      </c>
      <c r="M726" s="7"/>
      <c r="N726" s="7"/>
      <c r="O726" s="7"/>
      <c r="P726" s="20" t="str">
        <f>IF($A726="","",INDEX(Project_Tracker!$I$2:$I$101,INT((ROW()-6)/17)+1))</f>
        <v/>
      </c>
      <c r="Q726" s="20" t="str">
        <f>IF($A726="","",INDEX(Project_Tracker!$K$2:$K$101,INT((ROW()-6)/17)+1))</f>
        <v/>
      </c>
    </row>
    <row r="727" spans="1:17" x14ac:dyDescent="0.2">
      <c r="A727" s="20" t="str">
        <f>IF(INDEX(Project_Tracker!$AL$2:$AL$101,INT((ROW()-6)/17)+1)="","",INDEX(Project_Tracker!$AL$2:$AL$101,INT((ROW()-6)/17)+1))</f>
        <v/>
      </c>
      <c r="B727" s="21" t="str">
        <f>IF($A727="","",INDEX(Project_Tracker!$AM$2:$AM$101,INT((ROW()-6)/17)+1))</f>
        <v/>
      </c>
      <c r="C727" s="20" t="str">
        <f>IF($A727="","",INDEX(Project_Tracker!$C$2:$C$101,INT((ROW()-6)/17)+1))</f>
        <v/>
      </c>
      <c r="D727" s="6" t="str">
        <f>IF($A727="","",INDEX(Project_Tracker!$T$2:$T$101,INT((ROW()-6)/17)+1))</f>
        <v/>
      </c>
      <c r="E727" s="18">
        <f t="shared" si="55"/>
        <v>8</v>
      </c>
      <c r="F727" s="23" t="str">
        <f>IF($A727="","",INDEX('Logic &amp; Lists'!$I$4:$I$20,$E727))</f>
        <v/>
      </c>
      <c r="G727" s="18" t="str">
        <f>IF($A727="","",INDEX('Logic &amp; Lists'!$J$4:$J$20,$E727))</f>
        <v/>
      </c>
      <c r="H727" s="6" t="str">
        <f t="shared" si="56"/>
        <v/>
      </c>
      <c r="I727" s="18" t="str">
        <f t="shared" ca="1" si="57"/>
        <v/>
      </c>
      <c r="J727" s="5" t="str">
        <f t="shared" si="58"/>
        <v/>
      </c>
      <c r="K727" s="25"/>
      <c r="L727" s="5" t="str">
        <f t="shared" si="59"/>
        <v/>
      </c>
      <c r="M727" s="7"/>
      <c r="N727" s="7"/>
      <c r="O727" s="7"/>
      <c r="P727" s="20" t="str">
        <f>IF($A727="","",INDEX(Project_Tracker!$I$2:$I$101,INT((ROW()-6)/17)+1))</f>
        <v/>
      </c>
      <c r="Q727" s="20" t="str">
        <f>IF($A727="","",INDEX(Project_Tracker!$K$2:$K$101,INT((ROW()-6)/17)+1))</f>
        <v/>
      </c>
    </row>
    <row r="728" spans="1:17" x14ac:dyDescent="0.2">
      <c r="A728" s="20" t="str">
        <f>IF(INDEX(Project_Tracker!$AL$2:$AL$101,INT((ROW()-6)/17)+1)="","",INDEX(Project_Tracker!$AL$2:$AL$101,INT((ROW()-6)/17)+1))</f>
        <v/>
      </c>
      <c r="B728" s="21" t="str">
        <f>IF($A728="","",INDEX(Project_Tracker!$AM$2:$AM$101,INT((ROW()-6)/17)+1))</f>
        <v/>
      </c>
      <c r="C728" s="20" t="str">
        <f>IF($A728="","",INDEX(Project_Tracker!$C$2:$C$101,INT((ROW()-6)/17)+1))</f>
        <v/>
      </c>
      <c r="D728" s="6" t="str">
        <f>IF($A728="","",INDEX(Project_Tracker!$T$2:$T$101,INT((ROW()-6)/17)+1))</f>
        <v/>
      </c>
      <c r="E728" s="18">
        <f t="shared" si="55"/>
        <v>9</v>
      </c>
      <c r="F728" s="23" t="str">
        <f>IF($A728="","",INDEX('Logic &amp; Lists'!$I$4:$I$20,$E728))</f>
        <v/>
      </c>
      <c r="G728" s="18" t="str">
        <f>IF($A728="","",INDEX('Logic &amp; Lists'!$J$4:$J$20,$E728))</f>
        <v/>
      </c>
      <c r="H728" s="6" t="str">
        <f t="shared" si="56"/>
        <v/>
      </c>
      <c r="I728" s="18" t="str">
        <f t="shared" ca="1" si="57"/>
        <v/>
      </c>
      <c r="J728" s="5" t="str">
        <f t="shared" si="58"/>
        <v/>
      </c>
      <c r="K728" s="25"/>
      <c r="L728" s="5" t="str">
        <f t="shared" si="59"/>
        <v/>
      </c>
      <c r="M728" s="7"/>
      <c r="N728" s="7"/>
      <c r="O728" s="7"/>
      <c r="P728" s="20" t="str">
        <f>IF($A728="","",INDEX(Project_Tracker!$I$2:$I$101,INT((ROW()-6)/17)+1))</f>
        <v/>
      </c>
      <c r="Q728" s="20" t="str">
        <f>IF($A728="","",INDEX(Project_Tracker!$K$2:$K$101,INT((ROW()-6)/17)+1))</f>
        <v/>
      </c>
    </row>
    <row r="729" spans="1:17" x14ac:dyDescent="0.2">
      <c r="A729" s="20" t="str">
        <f>IF(INDEX(Project_Tracker!$AL$2:$AL$101,INT((ROW()-6)/17)+1)="","",INDEX(Project_Tracker!$AL$2:$AL$101,INT((ROW()-6)/17)+1))</f>
        <v/>
      </c>
      <c r="B729" s="21" t="str">
        <f>IF($A729="","",INDEX(Project_Tracker!$AM$2:$AM$101,INT((ROW()-6)/17)+1))</f>
        <v/>
      </c>
      <c r="C729" s="20" t="str">
        <f>IF($A729="","",INDEX(Project_Tracker!$C$2:$C$101,INT((ROW()-6)/17)+1))</f>
        <v/>
      </c>
      <c r="D729" s="6" t="str">
        <f>IF($A729="","",INDEX(Project_Tracker!$T$2:$T$101,INT((ROW()-6)/17)+1))</f>
        <v/>
      </c>
      <c r="E729" s="18">
        <f t="shared" si="55"/>
        <v>10</v>
      </c>
      <c r="F729" s="23" t="str">
        <f>IF($A729="","",INDEX('Logic &amp; Lists'!$I$4:$I$20,$E729))</f>
        <v/>
      </c>
      <c r="G729" s="18" t="str">
        <f>IF($A729="","",INDEX('Logic &amp; Lists'!$J$4:$J$20,$E729))</f>
        <v/>
      </c>
      <c r="H729" s="6" t="str">
        <f t="shared" si="56"/>
        <v/>
      </c>
      <c r="I729" s="18" t="str">
        <f t="shared" ca="1" si="57"/>
        <v/>
      </c>
      <c r="J729" s="5" t="str">
        <f t="shared" si="58"/>
        <v/>
      </c>
      <c r="K729" s="25"/>
      <c r="L729" s="5" t="str">
        <f t="shared" si="59"/>
        <v/>
      </c>
      <c r="M729" s="7"/>
      <c r="N729" s="7"/>
      <c r="O729" s="7"/>
      <c r="P729" s="20" t="str">
        <f>IF($A729="","",INDEX(Project_Tracker!$I$2:$I$101,INT((ROW()-6)/17)+1))</f>
        <v/>
      </c>
      <c r="Q729" s="20" t="str">
        <f>IF($A729="","",INDEX(Project_Tracker!$K$2:$K$101,INT((ROW()-6)/17)+1))</f>
        <v/>
      </c>
    </row>
    <row r="730" spans="1:17" x14ac:dyDescent="0.2">
      <c r="A730" s="20" t="str">
        <f>IF(INDEX(Project_Tracker!$AL$2:$AL$101,INT((ROW()-6)/17)+1)="","",INDEX(Project_Tracker!$AL$2:$AL$101,INT((ROW()-6)/17)+1))</f>
        <v/>
      </c>
      <c r="B730" s="21" t="str">
        <f>IF($A730="","",INDEX(Project_Tracker!$AM$2:$AM$101,INT((ROW()-6)/17)+1))</f>
        <v/>
      </c>
      <c r="C730" s="20" t="str">
        <f>IF($A730="","",INDEX(Project_Tracker!$C$2:$C$101,INT((ROW()-6)/17)+1))</f>
        <v/>
      </c>
      <c r="D730" s="6" t="str">
        <f>IF($A730="","",INDEX(Project_Tracker!$T$2:$T$101,INT((ROW()-6)/17)+1))</f>
        <v/>
      </c>
      <c r="E730" s="18">
        <f t="shared" si="55"/>
        <v>11</v>
      </c>
      <c r="F730" s="23" t="str">
        <f>IF($A730="","",INDEX('Logic &amp; Lists'!$I$4:$I$20,$E730))</f>
        <v/>
      </c>
      <c r="G730" s="18" t="str">
        <f>IF($A730="","",INDEX('Logic &amp; Lists'!$J$4:$J$20,$E730))</f>
        <v/>
      </c>
      <c r="H730" s="6" t="str">
        <f t="shared" si="56"/>
        <v/>
      </c>
      <c r="I730" s="18" t="str">
        <f t="shared" ca="1" si="57"/>
        <v/>
      </c>
      <c r="J730" s="5" t="str">
        <f t="shared" si="58"/>
        <v/>
      </c>
      <c r="K730" s="25"/>
      <c r="L730" s="5" t="str">
        <f t="shared" si="59"/>
        <v/>
      </c>
      <c r="M730" s="7"/>
      <c r="N730" s="7"/>
      <c r="O730" s="7"/>
      <c r="P730" s="20" t="str">
        <f>IF($A730="","",INDEX(Project_Tracker!$I$2:$I$101,INT((ROW()-6)/17)+1))</f>
        <v/>
      </c>
      <c r="Q730" s="20" t="str">
        <f>IF($A730="","",INDEX(Project_Tracker!$K$2:$K$101,INT((ROW()-6)/17)+1))</f>
        <v/>
      </c>
    </row>
    <row r="731" spans="1:17" x14ac:dyDescent="0.2">
      <c r="A731" s="20" t="str">
        <f>IF(INDEX(Project_Tracker!$AL$2:$AL$101,INT((ROW()-6)/17)+1)="","",INDEX(Project_Tracker!$AL$2:$AL$101,INT((ROW()-6)/17)+1))</f>
        <v/>
      </c>
      <c r="B731" s="21" t="str">
        <f>IF($A731="","",INDEX(Project_Tracker!$AM$2:$AM$101,INT((ROW()-6)/17)+1))</f>
        <v/>
      </c>
      <c r="C731" s="20" t="str">
        <f>IF($A731="","",INDEX(Project_Tracker!$C$2:$C$101,INT((ROW()-6)/17)+1))</f>
        <v/>
      </c>
      <c r="D731" s="6" t="str">
        <f>IF($A731="","",INDEX(Project_Tracker!$T$2:$T$101,INT((ROW()-6)/17)+1))</f>
        <v/>
      </c>
      <c r="E731" s="18">
        <f t="shared" si="55"/>
        <v>12</v>
      </c>
      <c r="F731" s="23" t="str">
        <f>IF($A731="","",INDEX('Logic &amp; Lists'!$I$4:$I$20,$E731))</f>
        <v/>
      </c>
      <c r="G731" s="18" t="str">
        <f>IF($A731="","",INDEX('Logic &amp; Lists'!$J$4:$J$20,$E731))</f>
        <v/>
      </c>
      <c r="H731" s="6" t="str">
        <f t="shared" si="56"/>
        <v/>
      </c>
      <c r="I731" s="18" t="str">
        <f t="shared" ca="1" si="57"/>
        <v/>
      </c>
      <c r="J731" s="5" t="str">
        <f t="shared" si="58"/>
        <v/>
      </c>
      <c r="K731" s="25"/>
      <c r="L731" s="5" t="str">
        <f t="shared" si="59"/>
        <v/>
      </c>
      <c r="M731" s="7"/>
      <c r="N731" s="7"/>
      <c r="O731" s="7"/>
      <c r="P731" s="20" t="str">
        <f>IF($A731="","",INDEX(Project_Tracker!$I$2:$I$101,INT((ROW()-6)/17)+1))</f>
        <v/>
      </c>
      <c r="Q731" s="20" t="str">
        <f>IF($A731="","",INDEX(Project_Tracker!$K$2:$K$101,INT((ROW()-6)/17)+1))</f>
        <v/>
      </c>
    </row>
    <row r="732" spans="1:17" x14ac:dyDescent="0.2">
      <c r="A732" s="20" t="str">
        <f>IF(INDEX(Project_Tracker!$AL$2:$AL$101,INT((ROW()-6)/17)+1)="","",INDEX(Project_Tracker!$AL$2:$AL$101,INT((ROW()-6)/17)+1))</f>
        <v/>
      </c>
      <c r="B732" s="21" t="str">
        <f>IF($A732="","",INDEX(Project_Tracker!$AM$2:$AM$101,INT((ROW()-6)/17)+1))</f>
        <v/>
      </c>
      <c r="C732" s="20" t="str">
        <f>IF($A732="","",INDEX(Project_Tracker!$C$2:$C$101,INT((ROW()-6)/17)+1))</f>
        <v/>
      </c>
      <c r="D732" s="6" t="str">
        <f>IF($A732="","",INDEX(Project_Tracker!$T$2:$T$101,INT((ROW()-6)/17)+1))</f>
        <v/>
      </c>
      <c r="E732" s="18">
        <f t="shared" si="55"/>
        <v>13</v>
      </c>
      <c r="F732" s="23" t="str">
        <f>IF($A732="","",INDEX('Logic &amp; Lists'!$I$4:$I$20,$E732))</f>
        <v/>
      </c>
      <c r="G732" s="18" t="str">
        <f>IF($A732="","",INDEX('Logic &amp; Lists'!$J$4:$J$20,$E732))</f>
        <v/>
      </c>
      <c r="H732" s="6" t="str">
        <f t="shared" si="56"/>
        <v/>
      </c>
      <c r="I732" s="18" t="str">
        <f t="shared" ca="1" si="57"/>
        <v/>
      </c>
      <c r="J732" s="5" t="str">
        <f t="shared" si="58"/>
        <v/>
      </c>
      <c r="K732" s="25"/>
      <c r="L732" s="5" t="str">
        <f t="shared" si="59"/>
        <v/>
      </c>
      <c r="M732" s="7"/>
      <c r="N732" s="7"/>
      <c r="O732" s="7"/>
      <c r="P732" s="20" t="str">
        <f>IF($A732="","",INDEX(Project_Tracker!$I$2:$I$101,INT((ROW()-6)/17)+1))</f>
        <v/>
      </c>
      <c r="Q732" s="20" t="str">
        <f>IF($A732="","",INDEX(Project_Tracker!$K$2:$K$101,INT((ROW()-6)/17)+1))</f>
        <v/>
      </c>
    </row>
    <row r="733" spans="1:17" x14ac:dyDescent="0.2">
      <c r="A733" s="20" t="str">
        <f>IF(INDEX(Project_Tracker!$AL$2:$AL$101,INT((ROW()-6)/17)+1)="","",INDEX(Project_Tracker!$AL$2:$AL$101,INT((ROW()-6)/17)+1))</f>
        <v/>
      </c>
      <c r="B733" s="21" t="str">
        <f>IF($A733="","",INDEX(Project_Tracker!$AM$2:$AM$101,INT((ROW()-6)/17)+1))</f>
        <v/>
      </c>
      <c r="C733" s="20" t="str">
        <f>IF($A733="","",INDEX(Project_Tracker!$C$2:$C$101,INT((ROW()-6)/17)+1))</f>
        <v/>
      </c>
      <c r="D733" s="6" t="str">
        <f>IF($A733="","",INDEX(Project_Tracker!$T$2:$T$101,INT((ROW()-6)/17)+1))</f>
        <v/>
      </c>
      <c r="E733" s="18">
        <f t="shared" si="55"/>
        <v>14</v>
      </c>
      <c r="F733" s="23" t="str">
        <f>IF($A733="","",INDEX('Logic &amp; Lists'!$I$4:$I$20,$E733))</f>
        <v/>
      </c>
      <c r="G733" s="18" t="str">
        <f>IF($A733="","",INDEX('Logic &amp; Lists'!$J$4:$J$20,$E733))</f>
        <v/>
      </c>
      <c r="H733" s="6" t="str">
        <f t="shared" si="56"/>
        <v/>
      </c>
      <c r="I733" s="18" t="str">
        <f t="shared" ca="1" si="57"/>
        <v/>
      </c>
      <c r="J733" s="5" t="str">
        <f t="shared" si="58"/>
        <v/>
      </c>
      <c r="K733" s="25"/>
      <c r="L733" s="5" t="str">
        <f t="shared" si="59"/>
        <v/>
      </c>
      <c r="M733" s="7"/>
      <c r="N733" s="7"/>
      <c r="O733" s="7"/>
      <c r="P733" s="20" t="str">
        <f>IF($A733="","",INDEX(Project_Tracker!$I$2:$I$101,INT((ROW()-6)/17)+1))</f>
        <v/>
      </c>
      <c r="Q733" s="20" t="str">
        <f>IF($A733="","",INDEX(Project_Tracker!$K$2:$K$101,INT((ROW()-6)/17)+1))</f>
        <v/>
      </c>
    </row>
    <row r="734" spans="1:17" x14ac:dyDescent="0.2">
      <c r="A734" s="20" t="str">
        <f>IF(INDEX(Project_Tracker!$AL$2:$AL$101,INT((ROW()-6)/17)+1)="","",INDEX(Project_Tracker!$AL$2:$AL$101,INT((ROW()-6)/17)+1))</f>
        <v/>
      </c>
      <c r="B734" s="21" t="str">
        <f>IF($A734="","",INDEX(Project_Tracker!$AM$2:$AM$101,INT((ROW()-6)/17)+1))</f>
        <v/>
      </c>
      <c r="C734" s="20" t="str">
        <f>IF($A734="","",INDEX(Project_Tracker!$C$2:$C$101,INT((ROW()-6)/17)+1))</f>
        <v/>
      </c>
      <c r="D734" s="6" t="str">
        <f>IF($A734="","",INDEX(Project_Tracker!$T$2:$T$101,INT((ROW()-6)/17)+1))</f>
        <v/>
      </c>
      <c r="E734" s="18">
        <f t="shared" si="55"/>
        <v>15</v>
      </c>
      <c r="F734" s="23" t="str">
        <f>IF($A734="","",INDEX('Logic &amp; Lists'!$I$4:$I$20,$E734))</f>
        <v/>
      </c>
      <c r="G734" s="18" t="str">
        <f>IF($A734="","",INDEX('Logic &amp; Lists'!$J$4:$J$20,$E734))</f>
        <v/>
      </c>
      <c r="H734" s="6" t="str">
        <f t="shared" si="56"/>
        <v/>
      </c>
      <c r="I734" s="18" t="str">
        <f t="shared" ca="1" si="57"/>
        <v/>
      </c>
      <c r="J734" s="5" t="str">
        <f t="shared" si="58"/>
        <v/>
      </c>
      <c r="K734" s="25"/>
      <c r="L734" s="5" t="str">
        <f t="shared" si="59"/>
        <v/>
      </c>
      <c r="M734" s="7"/>
      <c r="N734" s="7"/>
      <c r="O734" s="7"/>
      <c r="P734" s="20" t="str">
        <f>IF($A734="","",INDEX(Project_Tracker!$I$2:$I$101,INT((ROW()-6)/17)+1))</f>
        <v/>
      </c>
      <c r="Q734" s="20" t="str">
        <f>IF($A734="","",INDEX(Project_Tracker!$K$2:$K$101,INT((ROW()-6)/17)+1))</f>
        <v/>
      </c>
    </row>
    <row r="735" spans="1:17" x14ac:dyDescent="0.2">
      <c r="A735" s="20" t="str">
        <f>IF(INDEX(Project_Tracker!$AL$2:$AL$101,INT((ROW()-6)/17)+1)="","",INDEX(Project_Tracker!$AL$2:$AL$101,INT((ROW()-6)/17)+1))</f>
        <v/>
      </c>
      <c r="B735" s="21" t="str">
        <f>IF($A735="","",INDEX(Project_Tracker!$AM$2:$AM$101,INT((ROW()-6)/17)+1))</f>
        <v/>
      </c>
      <c r="C735" s="20" t="str">
        <f>IF($A735="","",INDEX(Project_Tracker!$C$2:$C$101,INT((ROW()-6)/17)+1))</f>
        <v/>
      </c>
      <c r="D735" s="6" t="str">
        <f>IF($A735="","",INDEX(Project_Tracker!$T$2:$T$101,INT((ROW()-6)/17)+1))</f>
        <v/>
      </c>
      <c r="E735" s="18">
        <f t="shared" si="55"/>
        <v>16</v>
      </c>
      <c r="F735" s="23" t="str">
        <f>IF($A735="","",INDEX('Logic &amp; Lists'!$I$4:$I$20,$E735))</f>
        <v/>
      </c>
      <c r="G735" s="18" t="str">
        <f>IF($A735="","",INDEX('Logic &amp; Lists'!$J$4:$J$20,$E735))</f>
        <v/>
      </c>
      <c r="H735" s="6" t="str">
        <f t="shared" si="56"/>
        <v/>
      </c>
      <c r="I735" s="18" t="str">
        <f t="shared" ca="1" si="57"/>
        <v/>
      </c>
      <c r="J735" s="5" t="str">
        <f t="shared" si="58"/>
        <v/>
      </c>
      <c r="K735" s="25"/>
      <c r="L735" s="5" t="str">
        <f t="shared" si="59"/>
        <v/>
      </c>
      <c r="M735" s="7"/>
      <c r="N735" s="7"/>
      <c r="O735" s="7"/>
      <c r="P735" s="20" t="str">
        <f>IF($A735="","",INDEX(Project_Tracker!$I$2:$I$101,INT((ROW()-6)/17)+1))</f>
        <v/>
      </c>
      <c r="Q735" s="20" t="str">
        <f>IF($A735="","",INDEX(Project_Tracker!$K$2:$K$101,INT((ROW()-6)/17)+1))</f>
        <v/>
      </c>
    </row>
    <row r="736" spans="1:17" x14ac:dyDescent="0.2">
      <c r="A736" s="20" t="str">
        <f>IF(INDEX(Project_Tracker!$AL$2:$AL$101,INT((ROW()-6)/17)+1)="","",INDEX(Project_Tracker!$AL$2:$AL$101,INT((ROW()-6)/17)+1))</f>
        <v/>
      </c>
      <c r="B736" s="21" t="str">
        <f>IF($A736="","",INDEX(Project_Tracker!$AM$2:$AM$101,INT((ROW()-6)/17)+1))</f>
        <v/>
      </c>
      <c r="C736" s="20" t="str">
        <f>IF($A736="","",INDEX(Project_Tracker!$C$2:$C$101,INT((ROW()-6)/17)+1))</f>
        <v/>
      </c>
      <c r="D736" s="6" t="str">
        <f>IF($A736="","",INDEX(Project_Tracker!$T$2:$T$101,INT((ROW()-6)/17)+1))</f>
        <v/>
      </c>
      <c r="E736" s="18">
        <f t="shared" si="55"/>
        <v>17</v>
      </c>
      <c r="F736" s="23" t="str">
        <f>IF($A736="","",INDEX('Logic &amp; Lists'!$I$4:$I$20,$E736))</f>
        <v/>
      </c>
      <c r="G736" s="18" t="str">
        <f>IF($A736="","",INDEX('Logic &amp; Lists'!$J$4:$J$20,$E736))</f>
        <v/>
      </c>
      <c r="H736" s="6" t="str">
        <f t="shared" si="56"/>
        <v/>
      </c>
      <c r="I736" s="18" t="str">
        <f t="shared" ca="1" si="57"/>
        <v/>
      </c>
      <c r="J736" s="5" t="str">
        <f t="shared" si="58"/>
        <v/>
      </c>
      <c r="K736" s="25"/>
      <c r="L736" s="5" t="str">
        <f t="shared" si="59"/>
        <v/>
      </c>
      <c r="M736" s="7"/>
      <c r="N736" s="7"/>
      <c r="O736" s="7"/>
      <c r="P736" s="20" t="str">
        <f>IF($A736="","",INDEX(Project_Tracker!$I$2:$I$101,INT((ROW()-6)/17)+1))</f>
        <v/>
      </c>
      <c r="Q736" s="20" t="str">
        <f>IF($A736="","",INDEX(Project_Tracker!$K$2:$K$101,INT((ROW()-6)/17)+1))</f>
        <v/>
      </c>
    </row>
    <row r="737" spans="1:17" x14ac:dyDescent="0.2">
      <c r="A737" s="20" t="str">
        <f>IF(INDEX(Project_Tracker!$AL$2:$AL$101,INT((ROW()-6)/17)+1)="","",INDEX(Project_Tracker!$AL$2:$AL$101,INT((ROW()-6)/17)+1))</f>
        <v/>
      </c>
      <c r="B737" s="21" t="str">
        <f>IF($A737="","",INDEX(Project_Tracker!$AM$2:$AM$101,INT((ROW()-6)/17)+1))</f>
        <v/>
      </c>
      <c r="C737" s="20" t="str">
        <f>IF($A737="","",INDEX(Project_Tracker!$C$2:$C$101,INT((ROW()-6)/17)+1))</f>
        <v/>
      </c>
      <c r="D737" s="6" t="str">
        <f>IF($A737="","",INDEX(Project_Tracker!$T$2:$T$101,INT((ROW()-6)/17)+1))</f>
        <v/>
      </c>
      <c r="E737" s="18">
        <f t="shared" si="55"/>
        <v>1</v>
      </c>
      <c r="F737" s="23" t="str">
        <f>IF($A737="","",INDEX('Logic &amp; Lists'!$I$4:$I$20,$E737))</f>
        <v/>
      </c>
      <c r="G737" s="18" t="str">
        <f>IF($A737="","",INDEX('Logic &amp; Lists'!$J$4:$J$20,$E737))</f>
        <v/>
      </c>
      <c r="H737" s="6" t="str">
        <f t="shared" si="56"/>
        <v/>
      </c>
      <c r="I737" s="18" t="str">
        <f t="shared" ca="1" si="57"/>
        <v/>
      </c>
      <c r="J737" s="5" t="str">
        <f t="shared" si="58"/>
        <v/>
      </c>
      <c r="K737" s="25"/>
      <c r="L737" s="5" t="str">
        <f t="shared" si="59"/>
        <v/>
      </c>
      <c r="M737" s="7"/>
      <c r="N737" s="7"/>
      <c r="O737" s="7"/>
      <c r="P737" s="20" t="str">
        <f>IF($A737="","",INDEX(Project_Tracker!$I$2:$I$101,INT((ROW()-6)/17)+1))</f>
        <v/>
      </c>
      <c r="Q737" s="20" t="str">
        <f>IF($A737="","",INDEX(Project_Tracker!$K$2:$K$101,INT((ROW()-6)/17)+1))</f>
        <v/>
      </c>
    </row>
    <row r="738" spans="1:17" x14ac:dyDescent="0.2">
      <c r="A738" s="20" t="str">
        <f>IF(INDEX(Project_Tracker!$AL$2:$AL$101,INT((ROW()-6)/17)+1)="","",INDEX(Project_Tracker!$AL$2:$AL$101,INT((ROW()-6)/17)+1))</f>
        <v/>
      </c>
      <c r="B738" s="21" t="str">
        <f>IF($A738="","",INDEX(Project_Tracker!$AM$2:$AM$101,INT((ROW()-6)/17)+1))</f>
        <v/>
      </c>
      <c r="C738" s="20" t="str">
        <f>IF($A738="","",INDEX(Project_Tracker!$C$2:$C$101,INT((ROW()-6)/17)+1))</f>
        <v/>
      </c>
      <c r="D738" s="6" t="str">
        <f>IF($A738="","",INDEX(Project_Tracker!$T$2:$T$101,INT((ROW()-6)/17)+1))</f>
        <v/>
      </c>
      <c r="E738" s="18">
        <f t="shared" si="55"/>
        <v>2</v>
      </c>
      <c r="F738" s="23" t="str">
        <f>IF($A738="","",INDEX('Logic &amp; Lists'!$I$4:$I$20,$E738))</f>
        <v/>
      </c>
      <c r="G738" s="18" t="str">
        <f>IF($A738="","",INDEX('Logic &amp; Lists'!$J$4:$J$20,$E738))</f>
        <v/>
      </c>
      <c r="H738" s="6" t="str">
        <f t="shared" si="56"/>
        <v/>
      </c>
      <c r="I738" s="18" t="str">
        <f t="shared" ca="1" si="57"/>
        <v/>
      </c>
      <c r="J738" s="5" t="str">
        <f t="shared" si="58"/>
        <v/>
      </c>
      <c r="K738" s="25"/>
      <c r="L738" s="5" t="str">
        <f t="shared" si="59"/>
        <v/>
      </c>
      <c r="M738" s="7"/>
      <c r="N738" s="7"/>
      <c r="O738" s="7"/>
      <c r="P738" s="20" t="str">
        <f>IF($A738="","",INDEX(Project_Tracker!$I$2:$I$101,INT((ROW()-6)/17)+1))</f>
        <v/>
      </c>
      <c r="Q738" s="20" t="str">
        <f>IF($A738="","",INDEX(Project_Tracker!$K$2:$K$101,INT((ROW()-6)/17)+1))</f>
        <v/>
      </c>
    </row>
    <row r="739" spans="1:17" x14ac:dyDescent="0.2">
      <c r="A739" s="20" t="str">
        <f>IF(INDEX(Project_Tracker!$AL$2:$AL$101,INT((ROW()-6)/17)+1)="","",INDEX(Project_Tracker!$AL$2:$AL$101,INT((ROW()-6)/17)+1))</f>
        <v/>
      </c>
      <c r="B739" s="21" t="str">
        <f>IF($A739="","",INDEX(Project_Tracker!$AM$2:$AM$101,INT((ROW()-6)/17)+1))</f>
        <v/>
      </c>
      <c r="C739" s="20" t="str">
        <f>IF($A739="","",INDEX(Project_Tracker!$C$2:$C$101,INT((ROW()-6)/17)+1))</f>
        <v/>
      </c>
      <c r="D739" s="6" t="str">
        <f>IF($A739="","",INDEX(Project_Tracker!$T$2:$T$101,INT((ROW()-6)/17)+1))</f>
        <v/>
      </c>
      <c r="E739" s="18">
        <f t="shared" si="55"/>
        <v>3</v>
      </c>
      <c r="F739" s="23" t="str">
        <f>IF($A739="","",INDEX('Logic &amp; Lists'!$I$4:$I$20,$E739))</f>
        <v/>
      </c>
      <c r="G739" s="18" t="str">
        <f>IF($A739="","",INDEX('Logic &amp; Lists'!$J$4:$J$20,$E739))</f>
        <v/>
      </c>
      <c r="H739" s="6" t="str">
        <f t="shared" si="56"/>
        <v/>
      </c>
      <c r="I739" s="18" t="str">
        <f t="shared" ca="1" si="57"/>
        <v/>
      </c>
      <c r="J739" s="5" t="str">
        <f t="shared" si="58"/>
        <v/>
      </c>
      <c r="K739" s="25"/>
      <c r="L739" s="5" t="str">
        <f t="shared" si="59"/>
        <v/>
      </c>
      <c r="M739" s="7"/>
      <c r="N739" s="7"/>
      <c r="O739" s="7"/>
      <c r="P739" s="20" t="str">
        <f>IF($A739="","",INDEX(Project_Tracker!$I$2:$I$101,INT((ROW()-6)/17)+1))</f>
        <v/>
      </c>
      <c r="Q739" s="20" t="str">
        <f>IF($A739="","",INDEX(Project_Tracker!$K$2:$K$101,INT((ROW()-6)/17)+1))</f>
        <v/>
      </c>
    </row>
    <row r="740" spans="1:17" x14ac:dyDescent="0.2">
      <c r="A740" s="20" t="str">
        <f>IF(INDEX(Project_Tracker!$AL$2:$AL$101,INT((ROW()-6)/17)+1)="","",INDEX(Project_Tracker!$AL$2:$AL$101,INT((ROW()-6)/17)+1))</f>
        <v/>
      </c>
      <c r="B740" s="21" t="str">
        <f>IF($A740="","",INDEX(Project_Tracker!$AM$2:$AM$101,INT((ROW()-6)/17)+1))</f>
        <v/>
      </c>
      <c r="C740" s="20" t="str">
        <f>IF($A740="","",INDEX(Project_Tracker!$C$2:$C$101,INT((ROW()-6)/17)+1))</f>
        <v/>
      </c>
      <c r="D740" s="6" t="str">
        <f>IF($A740="","",INDEX(Project_Tracker!$T$2:$T$101,INT((ROW()-6)/17)+1))</f>
        <v/>
      </c>
      <c r="E740" s="18">
        <f t="shared" si="55"/>
        <v>4</v>
      </c>
      <c r="F740" s="23" t="str">
        <f>IF($A740="","",INDEX('Logic &amp; Lists'!$I$4:$I$20,$E740))</f>
        <v/>
      </c>
      <c r="G740" s="18" t="str">
        <f>IF($A740="","",INDEX('Logic &amp; Lists'!$J$4:$J$20,$E740))</f>
        <v/>
      </c>
      <c r="H740" s="6" t="str">
        <f t="shared" si="56"/>
        <v/>
      </c>
      <c r="I740" s="18" t="str">
        <f t="shared" ca="1" si="57"/>
        <v/>
      </c>
      <c r="J740" s="5" t="str">
        <f t="shared" si="58"/>
        <v/>
      </c>
      <c r="K740" s="25"/>
      <c r="L740" s="5" t="str">
        <f t="shared" si="59"/>
        <v/>
      </c>
      <c r="M740" s="7"/>
      <c r="N740" s="7"/>
      <c r="O740" s="7"/>
      <c r="P740" s="20" t="str">
        <f>IF($A740="","",INDEX(Project_Tracker!$I$2:$I$101,INT((ROW()-6)/17)+1))</f>
        <v/>
      </c>
      <c r="Q740" s="20" t="str">
        <f>IF($A740="","",INDEX(Project_Tracker!$K$2:$K$101,INT((ROW()-6)/17)+1))</f>
        <v/>
      </c>
    </row>
    <row r="741" spans="1:17" x14ac:dyDescent="0.2">
      <c r="A741" s="20" t="str">
        <f>IF(INDEX(Project_Tracker!$AL$2:$AL$101,INT((ROW()-6)/17)+1)="","",INDEX(Project_Tracker!$AL$2:$AL$101,INT((ROW()-6)/17)+1))</f>
        <v/>
      </c>
      <c r="B741" s="21" t="str">
        <f>IF($A741="","",INDEX(Project_Tracker!$AM$2:$AM$101,INT((ROW()-6)/17)+1))</f>
        <v/>
      </c>
      <c r="C741" s="20" t="str">
        <f>IF($A741="","",INDEX(Project_Tracker!$C$2:$C$101,INT((ROW()-6)/17)+1))</f>
        <v/>
      </c>
      <c r="D741" s="6" t="str">
        <f>IF($A741="","",INDEX(Project_Tracker!$T$2:$T$101,INT((ROW()-6)/17)+1))</f>
        <v/>
      </c>
      <c r="E741" s="18">
        <f t="shared" si="55"/>
        <v>5</v>
      </c>
      <c r="F741" s="23" t="str">
        <f>IF($A741="","",INDEX('Logic &amp; Lists'!$I$4:$I$20,$E741))</f>
        <v/>
      </c>
      <c r="G741" s="18" t="str">
        <f>IF($A741="","",INDEX('Logic &amp; Lists'!$J$4:$J$20,$E741))</f>
        <v/>
      </c>
      <c r="H741" s="6" t="str">
        <f t="shared" si="56"/>
        <v/>
      </c>
      <c r="I741" s="18" t="str">
        <f t="shared" ca="1" si="57"/>
        <v/>
      </c>
      <c r="J741" s="5" t="str">
        <f t="shared" si="58"/>
        <v/>
      </c>
      <c r="K741" s="25"/>
      <c r="L741" s="5" t="str">
        <f t="shared" si="59"/>
        <v/>
      </c>
      <c r="M741" s="7"/>
      <c r="N741" s="7"/>
      <c r="O741" s="7"/>
      <c r="P741" s="20" t="str">
        <f>IF($A741="","",INDEX(Project_Tracker!$I$2:$I$101,INT((ROW()-6)/17)+1))</f>
        <v/>
      </c>
      <c r="Q741" s="20" t="str">
        <f>IF($A741="","",INDEX(Project_Tracker!$K$2:$K$101,INT((ROW()-6)/17)+1))</f>
        <v/>
      </c>
    </row>
    <row r="742" spans="1:17" x14ac:dyDescent="0.2">
      <c r="A742" s="20" t="str">
        <f>IF(INDEX(Project_Tracker!$AL$2:$AL$101,INT((ROW()-6)/17)+1)="","",INDEX(Project_Tracker!$AL$2:$AL$101,INT((ROW()-6)/17)+1))</f>
        <v/>
      </c>
      <c r="B742" s="21" t="str">
        <f>IF($A742="","",INDEX(Project_Tracker!$AM$2:$AM$101,INT((ROW()-6)/17)+1))</f>
        <v/>
      </c>
      <c r="C742" s="20" t="str">
        <f>IF($A742="","",INDEX(Project_Tracker!$C$2:$C$101,INT((ROW()-6)/17)+1))</f>
        <v/>
      </c>
      <c r="D742" s="6" t="str">
        <f>IF($A742="","",INDEX(Project_Tracker!$T$2:$T$101,INT((ROW()-6)/17)+1))</f>
        <v/>
      </c>
      <c r="E742" s="18">
        <f t="shared" si="55"/>
        <v>6</v>
      </c>
      <c r="F742" s="23" t="str">
        <f>IF($A742="","",INDEX('Logic &amp; Lists'!$I$4:$I$20,$E742))</f>
        <v/>
      </c>
      <c r="G742" s="18" t="str">
        <f>IF($A742="","",INDEX('Logic &amp; Lists'!$J$4:$J$20,$E742))</f>
        <v/>
      </c>
      <c r="H742" s="6" t="str">
        <f t="shared" si="56"/>
        <v/>
      </c>
      <c r="I742" s="18" t="str">
        <f t="shared" ca="1" si="57"/>
        <v/>
      </c>
      <c r="J742" s="5" t="str">
        <f t="shared" si="58"/>
        <v/>
      </c>
      <c r="K742" s="25"/>
      <c r="L742" s="5" t="str">
        <f t="shared" si="59"/>
        <v/>
      </c>
      <c r="M742" s="7"/>
      <c r="N742" s="7"/>
      <c r="O742" s="7"/>
      <c r="P742" s="20" t="str">
        <f>IF($A742="","",INDEX(Project_Tracker!$I$2:$I$101,INT((ROW()-6)/17)+1))</f>
        <v/>
      </c>
      <c r="Q742" s="20" t="str">
        <f>IF($A742="","",INDEX(Project_Tracker!$K$2:$K$101,INT((ROW()-6)/17)+1))</f>
        <v/>
      </c>
    </row>
    <row r="743" spans="1:17" x14ac:dyDescent="0.2">
      <c r="A743" s="20" t="str">
        <f>IF(INDEX(Project_Tracker!$AL$2:$AL$101,INT((ROW()-6)/17)+1)="","",INDEX(Project_Tracker!$AL$2:$AL$101,INT((ROW()-6)/17)+1))</f>
        <v/>
      </c>
      <c r="B743" s="21" t="str">
        <f>IF($A743="","",INDEX(Project_Tracker!$AM$2:$AM$101,INT((ROW()-6)/17)+1))</f>
        <v/>
      </c>
      <c r="C743" s="20" t="str">
        <f>IF($A743="","",INDEX(Project_Tracker!$C$2:$C$101,INT((ROW()-6)/17)+1))</f>
        <v/>
      </c>
      <c r="D743" s="6" t="str">
        <f>IF($A743="","",INDEX(Project_Tracker!$T$2:$T$101,INT((ROW()-6)/17)+1))</f>
        <v/>
      </c>
      <c r="E743" s="18">
        <f t="shared" si="55"/>
        <v>7</v>
      </c>
      <c r="F743" s="23" t="str">
        <f>IF($A743="","",INDEX('Logic &amp; Lists'!$I$4:$I$20,$E743))</f>
        <v/>
      </c>
      <c r="G743" s="18" t="str">
        <f>IF($A743="","",INDEX('Logic &amp; Lists'!$J$4:$J$20,$E743))</f>
        <v/>
      </c>
      <c r="H743" s="6" t="str">
        <f t="shared" si="56"/>
        <v/>
      </c>
      <c r="I743" s="18" t="str">
        <f t="shared" ca="1" si="57"/>
        <v/>
      </c>
      <c r="J743" s="5" t="str">
        <f t="shared" si="58"/>
        <v/>
      </c>
      <c r="K743" s="25"/>
      <c r="L743" s="5" t="str">
        <f t="shared" si="59"/>
        <v/>
      </c>
      <c r="M743" s="7"/>
      <c r="N743" s="7"/>
      <c r="O743" s="7"/>
      <c r="P743" s="20" t="str">
        <f>IF($A743="","",INDEX(Project_Tracker!$I$2:$I$101,INT((ROW()-6)/17)+1))</f>
        <v/>
      </c>
      <c r="Q743" s="20" t="str">
        <f>IF($A743="","",INDEX(Project_Tracker!$K$2:$K$101,INT((ROW()-6)/17)+1))</f>
        <v/>
      </c>
    </row>
    <row r="744" spans="1:17" x14ac:dyDescent="0.2">
      <c r="A744" s="20" t="str">
        <f>IF(INDEX(Project_Tracker!$AL$2:$AL$101,INT((ROW()-6)/17)+1)="","",INDEX(Project_Tracker!$AL$2:$AL$101,INT((ROW()-6)/17)+1))</f>
        <v/>
      </c>
      <c r="B744" s="21" t="str">
        <f>IF($A744="","",INDEX(Project_Tracker!$AM$2:$AM$101,INT((ROW()-6)/17)+1))</f>
        <v/>
      </c>
      <c r="C744" s="20" t="str">
        <f>IF($A744="","",INDEX(Project_Tracker!$C$2:$C$101,INT((ROW()-6)/17)+1))</f>
        <v/>
      </c>
      <c r="D744" s="6" t="str">
        <f>IF($A744="","",INDEX(Project_Tracker!$T$2:$T$101,INT((ROW()-6)/17)+1))</f>
        <v/>
      </c>
      <c r="E744" s="18">
        <f t="shared" si="55"/>
        <v>8</v>
      </c>
      <c r="F744" s="23" t="str">
        <f>IF($A744="","",INDEX('Logic &amp; Lists'!$I$4:$I$20,$E744))</f>
        <v/>
      </c>
      <c r="G744" s="18" t="str">
        <f>IF($A744="","",INDEX('Logic &amp; Lists'!$J$4:$J$20,$E744))</f>
        <v/>
      </c>
      <c r="H744" s="6" t="str">
        <f t="shared" si="56"/>
        <v/>
      </c>
      <c r="I744" s="18" t="str">
        <f t="shared" ca="1" si="57"/>
        <v/>
      </c>
      <c r="J744" s="5" t="str">
        <f t="shared" si="58"/>
        <v/>
      </c>
      <c r="K744" s="25"/>
      <c r="L744" s="5" t="str">
        <f t="shared" si="59"/>
        <v/>
      </c>
      <c r="M744" s="7"/>
      <c r="N744" s="7"/>
      <c r="O744" s="7"/>
      <c r="P744" s="20" t="str">
        <f>IF($A744="","",INDEX(Project_Tracker!$I$2:$I$101,INT((ROW()-6)/17)+1))</f>
        <v/>
      </c>
      <c r="Q744" s="20" t="str">
        <f>IF($A744="","",INDEX(Project_Tracker!$K$2:$K$101,INT((ROW()-6)/17)+1))</f>
        <v/>
      </c>
    </row>
    <row r="745" spans="1:17" x14ac:dyDescent="0.2">
      <c r="A745" s="20" t="str">
        <f>IF(INDEX(Project_Tracker!$AL$2:$AL$101,INT((ROW()-6)/17)+1)="","",INDEX(Project_Tracker!$AL$2:$AL$101,INT((ROW()-6)/17)+1))</f>
        <v/>
      </c>
      <c r="B745" s="21" t="str">
        <f>IF($A745="","",INDEX(Project_Tracker!$AM$2:$AM$101,INT((ROW()-6)/17)+1))</f>
        <v/>
      </c>
      <c r="C745" s="20" t="str">
        <f>IF($A745="","",INDEX(Project_Tracker!$C$2:$C$101,INT((ROW()-6)/17)+1))</f>
        <v/>
      </c>
      <c r="D745" s="6" t="str">
        <f>IF($A745="","",INDEX(Project_Tracker!$T$2:$T$101,INT((ROW()-6)/17)+1))</f>
        <v/>
      </c>
      <c r="E745" s="18">
        <f t="shared" si="55"/>
        <v>9</v>
      </c>
      <c r="F745" s="23" t="str">
        <f>IF($A745="","",INDEX('Logic &amp; Lists'!$I$4:$I$20,$E745))</f>
        <v/>
      </c>
      <c r="G745" s="18" t="str">
        <f>IF($A745="","",INDEX('Logic &amp; Lists'!$J$4:$J$20,$E745))</f>
        <v/>
      </c>
      <c r="H745" s="6" t="str">
        <f t="shared" si="56"/>
        <v/>
      </c>
      <c r="I745" s="18" t="str">
        <f t="shared" ca="1" si="57"/>
        <v/>
      </c>
      <c r="J745" s="5" t="str">
        <f t="shared" si="58"/>
        <v/>
      </c>
      <c r="K745" s="25"/>
      <c r="L745" s="5" t="str">
        <f t="shared" si="59"/>
        <v/>
      </c>
      <c r="M745" s="7"/>
      <c r="N745" s="7"/>
      <c r="O745" s="7"/>
      <c r="P745" s="20" t="str">
        <f>IF($A745="","",INDEX(Project_Tracker!$I$2:$I$101,INT((ROW()-6)/17)+1))</f>
        <v/>
      </c>
      <c r="Q745" s="20" t="str">
        <f>IF($A745="","",INDEX(Project_Tracker!$K$2:$K$101,INT((ROW()-6)/17)+1))</f>
        <v/>
      </c>
    </row>
    <row r="746" spans="1:17" x14ac:dyDescent="0.2">
      <c r="A746" s="20" t="str">
        <f>IF(INDEX(Project_Tracker!$AL$2:$AL$101,INT((ROW()-6)/17)+1)="","",INDEX(Project_Tracker!$AL$2:$AL$101,INT((ROW()-6)/17)+1))</f>
        <v/>
      </c>
      <c r="B746" s="21" t="str">
        <f>IF($A746="","",INDEX(Project_Tracker!$AM$2:$AM$101,INT((ROW()-6)/17)+1))</f>
        <v/>
      </c>
      <c r="C746" s="20" t="str">
        <f>IF($A746="","",INDEX(Project_Tracker!$C$2:$C$101,INT((ROW()-6)/17)+1))</f>
        <v/>
      </c>
      <c r="D746" s="6" t="str">
        <f>IF($A746="","",INDEX(Project_Tracker!$T$2:$T$101,INT((ROW()-6)/17)+1))</f>
        <v/>
      </c>
      <c r="E746" s="18">
        <f t="shared" si="55"/>
        <v>10</v>
      </c>
      <c r="F746" s="23" t="str">
        <f>IF($A746="","",INDEX('Logic &amp; Lists'!$I$4:$I$20,$E746))</f>
        <v/>
      </c>
      <c r="G746" s="18" t="str">
        <f>IF($A746="","",INDEX('Logic &amp; Lists'!$J$4:$J$20,$E746))</f>
        <v/>
      </c>
      <c r="H746" s="6" t="str">
        <f t="shared" si="56"/>
        <v/>
      </c>
      <c r="I746" s="18" t="str">
        <f t="shared" ca="1" si="57"/>
        <v/>
      </c>
      <c r="J746" s="5" t="str">
        <f t="shared" si="58"/>
        <v/>
      </c>
      <c r="K746" s="25"/>
      <c r="L746" s="5" t="str">
        <f t="shared" si="59"/>
        <v/>
      </c>
      <c r="M746" s="7"/>
      <c r="N746" s="7"/>
      <c r="O746" s="7"/>
      <c r="P746" s="20" t="str">
        <f>IF($A746="","",INDEX(Project_Tracker!$I$2:$I$101,INT((ROW()-6)/17)+1))</f>
        <v/>
      </c>
      <c r="Q746" s="20" t="str">
        <f>IF($A746="","",INDEX(Project_Tracker!$K$2:$K$101,INT((ROW()-6)/17)+1))</f>
        <v/>
      </c>
    </row>
    <row r="747" spans="1:17" x14ac:dyDescent="0.2">
      <c r="A747" s="20" t="str">
        <f>IF(INDEX(Project_Tracker!$AL$2:$AL$101,INT((ROW()-6)/17)+1)="","",INDEX(Project_Tracker!$AL$2:$AL$101,INT((ROW()-6)/17)+1))</f>
        <v/>
      </c>
      <c r="B747" s="21" t="str">
        <f>IF($A747="","",INDEX(Project_Tracker!$AM$2:$AM$101,INT((ROW()-6)/17)+1))</f>
        <v/>
      </c>
      <c r="C747" s="20" t="str">
        <f>IF($A747="","",INDEX(Project_Tracker!$C$2:$C$101,INT((ROW()-6)/17)+1))</f>
        <v/>
      </c>
      <c r="D747" s="6" t="str">
        <f>IF($A747="","",INDEX(Project_Tracker!$T$2:$T$101,INT((ROW()-6)/17)+1))</f>
        <v/>
      </c>
      <c r="E747" s="18">
        <f t="shared" si="55"/>
        <v>11</v>
      </c>
      <c r="F747" s="23" t="str">
        <f>IF($A747="","",INDEX('Logic &amp; Lists'!$I$4:$I$20,$E747))</f>
        <v/>
      </c>
      <c r="G747" s="18" t="str">
        <f>IF($A747="","",INDEX('Logic &amp; Lists'!$J$4:$J$20,$E747))</f>
        <v/>
      </c>
      <c r="H747" s="6" t="str">
        <f t="shared" si="56"/>
        <v/>
      </c>
      <c r="I747" s="18" t="str">
        <f t="shared" ca="1" si="57"/>
        <v/>
      </c>
      <c r="J747" s="5" t="str">
        <f t="shared" si="58"/>
        <v/>
      </c>
      <c r="K747" s="25"/>
      <c r="L747" s="5" t="str">
        <f t="shared" si="59"/>
        <v/>
      </c>
      <c r="M747" s="7"/>
      <c r="N747" s="7"/>
      <c r="O747" s="7"/>
      <c r="P747" s="20" t="str">
        <f>IF($A747="","",INDEX(Project_Tracker!$I$2:$I$101,INT((ROW()-6)/17)+1))</f>
        <v/>
      </c>
      <c r="Q747" s="20" t="str">
        <f>IF($A747="","",INDEX(Project_Tracker!$K$2:$K$101,INT((ROW()-6)/17)+1))</f>
        <v/>
      </c>
    </row>
    <row r="748" spans="1:17" x14ac:dyDescent="0.2">
      <c r="A748" s="20" t="str">
        <f>IF(INDEX(Project_Tracker!$AL$2:$AL$101,INT((ROW()-6)/17)+1)="","",INDEX(Project_Tracker!$AL$2:$AL$101,INT((ROW()-6)/17)+1))</f>
        <v/>
      </c>
      <c r="B748" s="21" t="str">
        <f>IF($A748="","",INDEX(Project_Tracker!$AM$2:$AM$101,INT((ROW()-6)/17)+1))</f>
        <v/>
      </c>
      <c r="C748" s="20" t="str">
        <f>IF($A748="","",INDEX(Project_Tracker!$C$2:$C$101,INT((ROW()-6)/17)+1))</f>
        <v/>
      </c>
      <c r="D748" s="6" t="str">
        <f>IF($A748="","",INDEX(Project_Tracker!$T$2:$T$101,INT((ROW()-6)/17)+1))</f>
        <v/>
      </c>
      <c r="E748" s="18">
        <f t="shared" si="55"/>
        <v>12</v>
      </c>
      <c r="F748" s="23" t="str">
        <f>IF($A748="","",INDEX('Logic &amp; Lists'!$I$4:$I$20,$E748))</f>
        <v/>
      </c>
      <c r="G748" s="18" t="str">
        <f>IF($A748="","",INDEX('Logic &amp; Lists'!$J$4:$J$20,$E748))</f>
        <v/>
      </c>
      <c r="H748" s="6" t="str">
        <f t="shared" si="56"/>
        <v/>
      </c>
      <c r="I748" s="18" t="str">
        <f t="shared" ca="1" si="57"/>
        <v/>
      </c>
      <c r="J748" s="5" t="str">
        <f t="shared" si="58"/>
        <v/>
      </c>
      <c r="K748" s="25"/>
      <c r="L748" s="5" t="str">
        <f t="shared" si="59"/>
        <v/>
      </c>
      <c r="M748" s="7"/>
      <c r="N748" s="7"/>
      <c r="O748" s="7"/>
      <c r="P748" s="20" t="str">
        <f>IF($A748="","",INDEX(Project_Tracker!$I$2:$I$101,INT((ROW()-6)/17)+1))</f>
        <v/>
      </c>
      <c r="Q748" s="20" t="str">
        <f>IF($A748="","",INDEX(Project_Tracker!$K$2:$K$101,INT((ROW()-6)/17)+1))</f>
        <v/>
      </c>
    </row>
    <row r="749" spans="1:17" x14ac:dyDescent="0.2">
      <c r="A749" s="20" t="str">
        <f>IF(INDEX(Project_Tracker!$AL$2:$AL$101,INT((ROW()-6)/17)+1)="","",INDEX(Project_Tracker!$AL$2:$AL$101,INT((ROW()-6)/17)+1))</f>
        <v/>
      </c>
      <c r="B749" s="21" t="str">
        <f>IF($A749="","",INDEX(Project_Tracker!$AM$2:$AM$101,INT((ROW()-6)/17)+1))</f>
        <v/>
      </c>
      <c r="C749" s="20" t="str">
        <f>IF($A749="","",INDEX(Project_Tracker!$C$2:$C$101,INT((ROW()-6)/17)+1))</f>
        <v/>
      </c>
      <c r="D749" s="6" t="str">
        <f>IF($A749="","",INDEX(Project_Tracker!$T$2:$T$101,INT((ROW()-6)/17)+1))</f>
        <v/>
      </c>
      <c r="E749" s="18">
        <f t="shared" si="55"/>
        <v>13</v>
      </c>
      <c r="F749" s="23" t="str">
        <f>IF($A749="","",INDEX('Logic &amp; Lists'!$I$4:$I$20,$E749))</f>
        <v/>
      </c>
      <c r="G749" s="18" t="str">
        <f>IF($A749="","",INDEX('Logic &amp; Lists'!$J$4:$J$20,$E749))</f>
        <v/>
      </c>
      <c r="H749" s="6" t="str">
        <f t="shared" si="56"/>
        <v/>
      </c>
      <c r="I749" s="18" t="str">
        <f t="shared" ca="1" si="57"/>
        <v/>
      </c>
      <c r="J749" s="5" t="str">
        <f t="shared" si="58"/>
        <v/>
      </c>
      <c r="K749" s="25"/>
      <c r="L749" s="5" t="str">
        <f t="shared" si="59"/>
        <v/>
      </c>
      <c r="M749" s="7"/>
      <c r="N749" s="7"/>
      <c r="O749" s="7"/>
      <c r="P749" s="20" t="str">
        <f>IF($A749="","",INDEX(Project_Tracker!$I$2:$I$101,INT((ROW()-6)/17)+1))</f>
        <v/>
      </c>
      <c r="Q749" s="20" t="str">
        <f>IF($A749="","",INDEX(Project_Tracker!$K$2:$K$101,INT((ROW()-6)/17)+1))</f>
        <v/>
      </c>
    </row>
    <row r="750" spans="1:17" x14ac:dyDescent="0.2">
      <c r="A750" s="20" t="str">
        <f>IF(INDEX(Project_Tracker!$AL$2:$AL$101,INT((ROW()-6)/17)+1)="","",INDEX(Project_Tracker!$AL$2:$AL$101,INT((ROW()-6)/17)+1))</f>
        <v/>
      </c>
      <c r="B750" s="21" t="str">
        <f>IF($A750="","",INDEX(Project_Tracker!$AM$2:$AM$101,INT((ROW()-6)/17)+1))</f>
        <v/>
      </c>
      <c r="C750" s="20" t="str">
        <f>IF($A750="","",INDEX(Project_Tracker!$C$2:$C$101,INT((ROW()-6)/17)+1))</f>
        <v/>
      </c>
      <c r="D750" s="6" t="str">
        <f>IF($A750="","",INDEX(Project_Tracker!$T$2:$T$101,INT((ROW()-6)/17)+1))</f>
        <v/>
      </c>
      <c r="E750" s="18">
        <f t="shared" si="55"/>
        <v>14</v>
      </c>
      <c r="F750" s="23" t="str">
        <f>IF($A750="","",INDEX('Logic &amp; Lists'!$I$4:$I$20,$E750))</f>
        <v/>
      </c>
      <c r="G750" s="18" t="str">
        <f>IF($A750="","",INDEX('Logic &amp; Lists'!$J$4:$J$20,$E750))</f>
        <v/>
      </c>
      <c r="H750" s="6" t="str">
        <f t="shared" si="56"/>
        <v/>
      </c>
      <c r="I750" s="18" t="str">
        <f t="shared" ca="1" si="57"/>
        <v/>
      </c>
      <c r="J750" s="5" t="str">
        <f t="shared" si="58"/>
        <v/>
      </c>
      <c r="K750" s="25"/>
      <c r="L750" s="5" t="str">
        <f t="shared" si="59"/>
        <v/>
      </c>
      <c r="M750" s="7"/>
      <c r="N750" s="7"/>
      <c r="O750" s="7"/>
      <c r="P750" s="20" t="str">
        <f>IF($A750="","",INDEX(Project_Tracker!$I$2:$I$101,INT((ROW()-6)/17)+1))</f>
        <v/>
      </c>
      <c r="Q750" s="20" t="str">
        <f>IF($A750="","",INDEX(Project_Tracker!$K$2:$K$101,INT((ROW()-6)/17)+1))</f>
        <v/>
      </c>
    </row>
    <row r="751" spans="1:17" x14ac:dyDescent="0.2">
      <c r="A751" s="20" t="str">
        <f>IF(INDEX(Project_Tracker!$AL$2:$AL$101,INT((ROW()-6)/17)+1)="","",INDEX(Project_Tracker!$AL$2:$AL$101,INT((ROW()-6)/17)+1))</f>
        <v/>
      </c>
      <c r="B751" s="21" t="str">
        <f>IF($A751="","",INDEX(Project_Tracker!$AM$2:$AM$101,INT((ROW()-6)/17)+1))</f>
        <v/>
      </c>
      <c r="C751" s="20" t="str">
        <f>IF($A751="","",INDEX(Project_Tracker!$C$2:$C$101,INT((ROW()-6)/17)+1))</f>
        <v/>
      </c>
      <c r="D751" s="6" t="str">
        <f>IF($A751="","",INDEX(Project_Tracker!$T$2:$T$101,INT((ROW()-6)/17)+1))</f>
        <v/>
      </c>
      <c r="E751" s="18">
        <f t="shared" si="55"/>
        <v>15</v>
      </c>
      <c r="F751" s="23" t="str">
        <f>IF($A751="","",INDEX('Logic &amp; Lists'!$I$4:$I$20,$E751))</f>
        <v/>
      </c>
      <c r="G751" s="18" t="str">
        <f>IF($A751="","",INDEX('Logic &amp; Lists'!$J$4:$J$20,$E751))</f>
        <v/>
      </c>
      <c r="H751" s="6" t="str">
        <f t="shared" si="56"/>
        <v/>
      </c>
      <c r="I751" s="18" t="str">
        <f t="shared" ca="1" si="57"/>
        <v/>
      </c>
      <c r="J751" s="5" t="str">
        <f t="shared" si="58"/>
        <v/>
      </c>
      <c r="K751" s="25"/>
      <c r="L751" s="5" t="str">
        <f t="shared" si="59"/>
        <v/>
      </c>
      <c r="M751" s="7"/>
      <c r="N751" s="7"/>
      <c r="O751" s="7"/>
      <c r="P751" s="20" t="str">
        <f>IF($A751="","",INDEX(Project_Tracker!$I$2:$I$101,INT((ROW()-6)/17)+1))</f>
        <v/>
      </c>
      <c r="Q751" s="20" t="str">
        <f>IF($A751="","",INDEX(Project_Tracker!$K$2:$K$101,INT((ROW()-6)/17)+1))</f>
        <v/>
      </c>
    </row>
    <row r="752" spans="1:17" x14ac:dyDescent="0.2">
      <c r="A752" s="20" t="str">
        <f>IF(INDEX(Project_Tracker!$AL$2:$AL$101,INT((ROW()-6)/17)+1)="","",INDEX(Project_Tracker!$AL$2:$AL$101,INT((ROW()-6)/17)+1))</f>
        <v/>
      </c>
      <c r="B752" s="21" t="str">
        <f>IF($A752="","",INDEX(Project_Tracker!$AM$2:$AM$101,INT((ROW()-6)/17)+1))</f>
        <v/>
      </c>
      <c r="C752" s="20" t="str">
        <f>IF($A752="","",INDEX(Project_Tracker!$C$2:$C$101,INT((ROW()-6)/17)+1))</f>
        <v/>
      </c>
      <c r="D752" s="6" t="str">
        <f>IF($A752="","",INDEX(Project_Tracker!$T$2:$T$101,INT((ROW()-6)/17)+1))</f>
        <v/>
      </c>
      <c r="E752" s="18">
        <f t="shared" si="55"/>
        <v>16</v>
      </c>
      <c r="F752" s="23" t="str">
        <f>IF($A752="","",INDEX('Logic &amp; Lists'!$I$4:$I$20,$E752))</f>
        <v/>
      </c>
      <c r="G752" s="18" t="str">
        <f>IF($A752="","",INDEX('Logic &amp; Lists'!$J$4:$J$20,$E752))</f>
        <v/>
      </c>
      <c r="H752" s="6" t="str">
        <f t="shared" si="56"/>
        <v/>
      </c>
      <c r="I752" s="18" t="str">
        <f t="shared" ca="1" si="57"/>
        <v/>
      </c>
      <c r="J752" s="5" t="str">
        <f t="shared" si="58"/>
        <v/>
      </c>
      <c r="K752" s="25"/>
      <c r="L752" s="5" t="str">
        <f t="shared" si="59"/>
        <v/>
      </c>
      <c r="M752" s="7"/>
      <c r="N752" s="7"/>
      <c r="O752" s="7"/>
      <c r="P752" s="20" t="str">
        <f>IF($A752="","",INDEX(Project_Tracker!$I$2:$I$101,INT((ROW()-6)/17)+1))</f>
        <v/>
      </c>
      <c r="Q752" s="20" t="str">
        <f>IF($A752="","",INDEX(Project_Tracker!$K$2:$K$101,INT((ROW()-6)/17)+1))</f>
        <v/>
      </c>
    </row>
    <row r="753" spans="1:17" x14ac:dyDescent="0.2">
      <c r="A753" s="20" t="str">
        <f>IF(INDEX(Project_Tracker!$AL$2:$AL$101,INT((ROW()-6)/17)+1)="","",INDEX(Project_Tracker!$AL$2:$AL$101,INT((ROW()-6)/17)+1))</f>
        <v/>
      </c>
      <c r="B753" s="21" t="str">
        <f>IF($A753="","",INDEX(Project_Tracker!$AM$2:$AM$101,INT((ROW()-6)/17)+1))</f>
        <v/>
      </c>
      <c r="C753" s="20" t="str">
        <f>IF($A753="","",INDEX(Project_Tracker!$C$2:$C$101,INT((ROW()-6)/17)+1))</f>
        <v/>
      </c>
      <c r="D753" s="6" t="str">
        <f>IF($A753="","",INDEX(Project_Tracker!$T$2:$T$101,INT((ROW()-6)/17)+1))</f>
        <v/>
      </c>
      <c r="E753" s="18">
        <f t="shared" si="55"/>
        <v>17</v>
      </c>
      <c r="F753" s="23" t="str">
        <f>IF($A753="","",INDEX('Logic &amp; Lists'!$I$4:$I$20,$E753))</f>
        <v/>
      </c>
      <c r="G753" s="18" t="str">
        <f>IF($A753="","",INDEX('Logic &amp; Lists'!$J$4:$J$20,$E753))</f>
        <v/>
      </c>
      <c r="H753" s="6" t="str">
        <f t="shared" si="56"/>
        <v/>
      </c>
      <c r="I753" s="18" t="str">
        <f t="shared" ca="1" si="57"/>
        <v/>
      </c>
      <c r="J753" s="5" t="str">
        <f t="shared" si="58"/>
        <v/>
      </c>
      <c r="K753" s="25"/>
      <c r="L753" s="5" t="str">
        <f t="shared" si="59"/>
        <v/>
      </c>
      <c r="M753" s="7"/>
      <c r="N753" s="7"/>
      <c r="O753" s="7"/>
      <c r="P753" s="20" t="str">
        <f>IF($A753="","",INDEX(Project_Tracker!$I$2:$I$101,INT((ROW()-6)/17)+1))</f>
        <v/>
      </c>
      <c r="Q753" s="20" t="str">
        <f>IF($A753="","",INDEX(Project_Tracker!$K$2:$K$101,INT((ROW()-6)/17)+1))</f>
        <v/>
      </c>
    </row>
    <row r="754" spans="1:17" x14ac:dyDescent="0.2">
      <c r="A754" s="20" t="str">
        <f>IF(INDEX(Project_Tracker!$AL$2:$AL$101,INT((ROW()-6)/17)+1)="","",INDEX(Project_Tracker!$AL$2:$AL$101,INT((ROW()-6)/17)+1))</f>
        <v/>
      </c>
      <c r="B754" s="21" t="str">
        <f>IF($A754="","",INDEX(Project_Tracker!$AM$2:$AM$101,INT((ROW()-6)/17)+1))</f>
        <v/>
      </c>
      <c r="C754" s="20" t="str">
        <f>IF($A754="","",INDEX(Project_Tracker!$C$2:$C$101,INT((ROW()-6)/17)+1))</f>
        <v/>
      </c>
      <c r="D754" s="6" t="str">
        <f>IF($A754="","",INDEX(Project_Tracker!$T$2:$T$101,INT((ROW()-6)/17)+1))</f>
        <v/>
      </c>
      <c r="E754" s="18">
        <f t="shared" si="55"/>
        <v>1</v>
      </c>
      <c r="F754" s="23" t="str">
        <f>IF($A754="","",INDEX('Logic &amp; Lists'!$I$4:$I$20,$E754))</f>
        <v/>
      </c>
      <c r="G754" s="18" t="str">
        <f>IF($A754="","",INDEX('Logic &amp; Lists'!$J$4:$J$20,$E754))</f>
        <v/>
      </c>
      <c r="H754" s="6" t="str">
        <f t="shared" si="56"/>
        <v/>
      </c>
      <c r="I754" s="18" t="str">
        <f t="shared" ca="1" si="57"/>
        <v/>
      </c>
      <c r="J754" s="5" t="str">
        <f t="shared" si="58"/>
        <v/>
      </c>
      <c r="K754" s="25"/>
      <c r="L754" s="5" t="str">
        <f t="shared" si="59"/>
        <v/>
      </c>
      <c r="M754" s="7"/>
      <c r="N754" s="7"/>
      <c r="O754" s="7"/>
      <c r="P754" s="20" t="str">
        <f>IF($A754="","",INDEX(Project_Tracker!$I$2:$I$101,INT((ROW()-6)/17)+1))</f>
        <v/>
      </c>
      <c r="Q754" s="20" t="str">
        <f>IF($A754="","",INDEX(Project_Tracker!$K$2:$K$101,INT((ROW()-6)/17)+1))</f>
        <v/>
      </c>
    </row>
    <row r="755" spans="1:17" x14ac:dyDescent="0.2">
      <c r="A755" s="20" t="str">
        <f>IF(INDEX(Project_Tracker!$AL$2:$AL$101,INT((ROW()-6)/17)+1)="","",INDEX(Project_Tracker!$AL$2:$AL$101,INT((ROW()-6)/17)+1))</f>
        <v/>
      </c>
      <c r="B755" s="21" t="str">
        <f>IF($A755="","",INDEX(Project_Tracker!$AM$2:$AM$101,INT((ROW()-6)/17)+1))</f>
        <v/>
      </c>
      <c r="C755" s="20" t="str">
        <f>IF($A755="","",INDEX(Project_Tracker!$C$2:$C$101,INT((ROW()-6)/17)+1))</f>
        <v/>
      </c>
      <c r="D755" s="6" t="str">
        <f>IF($A755="","",INDEX(Project_Tracker!$T$2:$T$101,INT((ROW()-6)/17)+1))</f>
        <v/>
      </c>
      <c r="E755" s="18">
        <f t="shared" si="55"/>
        <v>2</v>
      </c>
      <c r="F755" s="23" t="str">
        <f>IF($A755="","",INDEX('Logic &amp; Lists'!$I$4:$I$20,$E755))</f>
        <v/>
      </c>
      <c r="G755" s="18" t="str">
        <f>IF($A755="","",INDEX('Logic &amp; Lists'!$J$4:$J$20,$E755))</f>
        <v/>
      </c>
      <c r="H755" s="6" t="str">
        <f t="shared" si="56"/>
        <v/>
      </c>
      <c r="I755" s="18" t="str">
        <f t="shared" ca="1" si="57"/>
        <v/>
      </c>
      <c r="J755" s="5" t="str">
        <f t="shared" si="58"/>
        <v/>
      </c>
      <c r="K755" s="25"/>
      <c r="L755" s="5" t="str">
        <f t="shared" si="59"/>
        <v/>
      </c>
      <c r="M755" s="7"/>
      <c r="N755" s="7"/>
      <c r="O755" s="7"/>
      <c r="P755" s="20" t="str">
        <f>IF($A755="","",INDEX(Project_Tracker!$I$2:$I$101,INT((ROW()-6)/17)+1))</f>
        <v/>
      </c>
      <c r="Q755" s="20" t="str">
        <f>IF($A755="","",INDEX(Project_Tracker!$K$2:$K$101,INT((ROW()-6)/17)+1))</f>
        <v/>
      </c>
    </row>
    <row r="756" spans="1:17" x14ac:dyDescent="0.2">
      <c r="A756" s="20" t="str">
        <f>IF(INDEX(Project_Tracker!$AL$2:$AL$101,INT((ROW()-6)/17)+1)="","",INDEX(Project_Tracker!$AL$2:$AL$101,INT((ROW()-6)/17)+1))</f>
        <v/>
      </c>
      <c r="B756" s="21" t="str">
        <f>IF($A756="","",INDEX(Project_Tracker!$AM$2:$AM$101,INT((ROW()-6)/17)+1))</f>
        <v/>
      </c>
      <c r="C756" s="20" t="str">
        <f>IF($A756="","",INDEX(Project_Tracker!$C$2:$C$101,INT((ROW()-6)/17)+1))</f>
        <v/>
      </c>
      <c r="D756" s="6" t="str">
        <f>IF($A756="","",INDEX(Project_Tracker!$T$2:$T$101,INT((ROW()-6)/17)+1))</f>
        <v/>
      </c>
      <c r="E756" s="18">
        <f t="shared" si="55"/>
        <v>3</v>
      </c>
      <c r="F756" s="23" t="str">
        <f>IF($A756="","",INDEX('Logic &amp; Lists'!$I$4:$I$20,$E756))</f>
        <v/>
      </c>
      <c r="G756" s="18" t="str">
        <f>IF($A756="","",INDEX('Logic &amp; Lists'!$J$4:$J$20,$E756))</f>
        <v/>
      </c>
      <c r="H756" s="6" t="str">
        <f t="shared" si="56"/>
        <v/>
      </c>
      <c r="I756" s="18" t="str">
        <f t="shared" ca="1" si="57"/>
        <v/>
      </c>
      <c r="J756" s="5" t="str">
        <f t="shared" si="58"/>
        <v/>
      </c>
      <c r="K756" s="25"/>
      <c r="L756" s="5" t="str">
        <f t="shared" si="59"/>
        <v/>
      </c>
      <c r="M756" s="7"/>
      <c r="N756" s="7"/>
      <c r="O756" s="7"/>
      <c r="P756" s="20" t="str">
        <f>IF($A756="","",INDEX(Project_Tracker!$I$2:$I$101,INT((ROW()-6)/17)+1))</f>
        <v/>
      </c>
      <c r="Q756" s="20" t="str">
        <f>IF($A756="","",INDEX(Project_Tracker!$K$2:$K$101,INT((ROW()-6)/17)+1))</f>
        <v/>
      </c>
    </row>
    <row r="757" spans="1:17" x14ac:dyDescent="0.2">
      <c r="A757" s="20" t="str">
        <f>IF(INDEX(Project_Tracker!$AL$2:$AL$101,INT((ROW()-6)/17)+1)="","",INDEX(Project_Tracker!$AL$2:$AL$101,INT((ROW()-6)/17)+1))</f>
        <v/>
      </c>
      <c r="B757" s="21" t="str">
        <f>IF($A757="","",INDEX(Project_Tracker!$AM$2:$AM$101,INT((ROW()-6)/17)+1))</f>
        <v/>
      </c>
      <c r="C757" s="20" t="str">
        <f>IF($A757="","",INDEX(Project_Tracker!$C$2:$C$101,INT((ROW()-6)/17)+1))</f>
        <v/>
      </c>
      <c r="D757" s="6" t="str">
        <f>IF($A757="","",INDEX(Project_Tracker!$T$2:$T$101,INT((ROW()-6)/17)+1))</f>
        <v/>
      </c>
      <c r="E757" s="18">
        <f t="shared" si="55"/>
        <v>4</v>
      </c>
      <c r="F757" s="23" t="str">
        <f>IF($A757="","",INDEX('Logic &amp; Lists'!$I$4:$I$20,$E757))</f>
        <v/>
      </c>
      <c r="G757" s="18" t="str">
        <f>IF($A757="","",INDEX('Logic &amp; Lists'!$J$4:$J$20,$E757))</f>
        <v/>
      </c>
      <c r="H757" s="6" t="str">
        <f t="shared" si="56"/>
        <v/>
      </c>
      <c r="I757" s="18" t="str">
        <f t="shared" ca="1" si="57"/>
        <v/>
      </c>
      <c r="J757" s="5" t="str">
        <f t="shared" si="58"/>
        <v/>
      </c>
      <c r="K757" s="25"/>
      <c r="L757" s="5" t="str">
        <f t="shared" si="59"/>
        <v/>
      </c>
      <c r="M757" s="7"/>
      <c r="N757" s="7"/>
      <c r="O757" s="7"/>
      <c r="P757" s="20" t="str">
        <f>IF($A757="","",INDEX(Project_Tracker!$I$2:$I$101,INT((ROW()-6)/17)+1))</f>
        <v/>
      </c>
      <c r="Q757" s="20" t="str">
        <f>IF($A757="","",INDEX(Project_Tracker!$K$2:$K$101,INT((ROW()-6)/17)+1))</f>
        <v/>
      </c>
    </row>
    <row r="758" spans="1:17" x14ac:dyDescent="0.2">
      <c r="A758" s="20" t="str">
        <f>IF(INDEX(Project_Tracker!$AL$2:$AL$101,INT((ROW()-6)/17)+1)="","",INDEX(Project_Tracker!$AL$2:$AL$101,INT((ROW()-6)/17)+1))</f>
        <v/>
      </c>
      <c r="B758" s="21" t="str">
        <f>IF($A758="","",INDEX(Project_Tracker!$AM$2:$AM$101,INT((ROW()-6)/17)+1))</f>
        <v/>
      </c>
      <c r="C758" s="20" t="str">
        <f>IF($A758="","",INDEX(Project_Tracker!$C$2:$C$101,INT((ROW()-6)/17)+1))</f>
        <v/>
      </c>
      <c r="D758" s="6" t="str">
        <f>IF($A758="","",INDEX(Project_Tracker!$T$2:$T$101,INT((ROW()-6)/17)+1))</f>
        <v/>
      </c>
      <c r="E758" s="18">
        <f t="shared" si="55"/>
        <v>5</v>
      </c>
      <c r="F758" s="23" t="str">
        <f>IF($A758="","",INDEX('Logic &amp; Lists'!$I$4:$I$20,$E758))</f>
        <v/>
      </c>
      <c r="G758" s="18" t="str">
        <f>IF($A758="","",INDEX('Logic &amp; Lists'!$J$4:$J$20,$E758))</f>
        <v/>
      </c>
      <c r="H758" s="6" t="str">
        <f t="shared" si="56"/>
        <v/>
      </c>
      <c r="I758" s="18" t="str">
        <f t="shared" ca="1" si="57"/>
        <v/>
      </c>
      <c r="J758" s="5" t="str">
        <f t="shared" si="58"/>
        <v/>
      </c>
      <c r="K758" s="25"/>
      <c r="L758" s="5" t="str">
        <f t="shared" si="59"/>
        <v/>
      </c>
      <c r="M758" s="7"/>
      <c r="N758" s="7"/>
      <c r="O758" s="7"/>
      <c r="P758" s="20" t="str">
        <f>IF($A758="","",INDEX(Project_Tracker!$I$2:$I$101,INT((ROW()-6)/17)+1))</f>
        <v/>
      </c>
      <c r="Q758" s="20" t="str">
        <f>IF($A758="","",INDEX(Project_Tracker!$K$2:$K$101,INT((ROW()-6)/17)+1))</f>
        <v/>
      </c>
    </row>
    <row r="759" spans="1:17" x14ac:dyDescent="0.2">
      <c r="A759" s="20" t="str">
        <f>IF(INDEX(Project_Tracker!$AL$2:$AL$101,INT((ROW()-6)/17)+1)="","",INDEX(Project_Tracker!$AL$2:$AL$101,INT((ROW()-6)/17)+1))</f>
        <v/>
      </c>
      <c r="B759" s="21" t="str">
        <f>IF($A759="","",INDEX(Project_Tracker!$AM$2:$AM$101,INT((ROW()-6)/17)+1))</f>
        <v/>
      </c>
      <c r="C759" s="20" t="str">
        <f>IF($A759="","",INDEX(Project_Tracker!$C$2:$C$101,INT((ROW()-6)/17)+1))</f>
        <v/>
      </c>
      <c r="D759" s="6" t="str">
        <f>IF($A759="","",INDEX(Project_Tracker!$T$2:$T$101,INT((ROW()-6)/17)+1))</f>
        <v/>
      </c>
      <c r="E759" s="18">
        <f t="shared" si="55"/>
        <v>6</v>
      </c>
      <c r="F759" s="23" t="str">
        <f>IF($A759="","",INDEX('Logic &amp; Lists'!$I$4:$I$20,$E759))</f>
        <v/>
      </c>
      <c r="G759" s="18" t="str">
        <f>IF($A759="","",INDEX('Logic &amp; Lists'!$J$4:$J$20,$E759))</f>
        <v/>
      </c>
      <c r="H759" s="6" t="str">
        <f t="shared" si="56"/>
        <v/>
      </c>
      <c r="I759" s="18" t="str">
        <f t="shared" ca="1" si="57"/>
        <v/>
      </c>
      <c r="J759" s="5" t="str">
        <f t="shared" si="58"/>
        <v/>
      </c>
      <c r="K759" s="25"/>
      <c r="L759" s="5" t="str">
        <f t="shared" si="59"/>
        <v/>
      </c>
      <c r="M759" s="7"/>
      <c r="N759" s="7"/>
      <c r="O759" s="7"/>
      <c r="P759" s="20" t="str">
        <f>IF($A759="","",INDEX(Project_Tracker!$I$2:$I$101,INT((ROW()-6)/17)+1))</f>
        <v/>
      </c>
      <c r="Q759" s="20" t="str">
        <f>IF($A759="","",INDEX(Project_Tracker!$K$2:$K$101,INT((ROW()-6)/17)+1))</f>
        <v/>
      </c>
    </row>
    <row r="760" spans="1:17" x14ac:dyDescent="0.2">
      <c r="A760" s="20" t="str">
        <f>IF(INDEX(Project_Tracker!$AL$2:$AL$101,INT((ROW()-6)/17)+1)="","",INDEX(Project_Tracker!$AL$2:$AL$101,INT((ROW()-6)/17)+1))</f>
        <v/>
      </c>
      <c r="B760" s="21" t="str">
        <f>IF($A760="","",INDEX(Project_Tracker!$AM$2:$AM$101,INT((ROW()-6)/17)+1))</f>
        <v/>
      </c>
      <c r="C760" s="20" t="str">
        <f>IF($A760="","",INDEX(Project_Tracker!$C$2:$C$101,INT((ROW()-6)/17)+1))</f>
        <v/>
      </c>
      <c r="D760" s="6" t="str">
        <f>IF($A760="","",INDEX(Project_Tracker!$T$2:$T$101,INT((ROW()-6)/17)+1))</f>
        <v/>
      </c>
      <c r="E760" s="18">
        <f t="shared" si="55"/>
        <v>7</v>
      </c>
      <c r="F760" s="23" t="str">
        <f>IF($A760="","",INDEX('Logic &amp; Lists'!$I$4:$I$20,$E760))</f>
        <v/>
      </c>
      <c r="G760" s="18" t="str">
        <f>IF($A760="","",INDEX('Logic &amp; Lists'!$J$4:$J$20,$E760))</f>
        <v/>
      </c>
      <c r="H760" s="6" t="str">
        <f t="shared" si="56"/>
        <v/>
      </c>
      <c r="I760" s="18" t="str">
        <f t="shared" ca="1" si="57"/>
        <v/>
      </c>
      <c r="J760" s="5" t="str">
        <f t="shared" si="58"/>
        <v/>
      </c>
      <c r="K760" s="25"/>
      <c r="L760" s="5" t="str">
        <f t="shared" si="59"/>
        <v/>
      </c>
      <c r="M760" s="7"/>
      <c r="N760" s="7"/>
      <c r="O760" s="7"/>
      <c r="P760" s="20" t="str">
        <f>IF($A760="","",INDEX(Project_Tracker!$I$2:$I$101,INT((ROW()-6)/17)+1))</f>
        <v/>
      </c>
      <c r="Q760" s="20" t="str">
        <f>IF($A760="","",INDEX(Project_Tracker!$K$2:$K$101,INT((ROW()-6)/17)+1))</f>
        <v/>
      </c>
    </row>
    <row r="761" spans="1:17" x14ac:dyDescent="0.2">
      <c r="A761" s="20" t="str">
        <f>IF(INDEX(Project_Tracker!$AL$2:$AL$101,INT((ROW()-6)/17)+1)="","",INDEX(Project_Tracker!$AL$2:$AL$101,INT((ROW()-6)/17)+1))</f>
        <v/>
      </c>
      <c r="B761" s="21" t="str">
        <f>IF($A761="","",INDEX(Project_Tracker!$AM$2:$AM$101,INT((ROW()-6)/17)+1))</f>
        <v/>
      </c>
      <c r="C761" s="20" t="str">
        <f>IF($A761="","",INDEX(Project_Tracker!$C$2:$C$101,INT((ROW()-6)/17)+1))</f>
        <v/>
      </c>
      <c r="D761" s="6" t="str">
        <f>IF($A761="","",INDEX(Project_Tracker!$T$2:$T$101,INT((ROW()-6)/17)+1))</f>
        <v/>
      </c>
      <c r="E761" s="18">
        <f t="shared" si="55"/>
        <v>8</v>
      </c>
      <c r="F761" s="23" t="str">
        <f>IF($A761="","",INDEX('Logic &amp; Lists'!$I$4:$I$20,$E761))</f>
        <v/>
      </c>
      <c r="G761" s="18" t="str">
        <f>IF($A761="","",INDEX('Logic &amp; Lists'!$J$4:$J$20,$E761))</f>
        <v/>
      </c>
      <c r="H761" s="6" t="str">
        <f t="shared" si="56"/>
        <v/>
      </c>
      <c r="I761" s="18" t="str">
        <f t="shared" ca="1" si="57"/>
        <v/>
      </c>
      <c r="J761" s="5" t="str">
        <f t="shared" si="58"/>
        <v/>
      </c>
      <c r="K761" s="25"/>
      <c r="L761" s="5" t="str">
        <f t="shared" si="59"/>
        <v/>
      </c>
      <c r="M761" s="7"/>
      <c r="N761" s="7"/>
      <c r="O761" s="7"/>
      <c r="P761" s="20" t="str">
        <f>IF($A761="","",INDEX(Project_Tracker!$I$2:$I$101,INT((ROW()-6)/17)+1))</f>
        <v/>
      </c>
      <c r="Q761" s="20" t="str">
        <f>IF($A761="","",INDEX(Project_Tracker!$K$2:$K$101,INT((ROW()-6)/17)+1))</f>
        <v/>
      </c>
    </row>
    <row r="762" spans="1:17" x14ac:dyDescent="0.2">
      <c r="A762" s="20" t="str">
        <f>IF(INDEX(Project_Tracker!$AL$2:$AL$101,INT((ROW()-6)/17)+1)="","",INDEX(Project_Tracker!$AL$2:$AL$101,INT((ROW()-6)/17)+1))</f>
        <v/>
      </c>
      <c r="B762" s="21" t="str">
        <f>IF($A762="","",INDEX(Project_Tracker!$AM$2:$AM$101,INT((ROW()-6)/17)+1))</f>
        <v/>
      </c>
      <c r="C762" s="20" t="str">
        <f>IF($A762="","",INDEX(Project_Tracker!$C$2:$C$101,INT((ROW()-6)/17)+1))</f>
        <v/>
      </c>
      <c r="D762" s="6" t="str">
        <f>IF($A762="","",INDEX(Project_Tracker!$T$2:$T$101,INT((ROW()-6)/17)+1))</f>
        <v/>
      </c>
      <c r="E762" s="18">
        <f t="shared" si="55"/>
        <v>9</v>
      </c>
      <c r="F762" s="23" t="str">
        <f>IF($A762="","",INDEX('Logic &amp; Lists'!$I$4:$I$20,$E762))</f>
        <v/>
      </c>
      <c r="G762" s="18" t="str">
        <f>IF($A762="","",INDEX('Logic &amp; Lists'!$J$4:$J$20,$E762))</f>
        <v/>
      </c>
      <c r="H762" s="6" t="str">
        <f t="shared" si="56"/>
        <v/>
      </c>
      <c r="I762" s="18" t="str">
        <f t="shared" ca="1" si="57"/>
        <v/>
      </c>
      <c r="J762" s="5" t="str">
        <f t="shared" si="58"/>
        <v/>
      </c>
      <c r="K762" s="25"/>
      <c r="L762" s="5" t="str">
        <f t="shared" si="59"/>
        <v/>
      </c>
      <c r="M762" s="7"/>
      <c r="N762" s="7"/>
      <c r="O762" s="7"/>
      <c r="P762" s="20" t="str">
        <f>IF($A762="","",INDEX(Project_Tracker!$I$2:$I$101,INT((ROW()-6)/17)+1))</f>
        <v/>
      </c>
      <c r="Q762" s="20" t="str">
        <f>IF($A762="","",INDEX(Project_Tracker!$K$2:$K$101,INT((ROW()-6)/17)+1))</f>
        <v/>
      </c>
    </row>
    <row r="763" spans="1:17" x14ac:dyDescent="0.2">
      <c r="A763" s="20" t="str">
        <f>IF(INDEX(Project_Tracker!$AL$2:$AL$101,INT((ROW()-6)/17)+1)="","",INDEX(Project_Tracker!$AL$2:$AL$101,INT((ROW()-6)/17)+1))</f>
        <v/>
      </c>
      <c r="B763" s="21" t="str">
        <f>IF($A763="","",INDEX(Project_Tracker!$AM$2:$AM$101,INT((ROW()-6)/17)+1))</f>
        <v/>
      </c>
      <c r="C763" s="20" t="str">
        <f>IF($A763="","",INDEX(Project_Tracker!$C$2:$C$101,INT((ROW()-6)/17)+1))</f>
        <v/>
      </c>
      <c r="D763" s="6" t="str">
        <f>IF($A763="","",INDEX(Project_Tracker!$T$2:$T$101,INT((ROW()-6)/17)+1))</f>
        <v/>
      </c>
      <c r="E763" s="18">
        <f t="shared" si="55"/>
        <v>10</v>
      </c>
      <c r="F763" s="23" t="str">
        <f>IF($A763="","",INDEX('Logic &amp; Lists'!$I$4:$I$20,$E763))</f>
        <v/>
      </c>
      <c r="G763" s="18" t="str">
        <f>IF($A763="","",INDEX('Logic &amp; Lists'!$J$4:$J$20,$E763))</f>
        <v/>
      </c>
      <c r="H763" s="6" t="str">
        <f t="shared" si="56"/>
        <v/>
      </c>
      <c r="I763" s="18" t="str">
        <f t="shared" ca="1" si="57"/>
        <v/>
      </c>
      <c r="J763" s="5" t="str">
        <f t="shared" si="58"/>
        <v/>
      </c>
      <c r="K763" s="25"/>
      <c r="L763" s="5" t="str">
        <f t="shared" si="59"/>
        <v/>
      </c>
      <c r="M763" s="7"/>
      <c r="N763" s="7"/>
      <c r="O763" s="7"/>
      <c r="P763" s="20" t="str">
        <f>IF($A763="","",INDEX(Project_Tracker!$I$2:$I$101,INT((ROW()-6)/17)+1))</f>
        <v/>
      </c>
      <c r="Q763" s="20" t="str">
        <f>IF($A763="","",INDEX(Project_Tracker!$K$2:$K$101,INT((ROW()-6)/17)+1))</f>
        <v/>
      </c>
    </row>
    <row r="764" spans="1:17" x14ac:dyDescent="0.2">
      <c r="A764" s="20" t="str">
        <f>IF(INDEX(Project_Tracker!$AL$2:$AL$101,INT((ROW()-6)/17)+1)="","",INDEX(Project_Tracker!$AL$2:$AL$101,INT((ROW()-6)/17)+1))</f>
        <v/>
      </c>
      <c r="B764" s="21" t="str">
        <f>IF($A764="","",INDEX(Project_Tracker!$AM$2:$AM$101,INT((ROW()-6)/17)+1))</f>
        <v/>
      </c>
      <c r="C764" s="20" t="str">
        <f>IF($A764="","",INDEX(Project_Tracker!$C$2:$C$101,INT((ROW()-6)/17)+1))</f>
        <v/>
      </c>
      <c r="D764" s="6" t="str">
        <f>IF($A764="","",INDEX(Project_Tracker!$T$2:$T$101,INT((ROW()-6)/17)+1))</f>
        <v/>
      </c>
      <c r="E764" s="18">
        <f t="shared" si="55"/>
        <v>11</v>
      </c>
      <c r="F764" s="23" t="str">
        <f>IF($A764="","",INDEX('Logic &amp; Lists'!$I$4:$I$20,$E764))</f>
        <v/>
      </c>
      <c r="G764" s="18" t="str">
        <f>IF($A764="","",INDEX('Logic &amp; Lists'!$J$4:$J$20,$E764))</f>
        <v/>
      </c>
      <c r="H764" s="6" t="str">
        <f t="shared" si="56"/>
        <v/>
      </c>
      <c r="I764" s="18" t="str">
        <f t="shared" ca="1" si="57"/>
        <v/>
      </c>
      <c r="J764" s="5" t="str">
        <f t="shared" si="58"/>
        <v/>
      </c>
      <c r="K764" s="25"/>
      <c r="L764" s="5" t="str">
        <f t="shared" si="59"/>
        <v/>
      </c>
      <c r="M764" s="7"/>
      <c r="N764" s="7"/>
      <c r="O764" s="7"/>
      <c r="P764" s="20" t="str">
        <f>IF($A764="","",INDEX(Project_Tracker!$I$2:$I$101,INT((ROW()-6)/17)+1))</f>
        <v/>
      </c>
      <c r="Q764" s="20" t="str">
        <f>IF($A764="","",INDEX(Project_Tracker!$K$2:$K$101,INT((ROW()-6)/17)+1))</f>
        <v/>
      </c>
    </row>
    <row r="765" spans="1:17" x14ac:dyDescent="0.2">
      <c r="A765" s="20" t="str">
        <f>IF(INDEX(Project_Tracker!$AL$2:$AL$101,INT((ROW()-6)/17)+1)="","",INDEX(Project_Tracker!$AL$2:$AL$101,INT((ROW()-6)/17)+1))</f>
        <v/>
      </c>
      <c r="B765" s="21" t="str">
        <f>IF($A765="","",INDEX(Project_Tracker!$AM$2:$AM$101,INT((ROW()-6)/17)+1))</f>
        <v/>
      </c>
      <c r="C765" s="20" t="str">
        <f>IF($A765="","",INDEX(Project_Tracker!$C$2:$C$101,INT((ROW()-6)/17)+1))</f>
        <v/>
      </c>
      <c r="D765" s="6" t="str">
        <f>IF($A765="","",INDEX(Project_Tracker!$T$2:$T$101,INT((ROW()-6)/17)+1))</f>
        <v/>
      </c>
      <c r="E765" s="18">
        <f t="shared" si="55"/>
        <v>12</v>
      </c>
      <c r="F765" s="23" t="str">
        <f>IF($A765="","",INDEX('Logic &amp; Lists'!$I$4:$I$20,$E765))</f>
        <v/>
      </c>
      <c r="G765" s="18" t="str">
        <f>IF($A765="","",INDEX('Logic &amp; Lists'!$J$4:$J$20,$E765))</f>
        <v/>
      </c>
      <c r="H765" s="6" t="str">
        <f t="shared" si="56"/>
        <v/>
      </c>
      <c r="I765" s="18" t="str">
        <f t="shared" ca="1" si="57"/>
        <v/>
      </c>
      <c r="J765" s="5" t="str">
        <f t="shared" si="58"/>
        <v/>
      </c>
      <c r="K765" s="25"/>
      <c r="L765" s="5" t="str">
        <f t="shared" si="59"/>
        <v/>
      </c>
      <c r="M765" s="7"/>
      <c r="N765" s="7"/>
      <c r="O765" s="7"/>
      <c r="P765" s="20" t="str">
        <f>IF($A765="","",INDEX(Project_Tracker!$I$2:$I$101,INT((ROW()-6)/17)+1))</f>
        <v/>
      </c>
      <c r="Q765" s="20" t="str">
        <f>IF($A765="","",INDEX(Project_Tracker!$K$2:$K$101,INT((ROW()-6)/17)+1))</f>
        <v/>
      </c>
    </row>
    <row r="766" spans="1:17" x14ac:dyDescent="0.2">
      <c r="A766" s="20" t="str">
        <f>IF(INDEX(Project_Tracker!$AL$2:$AL$101,INT((ROW()-6)/17)+1)="","",INDEX(Project_Tracker!$AL$2:$AL$101,INT((ROW()-6)/17)+1))</f>
        <v/>
      </c>
      <c r="B766" s="21" t="str">
        <f>IF($A766="","",INDEX(Project_Tracker!$AM$2:$AM$101,INT((ROW()-6)/17)+1))</f>
        <v/>
      </c>
      <c r="C766" s="20" t="str">
        <f>IF($A766="","",INDEX(Project_Tracker!$C$2:$C$101,INT((ROW()-6)/17)+1))</f>
        <v/>
      </c>
      <c r="D766" s="6" t="str">
        <f>IF($A766="","",INDEX(Project_Tracker!$T$2:$T$101,INT((ROW()-6)/17)+1))</f>
        <v/>
      </c>
      <c r="E766" s="18">
        <f t="shared" si="55"/>
        <v>13</v>
      </c>
      <c r="F766" s="23" t="str">
        <f>IF($A766="","",INDEX('Logic &amp; Lists'!$I$4:$I$20,$E766))</f>
        <v/>
      </c>
      <c r="G766" s="18" t="str">
        <f>IF($A766="","",INDEX('Logic &amp; Lists'!$J$4:$J$20,$E766))</f>
        <v/>
      </c>
      <c r="H766" s="6" t="str">
        <f t="shared" si="56"/>
        <v/>
      </c>
      <c r="I766" s="18" t="str">
        <f t="shared" ca="1" si="57"/>
        <v/>
      </c>
      <c r="J766" s="5" t="str">
        <f t="shared" si="58"/>
        <v/>
      </c>
      <c r="K766" s="25"/>
      <c r="L766" s="5" t="str">
        <f t="shared" si="59"/>
        <v/>
      </c>
      <c r="M766" s="7"/>
      <c r="N766" s="7"/>
      <c r="O766" s="7"/>
      <c r="P766" s="20" t="str">
        <f>IF($A766="","",INDEX(Project_Tracker!$I$2:$I$101,INT((ROW()-6)/17)+1))</f>
        <v/>
      </c>
      <c r="Q766" s="20" t="str">
        <f>IF($A766="","",INDEX(Project_Tracker!$K$2:$K$101,INT((ROW()-6)/17)+1))</f>
        <v/>
      </c>
    </row>
    <row r="767" spans="1:17" x14ac:dyDescent="0.2">
      <c r="A767" s="20" t="str">
        <f>IF(INDEX(Project_Tracker!$AL$2:$AL$101,INT((ROW()-6)/17)+1)="","",INDEX(Project_Tracker!$AL$2:$AL$101,INT((ROW()-6)/17)+1))</f>
        <v/>
      </c>
      <c r="B767" s="21" t="str">
        <f>IF($A767="","",INDEX(Project_Tracker!$AM$2:$AM$101,INT((ROW()-6)/17)+1))</f>
        <v/>
      </c>
      <c r="C767" s="20" t="str">
        <f>IF($A767="","",INDEX(Project_Tracker!$C$2:$C$101,INT((ROW()-6)/17)+1))</f>
        <v/>
      </c>
      <c r="D767" s="6" t="str">
        <f>IF($A767="","",INDEX(Project_Tracker!$T$2:$T$101,INT((ROW()-6)/17)+1))</f>
        <v/>
      </c>
      <c r="E767" s="18">
        <f t="shared" si="55"/>
        <v>14</v>
      </c>
      <c r="F767" s="23" t="str">
        <f>IF($A767="","",INDEX('Logic &amp; Lists'!$I$4:$I$20,$E767))</f>
        <v/>
      </c>
      <c r="G767" s="18" t="str">
        <f>IF($A767="","",INDEX('Logic &amp; Lists'!$J$4:$J$20,$E767))</f>
        <v/>
      </c>
      <c r="H767" s="6" t="str">
        <f t="shared" si="56"/>
        <v/>
      </c>
      <c r="I767" s="18" t="str">
        <f t="shared" ca="1" si="57"/>
        <v/>
      </c>
      <c r="J767" s="5" t="str">
        <f t="shared" si="58"/>
        <v/>
      </c>
      <c r="K767" s="25"/>
      <c r="L767" s="5" t="str">
        <f t="shared" si="59"/>
        <v/>
      </c>
      <c r="M767" s="7"/>
      <c r="N767" s="7"/>
      <c r="O767" s="7"/>
      <c r="P767" s="20" t="str">
        <f>IF($A767="","",INDEX(Project_Tracker!$I$2:$I$101,INT((ROW()-6)/17)+1))</f>
        <v/>
      </c>
      <c r="Q767" s="20" t="str">
        <f>IF($A767="","",INDEX(Project_Tracker!$K$2:$K$101,INT((ROW()-6)/17)+1))</f>
        <v/>
      </c>
    </row>
    <row r="768" spans="1:17" x14ac:dyDescent="0.2">
      <c r="A768" s="20" t="str">
        <f>IF(INDEX(Project_Tracker!$AL$2:$AL$101,INT((ROW()-6)/17)+1)="","",INDEX(Project_Tracker!$AL$2:$AL$101,INT((ROW()-6)/17)+1))</f>
        <v/>
      </c>
      <c r="B768" s="21" t="str">
        <f>IF($A768="","",INDEX(Project_Tracker!$AM$2:$AM$101,INT((ROW()-6)/17)+1))</f>
        <v/>
      </c>
      <c r="C768" s="20" t="str">
        <f>IF($A768="","",INDEX(Project_Tracker!$C$2:$C$101,INT((ROW()-6)/17)+1))</f>
        <v/>
      </c>
      <c r="D768" s="6" t="str">
        <f>IF($A768="","",INDEX(Project_Tracker!$T$2:$T$101,INT((ROW()-6)/17)+1))</f>
        <v/>
      </c>
      <c r="E768" s="18">
        <f t="shared" si="55"/>
        <v>15</v>
      </c>
      <c r="F768" s="23" t="str">
        <f>IF($A768="","",INDEX('Logic &amp; Lists'!$I$4:$I$20,$E768))</f>
        <v/>
      </c>
      <c r="G768" s="18" t="str">
        <f>IF($A768="","",INDEX('Logic &amp; Lists'!$J$4:$J$20,$E768))</f>
        <v/>
      </c>
      <c r="H768" s="6" t="str">
        <f t="shared" si="56"/>
        <v/>
      </c>
      <c r="I768" s="18" t="str">
        <f t="shared" ca="1" si="57"/>
        <v/>
      </c>
      <c r="J768" s="5" t="str">
        <f t="shared" si="58"/>
        <v/>
      </c>
      <c r="K768" s="25"/>
      <c r="L768" s="5" t="str">
        <f t="shared" si="59"/>
        <v/>
      </c>
      <c r="M768" s="7"/>
      <c r="N768" s="7"/>
      <c r="O768" s="7"/>
      <c r="P768" s="20" t="str">
        <f>IF($A768="","",INDEX(Project_Tracker!$I$2:$I$101,INT((ROW()-6)/17)+1))</f>
        <v/>
      </c>
      <c r="Q768" s="20" t="str">
        <f>IF($A768="","",INDEX(Project_Tracker!$K$2:$K$101,INT((ROW()-6)/17)+1))</f>
        <v/>
      </c>
    </row>
    <row r="769" spans="1:17" x14ac:dyDescent="0.2">
      <c r="A769" s="20" t="str">
        <f>IF(INDEX(Project_Tracker!$AL$2:$AL$101,INT((ROW()-6)/17)+1)="","",INDEX(Project_Tracker!$AL$2:$AL$101,INT((ROW()-6)/17)+1))</f>
        <v/>
      </c>
      <c r="B769" s="21" t="str">
        <f>IF($A769="","",INDEX(Project_Tracker!$AM$2:$AM$101,INT((ROW()-6)/17)+1))</f>
        <v/>
      </c>
      <c r="C769" s="20" t="str">
        <f>IF($A769="","",INDEX(Project_Tracker!$C$2:$C$101,INT((ROW()-6)/17)+1))</f>
        <v/>
      </c>
      <c r="D769" s="6" t="str">
        <f>IF($A769="","",INDEX(Project_Tracker!$T$2:$T$101,INT((ROW()-6)/17)+1))</f>
        <v/>
      </c>
      <c r="E769" s="18">
        <f t="shared" si="55"/>
        <v>16</v>
      </c>
      <c r="F769" s="23" t="str">
        <f>IF($A769="","",INDEX('Logic &amp; Lists'!$I$4:$I$20,$E769))</f>
        <v/>
      </c>
      <c r="G769" s="18" t="str">
        <f>IF($A769="","",INDEX('Logic &amp; Lists'!$J$4:$J$20,$E769))</f>
        <v/>
      </c>
      <c r="H769" s="6" t="str">
        <f t="shared" si="56"/>
        <v/>
      </c>
      <c r="I769" s="18" t="str">
        <f t="shared" ca="1" si="57"/>
        <v/>
      </c>
      <c r="J769" s="5" t="str">
        <f t="shared" si="58"/>
        <v/>
      </c>
      <c r="K769" s="25"/>
      <c r="L769" s="5" t="str">
        <f t="shared" si="59"/>
        <v/>
      </c>
      <c r="M769" s="7"/>
      <c r="N769" s="7"/>
      <c r="O769" s="7"/>
      <c r="P769" s="20" t="str">
        <f>IF($A769="","",INDEX(Project_Tracker!$I$2:$I$101,INT((ROW()-6)/17)+1))</f>
        <v/>
      </c>
      <c r="Q769" s="20" t="str">
        <f>IF($A769="","",INDEX(Project_Tracker!$K$2:$K$101,INT((ROW()-6)/17)+1))</f>
        <v/>
      </c>
    </row>
    <row r="770" spans="1:17" x14ac:dyDescent="0.2">
      <c r="A770" s="20" t="str">
        <f>IF(INDEX(Project_Tracker!$AL$2:$AL$101,INT((ROW()-6)/17)+1)="","",INDEX(Project_Tracker!$AL$2:$AL$101,INT((ROW()-6)/17)+1))</f>
        <v/>
      </c>
      <c r="B770" s="21" t="str">
        <f>IF($A770="","",INDEX(Project_Tracker!$AM$2:$AM$101,INT((ROW()-6)/17)+1))</f>
        <v/>
      </c>
      <c r="C770" s="20" t="str">
        <f>IF($A770="","",INDEX(Project_Tracker!$C$2:$C$101,INT((ROW()-6)/17)+1))</f>
        <v/>
      </c>
      <c r="D770" s="6" t="str">
        <f>IF($A770="","",INDEX(Project_Tracker!$T$2:$T$101,INT((ROW()-6)/17)+1))</f>
        <v/>
      </c>
      <c r="E770" s="18">
        <f t="shared" si="55"/>
        <v>17</v>
      </c>
      <c r="F770" s="23" t="str">
        <f>IF($A770="","",INDEX('Logic &amp; Lists'!$I$4:$I$20,$E770))</f>
        <v/>
      </c>
      <c r="G770" s="18" t="str">
        <f>IF($A770="","",INDEX('Logic &amp; Lists'!$J$4:$J$20,$E770))</f>
        <v/>
      </c>
      <c r="H770" s="6" t="str">
        <f t="shared" si="56"/>
        <v/>
      </c>
      <c r="I770" s="18" t="str">
        <f t="shared" ca="1" si="57"/>
        <v/>
      </c>
      <c r="J770" s="5" t="str">
        <f t="shared" si="58"/>
        <v/>
      </c>
      <c r="K770" s="25"/>
      <c r="L770" s="5" t="str">
        <f t="shared" si="59"/>
        <v/>
      </c>
      <c r="M770" s="7"/>
      <c r="N770" s="7"/>
      <c r="O770" s="7"/>
      <c r="P770" s="20" t="str">
        <f>IF($A770="","",INDEX(Project_Tracker!$I$2:$I$101,INT((ROW()-6)/17)+1))</f>
        <v/>
      </c>
      <c r="Q770" s="20" t="str">
        <f>IF($A770="","",INDEX(Project_Tracker!$K$2:$K$101,INT((ROW()-6)/17)+1))</f>
        <v/>
      </c>
    </row>
    <row r="771" spans="1:17" x14ac:dyDescent="0.2">
      <c r="A771" s="20" t="str">
        <f>IF(INDEX(Project_Tracker!$AL$2:$AL$101,INT((ROW()-6)/17)+1)="","",INDEX(Project_Tracker!$AL$2:$AL$101,INT((ROW()-6)/17)+1))</f>
        <v/>
      </c>
      <c r="B771" s="21" t="str">
        <f>IF($A771="","",INDEX(Project_Tracker!$AM$2:$AM$101,INT((ROW()-6)/17)+1))</f>
        <v/>
      </c>
      <c r="C771" s="20" t="str">
        <f>IF($A771="","",INDEX(Project_Tracker!$C$2:$C$101,INT((ROW()-6)/17)+1))</f>
        <v/>
      </c>
      <c r="D771" s="6" t="str">
        <f>IF($A771="","",INDEX(Project_Tracker!$T$2:$T$101,INT((ROW()-6)/17)+1))</f>
        <v/>
      </c>
      <c r="E771" s="18">
        <f t="shared" si="55"/>
        <v>1</v>
      </c>
      <c r="F771" s="23" t="str">
        <f>IF($A771="","",INDEX('Logic &amp; Lists'!$I$4:$I$20,$E771))</f>
        <v/>
      </c>
      <c r="G771" s="18" t="str">
        <f>IF($A771="","",INDEX('Logic &amp; Lists'!$J$4:$J$20,$E771))</f>
        <v/>
      </c>
      <c r="H771" s="6" t="str">
        <f t="shared" si="56"/>
        <v/>
      </c>
      <c r="I771" s="18" t="str">
        <f t="shared" ca="1" si="57"/>
        <v/>
      </c>
      <c r="J771" s="5" t="str">
        <f t="shared" si="58"/>
        <v/>
      </c>
      <c r="K771" s="25"/>
      <c r="L771" s="5" t="str">
        <f t="shared" si="59"/>
        <v/>
      </c>
      <c r="M771" s="7"/>
      <c r="N771" s="7"/>
      <c r="O771" s="7"/>
      <c r="P771" s="20" t="str">
        <f>IF($A771="","",INDEX(Project_Tracker!$I$2:$I$101,INT((ROW()-6)/17)+1))</f>
        <v/>
      </c>
      <c r="Q771" s="20" t="str">
        <f>IF($A771="","",INDEX(Project_Tracker!$K$2:$K$101,INT((ROW()-6)/17)+1))</f>
        <v/>
      </c>
    </row>
    <row r="772" spans="1:17" x14ac:dyDescent="0.2">
      <c r="A772" s="20" t="str">
        <f>IF(INDEX(Project_Tracker!$AL$2:$AL$101,INT((ROW()-6)/17)+1)="","",INDEX(Project_Tracker!$AL$2:$AL$101,INT((ROW()-6)/17)+1))</f>
        <v/>
      </c>
      <c r="B772" s="21" t="str">
        <f>IF($A772="","",INDEX(Project_Tracker!$AM$2:$AM$101,INT((ROW()-6)/17)+1))</f>
        <v/>
      </c>
      <c r="C772" s="20" t="str">
        <f>IF($A772="","",INDEX(Project_Tracker!$C$2:$C$101,INT((ROW()-6)/17)+1))</f>
        <v/>
      </c>
      <c r="D772" s="6" t="str">
        <f>IF($A772="","",INDEX(Project_Tracker!$T$2:$T$101,INT((ROW()-6)/17)+1))</f>
        <v/>
      </c>
      <c r="E772" s="18">
        <f t="shared" si="55"/>
        <v>2</v>
      </c>
      <c r="F772" s="23" t="str">
        <f>IF($A772="","",INDEX('Logic &amp; Lists'!$I$4:$I$20,$E772))</f>
        <v/>
      </c>
      <c r="G772" s="18" t="str">
        <f>IF($A772="","",INDEX('Logic &amp; Lists'!$J$4:$J$20,$E772))</f>
        <v/>
      </c>
      <c r="H772" s="6" t="str">
        <f t="shared" si="56"/>
        <v/>
      </c>
      <c r="I772" s="18" t="str">
        <f t="shared" ca="1" si="57"/>
        <v/>
      </c>
      <c r="J772" s="5" t="str">
        <f t="shared" si="58"/>
        <v/>
      </c>
      <c r="K772" s="25"/>
      <c r="L772" s="5" t="str">
        <f t="shared" si="59"/>
        <v/>
      </c>
      <c r="M772" s="7"/>
      <c r="N772" s="7"/>
      <c r="O772" s="7"/>
      <c r="P772" s="20" t="str">
        <f>IF($A772="","",INDEX(Project_Tracker!$I$2:$I$101,INT((ROW()-6)/17)+1))</f>
        <v/>
      </c>
      <c r="Q772" s="20" t="str">
        <f>IF($A772="","",INDEX(Project_Tracker!$K$2:$K$101,INT((ROW()-6)/17)+1))</f>
        <v/>
      </c>
    </row>
    <row r="773" spans="1:17" x14ac:dyDescent="0.2">
      <c r="A773" s="20" t="str">
        <f>IF(INDEX(Project_Tracker!$AL$2:$AL$101,INT((ROW()-6)/17)+1)="","",INDEX(Project_Tracker!$AL$2:$AL$101,INT((ROW()-6)/17)+1))</f>
        <v/>
      </c>
      <c r="B773" s="21" t="str">
        <f>IF($A773="","",INDEX(Project_Tracker!$AM$2:$AM$101,INT((ROW()-6)/17)+1))</f>
        <v/>
      </c>
      <c r="C773" s="20" t="str">
        <f>IF($A773="","",INDEX(Project_Tracker!$C$2:$C$101,INT((ROW()-6)/17)+1))</f>
        <v/>
      </c>
      <c r="D773" s="6" t="str">
        <f>IF($A773="","",INDEX(Project_Tracker!$T$2:$T$101,INT((ROW()-6)/17)+1))</f>
        <v/>
      </c>
      <c r="E773" s="18">
        <f t="shared" si="55"/>
        <v>3</v>
      </c>
      <c r="F773" s="23" t="str">
        <f>IF($A773="","",INDEX('Logic &amp; Lists'!$I$4:$I$20,$E773))</f>
        <v/>
      </c>
      <c r="G773" s="18" t="str">
        <f>IF($A773="","",INDEX('Logic &amp; Lists'!$J$4:$J$20,$E773))</f>
        <v/>
      </c>
      <c r="H773" s="6" t="str">
        <f t="shared" si="56"/>
        <v/>
      </c>
      <c r="I773" s="18" t="str">
        <f t="shared" ca="1" si="57"/>
        <v/>
      </c>
      <c r="J773" s="5" t="str">
        <f t="shared" si="58"/>
        <v/>
      </c>
      <c r="K773" s="25"/>
      <c r="L773" s="5" t="str">
        <f t="shared" si="59"/>
        <v/>
      </c>
      <c r="M773" s="7"/>
      <c r="N773" s="7"/>
      <c r="O773" s="7"/>
      <c r="P773" s="20" t="str">
        <f>IF($A773="","",INDEX(Project_Tracker!$I$2:$I$101,INT((ROW()-6)/17)+1))</f>
        <v/>
      </c>
      <c r="Q773" s="20" t="str">
        <f>IF($A773="","",INDEX(Project_Tracker!$K$2:$K$101,INT((ROW()-6)/17)+1))</f>
        <v/>
      </c>
    </row>
    <row r="774" spans="1:17" x14ac:dyDescent="0.2">
      <c r="A774" s="20" t="str">
        <f>IF(INDEX(Project_Tracker!$AL$2:$AL$101,INT((ROW()-6)/17)+1)="","",INDEX(Project_Tracker!$AL$2:$AL$101,INT((ROW()-6)/17)+1))</f>
        <v/>
      </c>
      <c r="B774" s="21" t="str">
        <f>IF($A774="","",INDEX(Project_Tracker!$AM$2:$AM$101,INT((ROW()-6)/17)+1))</f>
        <v/>
      </c>
      <c r="C774" s="20" t="str">
        <f>IF($A774="","",INDEX(Project_Tracker!$C$2:$C$101,INT((ROW()-6)/17)+1))</f>
        <v/>
      </c>
      <c r="D774" s="6" t="str">
        <f>IF($A774="","",INDEX(Project_Tracker!$T$2:$T$101,INT((ROW()-6)/17)+1))</f>
        <v/>
      </c>
      <c r="E774" s="18">
        <f t="shared" ref="E774:E837" si="60">MOD(ROW()-6,17)+1</f>
        <v>4</v>
      </c>
      <c r="F774" s="23" t="str">
        <f>IF($A774="","",INDEX('Logic &amp; Lists'!$I$4:$I$20,$E774))</f>
        <v/>
      </c>
      <c r="G774" s="18" t="str">
        <f>IF($A774="","",INDEX('Logic &amp; Lists'!$J$4:$J$20,$E774))</f>
        <v/>
      </c>
      <c r="H774" s="6" t="str">
        <f t="shared" ref="H774:H837" si="61">IF($D774="","",$D774-$G774)</f>
        <v/>
      </c>
      <c r="I774" s="18" t="str">
        <f t="shared" ref="I774:I837" ca="1" si="62">IF($H774="","",$H774-TODAY())</f>
        <v/>
      </c>
      <c r="J774" s="5" t="str">
        <f t="shared" ref="J774:J837" si="63">IF($A774="","",IF($K774&lt;&gt;"","ORDERED",IF($I774&lt;0,"OVERDUE",IF($I774&lt;=7,"URGENT",IF($I774&lt;=14,"PREPARE","OK")))))</f>
        <v/>
      </c>
      <c r="K774" s="25"/>
      <c r="L774" s="5" t="str">
        <f t="shared" ref="L774:L837" si="64">IF($A774="","",IF($K774="",$J774,IF($K774&lt;=$H774,"Ordered On Time","Ordered Late")))</f>
        <v/>
      </c>
      <c r="M774" s="7"/>
      <c r="N774" s="7"/>
      <c r="O774" s="7"/>
      <c r="P774" s="20" t="str">
        <f>IF($A774="","",INDEX(Project_Tracker!$I$2:$I$101,INT((ROW()-6)/17)+1))</f>
        <v/>
      </c>
      <c r="Q774" s="20" t="str">
        <f>IF($A774="","",INDEX(Project_Tracker!$K$2:$K$101,INT((ROW()-6)/17)+1))</f>
        <v/>
      </c>
    </row>
    <row r="775" spans="1:17" x14ac:dyDescent="0.2">
      <c r="A775" s="20" t="str">
        <f>IF(INDEX(Project_Tracker!$AL$2:$AL$101,INT((ROW()-6)/17)+1)="","",INDEX(Project_Tracker!$AL$2:$AL$101,INT((ROW()-6)/17)+1))</f>
        <v/>
      </c>
      <c r="B775" s="21" t="str">
        <f>IF($A775="","",INDEX(Project_Tracker!$AM$2:$AM$101,INT((ROW()-6)/17)+1))</f>
        <v/>
      </c>
      <c r="C775" s="20" t="str">
        <f>IF($A775="","",INDEX(Project_Tracker!$C$2:$C$101,INT((ROW()-6)/17)+1))</f>
        <v/>
      </c>
      <c r="D775" s="6" t="str">
        <f>IF($A775="","",INDEX(Project_Tracker!$T$2:$T$101,INT((ROW()-6)/17)+1))</f>
        <v/>
      </c>
      <c r="E775" s="18">
        <f t="shared" si="60"/>
        <v>5</v>
      </c>
      <c r="F775" s="23" t="str">
        <f>IF($A775="","",INDEX('Logic &amp; Lists'!$I$4:$I$20,$E775))</f>
        <v/>
      </c>
      <c r="G775" s="18" t="str">
        <f>IF($A775="","",INDEX('Logic &amp; Lists'!$J$4:$J$20,$E775))</f>
        <v/>
      </c>
      <c r="H775" s="6" t="str">
        <f t="shared" si="61"/>
        <v/>
      </c>
      <c r="I775" s="18" t="str">
        <f t="shared" ca="1" si="62"/>
        <v/>
      </c>
      <c r="J775" s="5" t="str">
        <f t="shared" si="63"/>
        <v/>
      </c>
      <c r="K775" s="25"/>
      <c r="L775" s="5" t="str">
        <f t="shared" si="64"/>
        <v/>
      </c>
      <c r="M775" s="7"/>
      <c r="N775" s="7"/>
      <c r="O775" s="7"/>
      <c r="P775" s="20" t="str">
        <f>IF($A775="","",INDEX(Project_Tracker!$I$2:$I$101,INT((ROW()-6)/17)+1))</f>
        <v/>
      </c>
      <c r="Q775" s="20" t="str">
        <f>IF($A775="","",INDEX(Project_Tracker!$K$2:$K$101,INT((ROW()-6)/17)+1))</f>
        <v/>
      </c>
    </row>
    <row r="776" spans="1:17" x14ac:dyDescent="0.2">
      <c r="A776" s="20" t="str">
        <f>IF(INDEX(Project_Tracker!$AL$2:$AL$101,INT((ROW()-6)/17)+1)="","",INDEX(Project_Tracker!$AL$2:$AL$101,INT((ROW()-6)/17)+1))</f>
        <v/>
      </c>
      <c r="B776" s="21" t="str">
        <f>IF($A776="","",INDEX(Project_Tracker!$AM$2:$AM$101,INT((ROW()-6)/17)+1))</f>
        <v/>
      </c>
      <c r="C776" s="20" t="str">
        <f>IF($A776="","",INDEX(Project_Tracker!$C$2:$C$101,INT((ROW()-6)/17)+1))</f>
        <v/>
      </c>
      <c r="D776" s="6" t="str">
        <f>IF($A776="","",INDEX(Project_Tracker!$T$2:$T$101,INT((ROW()-6)/17)+1))</f>
        <v/>
      </c>
      <c r="E776" s="18">
        <f t="shared" si="60"/>
        <v>6</v>
      </c>
      <c r="F776" s="23" t="str">
        <f>IF($A776="","",INDEX('Logic &amp; Lists'!$I$4:$I$20,$E776))</f>
        <v/>
      </c>
      <c r="G776" s="18" t="str">
        <f>IF($A776="","",INDEX('Logic &amp; Lists'!$J$4:$J$20,$E776))</f>
        <v/>
      </c>
      <c r="H776" s="6" t="str">
        <f t="shared" si="61"/>
        <v/>
      </c>
      <c r="I776" s="18" t="str">
        <f t="shared" ca="1" si="62"/>
        <v/>
      </c>
      <c r="J776" s="5" t="str">
        <f t="shared" si="63"/>
        <v/>
      </c>
      <c r="K776" s="25"/>
      <c r="L776" s="5" t="str">
        <f t="shared" si="64"/>
        <v/>
      </c>
      <c r="M776" s="7"/>
      <c r="N776" s="7"/>
      <c r="O776" s="7"/>
      <c r="P776" s="20" t="str">
        <f>IF($A776="","",INDEX(Project_Tracker!$I$2:$I$101,INT((ROW()-6)/17)+1))</f>
        <v/>
      </c>
      <c r="Q776" s="20" t="str">
        <f>IF($A776="","",INDEX(Project_Tracker!$K$2:$K$101,INT((ROW()-6)/17)+1))</f>
        <v/>
      </c>
    </row>
    <row r="777" spans="1:17" x14ac:dyDescent="0.2">
      <c r="A777" s="20" t="str">
        <f>IF(INDEX(Project_Tracker!$AL$2:$AL$101,INT((ROW()-6)/17)+1)="","",INDEX(Project_Tracker!$AL$2:$AL$101,INT((ROW()-6)/17)+1))</f>
        <v/>
      </c>
      <c r="B777" s="21" t="str">
        <f>IF($A777="","",INDEX(Project_Tracker!$AM$2:$AM$101,INT((ROW()-6)/17)+1))</f>
        <v/>
      </c>
      <c r="C777" s="20" t="str">
        <f>IF($A777="","",INDEX(Project_Tracker!$C$2:$C$101,INT((ROW()-6)/17)+1))</f>
        <v/>
      </c>
      <c r="D777" s="6" t="str">
        <f>IF($A777="","",INDEX(Project_Tracker!$T$2:$T$101,INT((ROW()-6)/17)+1))</f>
        <v/>
      </c>
      <c r="E777" s="18">
        <f t="shared" si="60"/>
        <v>7</v>
      </c>
      <c r="F777" s="23" t="str">
        <f>IF($A777="","",INDEX('Logic &amp; Lists'!$I$4:$I$20,$E777))</f>
        <v/>
      </c>
      <c r="G777" s="18" t="str">
        <f>IF($A777="","",INDEX('Logic &amp; Lists'!$J$4:$J$20,$E777))</f>
        <v/>
      </c>
      <c r="H777" s="6" t="str">
        <f t="shared" si="61"/>
        <v/>
      </c>
      <c r="I777" s="18" t="str">
        <f t="shared" ca="1" si="62"/>
        <v/>
      </c>
      <c r="J777" s="5" t="str">
        <f t="shared" si="63"/>
        <v/>
      </c>
      <c r="K777" s="25"/>
      <c r="L777" s="5" t="str">
        <f t="shared" si="64"/>
        <v/>
      </c>
      <c r="M777" s="7"/>
      <c r="N777" s="7"/>
      <c r="O777" s="7"/>
      <c r="P777" s="20" t="str">
        <f>IF($A777="","",INDEX(Project_Tracker!$I$2:$I$101,INT((ROW()-6)/17)+1))</f>
        <v/>
      </c>
      <c r="Q777" s="20" t="str">
        <f>IF($A777="","",INDEX(Project_Tracker!$K$2:$K$101,INT((ROW()-6)/17)+1))</f>
        <v/>
      </c>
    </row>
    <row r="778" spans="1:17" x14ac:dyDescent="0.2">
      <c r="A778" s="20" t="str">
        <f>IF(INDEX(Project_Tracker!$AL$2:$AL$101,INT((ROW()-6)/17)+1)="","",INDEX(Project_Tracker!$AL$2:$AL$101,INT((ROW()-6)/17)+1))</f>
        <v/>
      </c>
      <c r="B778" s="21" t="str">
        <f>IF($A778="","",INDEX(Project_Tracker!$AM$2:$AM$101,INT((ROW()-6)/17)+1))</f>
        <v/>
      </c>
      <c r="C778" s="20" t="str">
        <f>IF($A778="","",INDEX(Project_Tracker!$C$2:$C$101,INT((ROW()-6)/17)+1))</f>
        <v/>
      </c>
      <c r="D778" s="6" t="str">
        <f>IF($A778="","",INDEX(Project_Tracker!$T$2:$T$101,INT((ROW()-6)/17)+1))</f>
        <v/>
      </c>
      <c r="E778" s="18">
        <f t="shared" si="60"/>
        <v>8</v>
      </c>
      <c r="F778" s="23" t="str">
        <f>IF($A778="","",INDEX('Logic &amp; Lists'!$I$4:$I$20,$E778))</f>
        <v/>
      </c>
      <c r="G778" s="18" t="str">
        <f>IF($A778="","",INDEX('Logic &amp; Lists'!$J$4:$J$20,$E778))</f>
        <v/>
      </c>
      <c r="H778" s="6" t="str">
        <f t="shared" si="61"/>
        <v/>
      </c>
      <c r="I778" s="18" t="str">
        <f t="shared" ca="1" si="62"/>
        <v/>
      </c>
      <c r="J778" s="5" t="str">
        <f t="shared" si="63"/>
        <v/>
      </c>
      <c r="K778" s="25"/>
      <c r="L778" s="5" t="str">
        <f t="shared" si="64"/>
        <v/>
      </c>
      <c r="M778" s="7"/>
      <c r="N778" s="7"/>
      <c r="O778" s="7"/>
      <c r="P778" s="20" t="str">
        <f>IF($A778="","",INDEX(Project_Tracker!$I$2:$I$101,INT((ROW()-6)/17)+1))</f>
        <v/>
      </c>
      <c r="Q778" s="20" t="str">
        <f>IF($A778="","",INDEX(Project_Tracker!$K$2:$K$101,INT((ROW()-6)/17)+1))</f>
        <v/>
      </c>
    </row>
    <row r="779" spans="1:17" x14ac:dyDescent="0.2">
      <c r="A779" s="20" t="str">
        <f>IF(INDEX(Project_Tracker!$AL$2:$AL$101,INT((ROW()-6)/17)+1)="","",INDEX(Project_Tracker!$AL$2:$AL$101,INT((ROW()-6)/17)+1))</f>
        <v/>
      </c>
      <c r="B779" s="21" t="str">
        <f>IF($A779="","",INDEX(Project_Tracker!$AM$2:$AM$101,INT((ROW()-6)/17)+1))</f>
        <v/>
      </c>
      <c r="C779" s="20" t="str">
        <f>IF($A779="","",INDEX(Project_Tracker!$C$2:$C$101,INT((ROW()-6)/17)+1))</f>
        <v/>
      </c>
      <c r="D779" s="6" t="str">
        <f>IF($A779="","",INDEX(Project_Tracker!$T$2:$T$101,INT((ROW()-6)/17)+1))</f>
        <v/>
      </c>
      <c r="E779" s="18">
        <f t="shared" si="60"/>
        <v>9</v>
      </c>
      <c r="F779" s="23" t="str">
        <f>IF($A779="","",INDEX('Logic &amp; Lists'!$I$4:$I$20,$E779))</f>
        <v/>
      </c>
      <c r="G779" s="18" t="str">
        <f>IF($A779="","",INDEX('Logic &amp; Lists'!$J$4:$J$20,$E779))</f>
        <v/>
      </c>
      <c r="H779" s="6" t="str">
        <f t="shared" si="61"/>
        <v/>
      </c>
      <c r="I779" s="18" t="str">
        <f t="shared" ca="1" si="62"/>
        <v/>
      </c>
      <c r="J779" s="5" t="str">
        <f t="shared" si="63"/>
        <v/>
      </c>
      <c r="K779" s="25"/>
      <c r="L779" s="5" t="str">
        <f t="shared" si="64"/>
        <v/>
      </c>
      <c r="M779" s="7"/>
      <c r="N779" s="7"/>
      <c r="O779" s="7"/>
      <c r="P779" s="20" t="str">
        <f>IF($A779="","",INDEX(Project_Tracker!$I$2:$I$101,INT((ROW()-6)/17)+1))</f>
        <v/>
      </c>
      <c r="Q779" s="20" t="str">
        <f>IF($A779="","",INDEX(Project_Tracker!$K$2:$K$101,INT((ROW()-6)/17)+1))</f>
        <v/>
      </c>
    </row>
    <row r="780" spans="1:17" x14ac:dyDescent="0.2">
      <c r="A780" s="20" t="str">
        <f>IF(INDEX(Project_Tracker!$AL$2:$AL$101,INT((ROW()-6)/17)+1)="","",INDEX(Project_Tracker!$AL$2:$AL$101,INT((ROW()-6)/17)+1))</f>
        <v/>
      </c>
      <c r="B780" s="21" t="str">
        <f>IF($A780="","",INDEX(Project_Tracker!$AM$2:$AM$101,INT((ROW()-6)/17)+1))</f>
        <v/>
      </c>
      <c r="C780" s="20" t="str">
        <f>IF($A780="","",INDEX(Project_Tracker!$C$2:$C$101,INT((ROW()-6)/17)+1))</f>
        <v/>
      </c>
      <c r="D780" s="6" t="str">
        <f>IF($A780="","",INDEX(Project_Tracker!$T$2:$T$101,INT((ROW()-6)/17)+1))</f>
        <v/>
      </c>
      <c r="E780" s="18">
        <f t="shared" si="60"/>
        <v>10</v>
      </c>
      <c r="F780" s="23" t="str">
        <f>IF($A780="","",INDEX('Logic &amp; Lists'!$I$4:$I$20,$E780))</f>
        <v/>
      </c>
      <c r="G780" s="18" t="str">
        <f>IF($A780="","",INDEX('Logic &amp; Lists'!$J$4:$J$20,$E780))</f>
        <v/>
      </c>
      <c r="H780" s="6" t="str">
        <f t="shared" si="61"/>
        <v/>
      </c>
      <c r="I780" s="18" t="str">
        <f t="shared" ca="1" si="62"/>
        <v/>
      </c>
      <c r="J780" s="5" t="str">
        <f t="shared" si="63"/>
        <v/>
      </c>
      <c r="K780" s="25"/>
      <c r="L780" s="5" t="str">
        <f t="shared" si="64"/>
        <v/>
      </c>
      <c r="M780" s="7"/>
      <c r="N780" s="7"/>
      <c r="O780" s="7"/>
      <c r="P780" s="20" t="str">
        <f>IF($A780="","",INDEX(Project_Tracker!$I$2:$I$101,INT((ROW()-6)/17)+1))</f>
        <v/>
      </c>
      <c r="Q780" s="20" t="str">
        <f>IF($A780="","",INDEX(Project_Tracker!$K$2:$K$101,INT((ROW()-6)/17)+1))</f>
        <v/>
      </c>
    </row>
    <row r="781" spans="1:17" x14ac:dyDescent="0.2">
      <c r="A781" s="20" t="str">
        <f>IF(INDEX(Project_Tracker!$AL$2:$AL$101,INT((ROW()-6)/17)+1)="","",INDEX(Project_Tracker!$AL$2:$AL$101,INT((ROW()-6)/17)+1))</f>
        <v/>
      </c>
      <c r="B781" s="21" t="str">
        <f>IF($A781="","",INDEX(Project_Tracker!$AM$2:$AM$101,INT((ROW()-6)/17)+1))</f>
        <v/>
      </c>
      <c r="C781" s="20" t="str">
        <f>IF($A781="","",INDEX(Project_Tracker!$C$2:$C$101,INT((ROW()-6)/17)+1))</f>
        <v/>
      </c>
      <c r="D781" s="6" t="str">
        <f>IF($A781="","",INDEX(Project_Tracker!$T$2:$T$101,INT((ROW()-6)/17)+1))</f>
        <v/>
      </c>
      <c r="E781" s="18">
        <f t="shared" si="60"/>
        <v>11</v>
      </c>
      <c r="F781" s="23" t="str">
        <f>IF($A781="","",INDEX('Logic &amp; Lists'!$I$4:$I$20,$E781))</f>
        <v/>
      </c>
      <c r="G781" s="18" t="str">
        <f>IF($A781="","",INDEX('Logic &amp; Lists'!$J$4:$J$20,$E781))</f>
        <v/>
      </c>
      <c r="H781" s="6" t="str">
        <f t="shared" si="61"/>
        <v/>
      </c>
      <c r="I781" s="18" t="str">
        <f t="shared" ca="1" si="62"/>
        <v/>
      </c>
      <c r="J781" s="5" t="str">
        <f t="shared" si="63"/>
        <v/>
      </c>
      <c r="K781" s="25"/>
      <c r="L781" s="5" t="str">
        <f t="shared" si="64"/>
        <v/>
      </c>
      <c r="M781" s="7"/>
      <c r="N781" s="7"/>
      <c r="O781" s="7"/>
      <c r="P781" s="20" t="str">
        <f>IF($A781="","",INDEX(Project_Tracker!$I$2:$I$101,INT((ROW()-6)/17)+1))</f>
        <v/>
      </c>
      <c r="Q781" s="20" t="str">
        <f>IF($A781="","",INDEX(Project_Tracker!$K$2:$K$101,INT((ROW()-6)/17)+1))</f>
        <v/>
      </c>
    </row>
    <row r="782" spans="1:17" x14ac:dyDescent="0.2">
      <c r="A782" s="20" t="str">
        <f>IF(INDEX(Project_Tracker!$AL$2:$AL$101,INT((ROW()-6)/17)+1)="","",INDEX(Project_Tracker!$AL$2:$AL$101,INT((ROW()-6)/17)+1))</f>
        <v/>
      </c>
      <c r="B782" s="21" t="str">
        <f>IF($A782="","",INDEX(Project_Tracker!$AM$2:$AM$101,INT((ROW()-6)/17)+1))</f>
        <v/>
      </c>
      <c r="C782" s="20" t="str">
        <f>IF($A782="","",INDEX(Project_Tracker!$C$2:$C$101,INT((ROW()-6)/17)+1))</f>
        <v/>
      </c>
      <c r="D782" s="6" t="str">
        <f>IF($A782="","",INDEX(Project_Tracker!$T$2:$T$101,INT((ROW()-6)/17)+1))</f>
        <v/>
      </c>
      <c r="E782" s="18">
        <f t="shared" si="60"/>
        <v>12</v>
      </c>
      <c r="F782" s="23" t="str">
        <f>IF($A782="","",INDEX('Logic &amp; Lists'!$I$4:$I$20,$E782))</f>
        <v/>
      </c>
      <c r="G782" s="18" t="str">
        <f>IF($A782="","",INDEX('Logic &amp; Lists'!$J$4:$J$20,$E782))</f>
        <v/>
      </c>
      <c r="H782" s="6" t="str">
        <f t="shared" si="61"/>
        <v/>
      </c>
      <c r="I782" s="18" t="str">
        <f t="shared" ca="1" si="62"/>
        <v/>
      </c>
      <c r="J782" s="5" t="str">
        <f t="shared" si="63"/>
        <v/>
      </c>
      <c r="K782" s="25"/>
      <c r="L782" s="5" t="str">
        <f t="shared" si="64"/>
        <v/>
      </c>
      <c r="M782" s="7"/>
      <c r="N782" s="7"/>
      <c r="O782" s="7"/>
      <c r="P782" s="20" t="str">
        <f>IF($A782="","",INDEX(Project_Tracker!$I$2:$I$101,INT((ROW()-6)/17)+1))</f>
        <v/>
      </c>
      <c r="Q782" s="20" t="str">
        <f>IF($A782="","",INDEX(Project_Tracker!$K$2:$K$101,INT((ROW()-6)/17)+1))</f>
        <v/>
      </c>
    </row>
    <row r="783" spans="1:17" x14ac:dyDescent="0.2">
      <c r="A783" s="20" t="str">
        <f>IF(INDEX(Project_Tracker!$AL$2:$AL$101,INT((ROW()-6)/17)+1)="","",INDEX(Project_Tracker!$AL$2:$AL$101,INT((ROW()-6)/17)+1))</f>
        <v/>
      </c>
      <c r="B783" s="21" t="str">
        <f>IF($A783="","",INDEX(Project_Tracker!$AM$2:$AM$101,INT((ROW()-6)/17)+1))</f>
        <v/>
      </c>
      <c r="C783" s="20" t="str">
        <f>IF($A783="","",INDEX(Project_Tracker!$C$2:$C$101,INT((ROW()-6)/17)+1))</f>
        <v/>
      </c>
      <c r="D783" s="6" t="str">
        <f>IF($A783="","",INDEX(Project_Tracker!$T$2:$T$101,INT((ROW()-6)/17)+1))</f>
        <v/>
      </c>
      <c r="E783" s="18">
        <f t="shared" si="60"/>
        <v>13</v>
      </c>
      <c r="F783" s="23" t="str">
        <f>IF($A783="","",INDEX('Logic &amp; Lists'!$I$4:$I$20,$E783))</f>
        <v/>
      </c>
      <c r="G783" s="18" t="str">
        <f>IF($A783="","",INDEX('Logic &amp; Lists'!$J$4:$J$20,$E783))</f>
        <v/>
      </c>
      <c r="H783" s="6" t="str">
        <f t="shared" si="61"/>
        <v/>
      </c>
      <c r="I783" s="18" t="str">
        <f t="shared" ca="1" si="62"/>
        <v/>
      </c>
      <c r="J783" s="5" t="str">
        <f t="shared" si="63"/>
        <v/>
      </c>
      <c r="K783" s="25"/>
      <c r="L783" s="5" t="str">
        <f t="shared" si="64"/>
        <v/>
      </c>
      <c r="M783" s="7"/>
      <c r="N783" s="7"/>
      <c r="O783" s="7"/>
      <c r="P783" s="20" t="str">
        <f>IF($A783="","",INDEX(Project_Tracker!$I$2:$I$101,INT((ROW()-6)/17)+1))</f>
        <v/>
      </c>
      <c r="Q783" s="20" t="str">
        <f>IF($A783="","",INDEX(Project_Tracker!$K$2:$K$101,INT((ROW()-6)/17)+1))</f>
        <v/>
      </c>
    </row>
    <row r="784" spans="1:17" x14ac:dyDescent="0.2">
      <c r="A784" s="20" t="str">
        <f>IF(INDEX(Project_Tracker!$AL$2:$AL$101,INT((ROW()-6)/17)+1)="","",INDEX(Project_Tracker!$AL$2:$AL$101,INT((ROW()-6)/17)+1))</f>
        <v/>
      </c>
      <c r="B784" s="21" t="str">
        <f>IF($A784="","",INDEX(Project_Tracker!$AM$2:$AM$101,INT((ROW()-6)/17)+1))</f>
        <v/>
      </c>
      <c r="C784" s="20" t="str">
        <f>IF($A784="","",INDEX(Project_Tracker!$C$2:$C$101,INT((ROW()-6)/17)+1))</f>
        <v/>
      </c>
      <c r="D784" s="6" t="str">
        <f>IF($A784="","",INDEX(Project_Tracker!$T$2:$T$101,INT((ROW()-6)/17)+1))</f>
        <v/>
      </c>
      <c r="E784" s="18">
        <f t="shared" si="60"/>
        <v>14</v>
      </c>
      <c r="F784" s="23" t="str">
        <f>IF($A784="","",INDEX('Logic &amp; Lists'!$I$4:$I$20,$E784))</f>
        <v/>
      </c>
      <c r="G784" s="18" t="str">
        <f>IF($A784="","",INDEX('Logic &amp; Lists'!$J$4:$J$20,$E784))</f>
        <v/>
      </c>
      <c r="H784" s="6" t="str">
        <f t="shared" si="61"/>
        <v/>
      </c>
      <c r="I784" s="18" t="str">
        <f t="shared" ca="1" si="62"/>
        <v/>
      </c>
      <c r="J784" s="5" t="str">
        <f t="shared" si="63"/>
        <v/>
      </c>
      <c r="K784" s="25"/>
      <c r="L784" s="5" t="str">
        <f t="shared" si="64"/>
        <v/>
      </c>
      <c r="M784" s="7"/>
      <c r="N784" s="7"/>
      <c r="O784" s="7"/>
      <c r="P784" s="20" t="str">
        <f>IF($A784="","",INDEX(Project_Tracker!$I$2:$I$101,INT((ROW()-6)/17)+1))</f>
        <v/>
      </c>
      <c r="Q784" s="20" t="str">
        <f>IF($A784="","",INDEX(Project_Tracker!$K$2:$K$101,INT((ROW()-6)/17)+1))</f>
        <v/>
      </c>
    </row>
    <row r="785" spans="1:17" x14ac:dyDescent="0.2">
      <c r="A785" s="20" t="str">
        <f>IF(INDEX(Project_Tracker!$AL$2:$AL$101,INT((ROW()-6)/17)+1)="","",INDEX(Project_Tracker!$AL$2:$AL$101,INT((ROW()-6)/17)+1))</f>
        <v/>
      </c>
      <c r="B785" s="21" t="str">
        <f>IF($A785="","",INDEX(Project_Tracker!$AM$2:$AM$101,INT((ROW()-6)/17)+1))</f>
        <v/>
      </c>
      <c r="C785" s="20" t="str">
        <f>IF($A785="","",INDEX(Project_Tracker!$C$2:$C$101,INT((ROW()-6)/17)+1))</f>
        <v/>
      </c>
      <c r="D785" s="6" t="str">
        <f>IF($A785="","",INDEX(Project_Tracker!$T$2:$T$101,INT((ROW()-6)/17)+1))</f>
        <v/>
      </c>
      <c r="E785" s="18">
        <f t="shared" si="60"/>
        <v>15</v>
      </c>
      <c r="F785" s="23" t="str">
        <f>IF($A785="","",INDEX('Logic &amp; Lists'!$I$4:$I$20,$E785))</f>
        <v/>
      </c>
      <c r="G785" s="18" t="str">
        <f>IF($A785="","",INDEX('Logic &amp; Lists'!$J$4:$J$20,$E785))</f>
        <v/>
      </c>
      <c r="H785" s="6" t="str">
        <f t="shared" si="61"/>
        <v/>
      </c>
      <c r="I785" s="18" t="str">
        <f t="shared" ca="1" si="62"/>
        <v/>
      </c>
      <c r="J785" s="5" t="str">
        <f t="shared" si="63"/>
        <v/>
      </c>
      <c r="K785" s="25"/>
      <c r="L785" s="5" t="str">
        <f t="shared" si="64"/>
        <v/>
      </c>
      <c r="M785" s="7"/>
      <c r="N785" s="7"/>
      <c r="O785" s="7"/>
      <c r="P785" s="20" t="str">
        <f>IF($A785="","",INDEX(Project_Tracker!$I$2:$I$101,INT((ROW()-6)/17)+1))</f>
        <v/>
      </c>
      <c r="Q785" s="20" t="str">
        <f>IF($A785="","",INDEX(Project_Tracker!$K$2:$K$101,INT((ROW()-6)/17)+1))</f>
        <v/>
      </c>
    </row>
    <row r="786" spans="1:17" x14ac:dyDescent="0.2">
      <c r="A786" s="20" t="str">
        <f>IF(INDEX(Project_Tracker!$AL$2:$AL$101,INT((ROW()-6)/17)+1)="","",INDEX(Project_Tracker!$AL$2:$AL$101,INT((ROW()-6)/17)+1))</f>
        <v/>
      </c>
      <c r="B786" s="21" t="str">
        <f>IF($A786="","",INDEX(Project_Tracker!$AM$2:$AM$101,INT((ROW()-6)/17)+1))</f>
        <v/>
      </c>
      <c r="C786" s="20" t="str">
        <f>IF($A786="","",INDEX(Project_Tracker!$C$2:$C$101,INT((ROW()-6)/17)+1))</f>
        <v/>
      </c>
      <c r="D786" s="6" t="str">
        <f>IF($A786="","",INDEX(Project_Tracker!$T$2:$T$101,INT((ROW()-6)/17)+1))</f>
        <v/>
      </c>
      <c r="E786" s="18">
        <f t="shared" si="60"/>
        <v>16</v>
      </c>
      <c r="F786" s="23" t="str">
        <f>IF($A786="","",INDEX('Logic &amp; Lists'!$I$4:$I$20,$E786))</f>
        <v/>
      </c>
      <c r="G786" s="18" t="str">
        <f>IF($A786="","",INDEX('Logic &amp; Lists'!$J$4:$J$20,$E786))</f>
        <v/>
      </c>
      <c r="H786" s="6" t="str">
        <f t="shared" si="61"/>
        <v/>
      </c>
      <c r="I786" s="18" t="str">
        <f t="shared" ca="1" si="62"/>
        <v/>
      </c>
      <c r="J786" s="5" t="str">
        <f t="shared" si="63"/>
        <v/>
      </c>
      <c r="K786" s="25"/>
      <c r="L786" s="5" t="str">
        <f t="shared" si="64"/>
        <v/>
      </c>
      <c r="M786" s="7"/>
      <c r="N786" s="7"/>
      <c r="O786" s="7"/>
      <c r="P786" s="20" t="str">
        <f>IF($A786="","",INDEX(Project_Tracker!$I$2:$I$101,INT((ROW()-6)/17)+1))</f>
        <v/>
      </c>
      <c r="Q786" s="20" t="str">
        <f>IF($A786="","",INDEX(Project_Tracker!$K$2:$K$101,INT((ROW()-6)/17)+1))</f>
        <v/>
      </c>
    </row>
    <row r="787" spans="1:17" x14ac:dyDescent="0.2">
      <c r="A787" s="20" t="str">
        <f>IF(INDEX(Project_Tracker!$AL$2:$AL$101,INT((ROW()-6)/17)+1)="","",INDEX(Project_Tracker!$AL$2:$AL$101,INT((ROW()-6)/17)+1))</f>
        <v/>
      </c>
      <c r="B787" s="21" t="str">
        <f>IF($A787="","",INDEX(Project_Tracker!$AM$2:$AM$101,INT((ROW()-6)/17)+1))</f>
        <v/>
      </c>
      <c r="C787" s="20" t="str">
        <f>IF($A787="","",INDEX(Project_Tracker!$C$2:$C$101,INT((ROW()-6)/17)+1))</f>
        <v/>
      </c>
      <c r="D787" s="6" t="str">
        <f>IF($A787="","",INDEX(Project_Tracker!$T$2:$T$101,INT((ROW()-6)/17)+1))</f>
        <v/>
      </c>
      <c r="E787" s="18">
        <f t="shared" si="60"/>
        <v>17</v>
      </c>
      <c r="F787" s="23" t="str">
        <f>IF($A787="","",INDEX('Logic &amp; Lists'!$I$4:$I$20,$E787))</f>
        <v/>
      </c>
      <c r="G787" s="18" t="str">
        <f>IF($A787="","",INDEX('Logic &amp; Lists'!$J$4:$J$20,$E787))</f>
        <v/>
      </c>
      <c r="H787" s="6" t="str">
        <f t="shared" si="61"/>
        <v/>
      </c>
      <c r="I787" s="18" t="str">
        <f t="shared" ca="1" si="62"/>
        <v/>
      </c>
      <c r="J787" s="5" t="str">
        <f t="shared" si="63"/>
        <v/>
      </c>
      <c r="K787" s="25"/>
      <c r="L787" s="5" t="str">
        <f t="shared" si="64"/>
        <v/>
      </c>
      <c r="M787" s="7"/>
      <c r="N787" s="7"/>
      <c r="O787" s="7"/>
      <c r="P787" s="20" t="str">
        <f>IF($A787="","",INDEX(Project_Tracker!$I$2:$I$101,INT((ROW()-6)/17)+1))</f>
        <v/>
      </c>
      <c r="Q787" s="20" t="str">
        <f>IF($A787="","",INDEX(Project_Tracker!$K$2:$K$101,INT((ROW()-6)/17)+1))</f>
        <v/>
      </c>
    </row>
    <row r="788" spans="1:17" x14ac:dyDescent="0.2">
      <c r="A788" s="20" t="str">
        <f>IF(INDEX(Project_Tracker!$AL$2:$AL$101,INT((ROW()-6)/17)+1)="","",INDEX(Project_Tracker!$AL$2:$AL$101,INT((ROW()-6)/17)+1))</f>
        <v/>
      </c>
      <c r="B788" s="21" t="str">
        <f>IF($A788="","",INDEX(Project_Tracker!$AM$2:$AM$101,INT((ROW()-6)/17)+1))</f>
        <v/>
      </c>
      <c r="C788" s="20" t="str">
        <f>IF($A788="","",INDEX(Project_Tracker!$C$2:$C$101,INT((ROW()-6)/17)+1))</f>
        <v/>
      </c>
      <c r="D788" s="6" t="str">
        <f>IF($A788="","",INDEX(Project_Tracker!$T$2:$T$101,INT((ROW()-6)/17)+1))</f>
        <v/>
      </c>
      <c r="E788" s="18">
        <f t="shared" si="60"/>
        <v>1</v>
      </c>
      <c r="F788" s="23" t="str">
        <f>IF($A788="","",INDEX('Logic &amp; Lists'!$I$4:$I$20,$E788))</f>
        <v/>
      </c>
      <c r="G788" s="18" t="str">
        <f>IF($A788="","",INDEX('Logic &amp; Lists'!$J$4:$J$20,$E788))</f>
        <v/>
      </c>
      <c r="H788" s="6" t="str">
        <f t="shared" si="61"/>
        <v/>
      </c>
      <c r="I788" s="18" t="str">
        <f t="shared" ca="1" si="62"/>
        <v/>
      </c>
      <c r="J788" s="5" t="str">
        <f t="shared" si="63"/>
        <v/>
      </c>
      <c r="K788" s="25"/>
      <c r="L788" s="5" t="str">
        <f t="shared" si="64"/>
        <v/>
      </c>
      <c r="M788" s="7"/>
      <c r="N788" s="7"/>
      <c r="O788" s="7"/>
      <c r="P788" s="20" t="str">
        <f>IF($A788="","",INDEX(Project_Tracker!$I$2:$I$101,INT((ROW()-6)/17)+1))</f>
        <v/>
      </c>
      <c r="Q788" s="20" t="str">
        <f>IF($A788="","",INDEX(Project_Tracker!$K$2:$K$101,INT((ROW()-6)/17)+1))</f>
        <v/>
      </c>
    </row>
    <row r="789" spans="1:17" x14ac:dyDescent="0.2">
      <c r="A789" s="20" t="str">
        <f>IF(INDEX(Project_Tracker!$AL$2:$AL$101,INT((ROW()-6)/17)+1)="","",INDEX(Project_Tracker!$AL$2:$AL$101,INT((ROW()-6)/17)+1))</f>
        <v/>
      </c>
      <c r="B789" s="21" t="str">
        <f>IF($A789="","",INDEX(Project_Tracker!$AM$2:$AM$101,INT((ROW()-6)/17)+1))</f>
        <v/>
      </c>
      <c r="C789" s="20" t="str">
        <f>IF($A789="","",INDEX(Project_Tracker!$C$2:$C$101,INT((ROW()-6)/17)+1))</f>
        <v/>
      </c>
      <c r="D789" s="6" t="str">
        <f>IF($A789="","",INDEX(Project_Tracker!$T$2:$T$101,INT((ROW()-6)/17)+1))</f>
        <v/>
      </c>
      <c r="E789" s="18">
        <f t="shared" si="60"/>
        <v>2</v>
      </c>
      <c r="F789" s="23" t="str">
        <f>IF($A789="","",INDEX('Logic &amp; Lists'!$I$4:$I$20,$E789))</f>
        <v/>
      </c>
      <c r="G789" s="18" t="str">
        <f>IF($A789="","",INDEX('Logic &amp; Lists'!$J$4:$J$20,$E789))</f>
        <v/>
      </c>
      <c r="H789" s="6" t="str">
        <f t="shared" si="61"/>
        <v/>
      </c>
      <c r="I789" s="18" t="str">
        <f t="shared" ca="1" si="62"/>
        <v/>
      </c>
      <c r="J789" s="5" t="str">
        <f t="shared" si="63"/>
        <v/>
      </c>
      <c r="K789" s="25"/>
      <c r="L789" s="5" t="str">
        <f t="shared" si="64"/>
        <v/>
      </c>
      <c r="M789" s="7"/>
      <c r="N789" s="7"/>
      <c r="O789" s="7"/>
      <c r="P789" s="20" t="str">
        <f>IF($A789="","",INDEX(Project_Tracker!$I$2:$I$101,INT((ROW()-6)/17)+1))</f>
        <v/>
      </c>
      <c r="Q789" s="20" t="str">
        <f>IF($A789="","",INDEX(Project_Tracker!$K$2:$K$101,INT((ROW()-6)/17)+1))</f>
        <v/>
      </c>
    </row>
    <row r="790" spans="1:17" x14ac:dyDescent="0.2">
      <c r="A790" s="20" t="str">
        <f>IF(INDEX(Project_Tracker!$AL$2:$AL$101,INT((ROW()-6)/17)+1)="","",INDEX(Project_Tracker!$AL$2:$AL$101,INT((ROW()-6)/17)+1))</f>
        <v/>
      </c>
      <c r="B790" s="21" t="str">
        <f>IF($A790="","",INDEX(Project_Tracker!$AM$2:$AM$101,INT((ROW()-6)/17)+1))</f>
        <v/>
      </c>
      <c r="C790" s="20" t="str">
        <f>IF($A790="","",INDEX(Project_Tracker!$C$2:$C$101,INT((ROW()-6)/17)+1))</f>
        <v/>
      </c>
      <c r="D790" s="6" t="str">
        <f>IF($A790="","",INDEX(Project_Tracker!$T$2:$T$101,INT((ROW()-6)/17)+1))</f>
        <v/>
      </c>
      <c r="E790" s="18">
        <f t="shared" si="60"/>
        <v>3</v>
      </c>
      <c r="F790" s="23" t="str">
        <f>IF($A790="","",INDEX('Logic &amp; Lists'!$I$4:$I$20,$E790))</f>
        <v/>
      </c>
      <c r="G790" s="18" t="str">
        <f>IF($A790="","",INDEX('Logic &amp; Lists'!$J$4:$J$20,$E790))</f>
        <v/>
      </c>
      <c r="H790" s="6" t="str">
        <f t="shared" si="61"/>
        <v/>
      </c>
      <c r="I790" s="18" t="str">
        <f t="shared" ca="1" si="62"/>
        <v/>
      </c>
      <c r="J790" s="5" t="str">
        <f t="shared" si="63"/>
        <v/>
      </c>
      <c r="K790" s="25"/>
      <c r="L790" s="5" t="str">
        <f t="shared" si="64"/>
        <v/>
      </c>
      <c r="M790" s="7"/>
      <c r="N790" s="7"/>
      <c r="O790" s="7"/>
      <c r="P790" s="20" t="str">
        <f>IF($A790="","",INDEX(Project_Tracker!$I$2:$I$101,INT((ROW()-6)/17)+1))</f>
        <v/>
      </c>
      <c r="Q790" s="20" t="str">
        <f>IF($A790="","",INDEX(Project_Tracker!$K$2:$K$101,INT((ROW()-6)/17)+1))</f>
        <v/>
      </c>
    </row>
    <row r="791" spans="1:17" x14ac:dyDescent="0.2">
      <c r="A791" s="20" t="str">
        <f>IF(INDEX(Project_Tracker!$AL$2:$AL$101,INT((ROW()-6)/17)+1)="","",INDEX(Project_Tracker!$AL$2:$AL$101,INT((ROW()-6)/17)+1))</f>
        <v/>
      </c>
      <c r="B791" s="21" t="str">
        <f>IF($A791="","",INDEX(Project_Tracker!$AM$2:$AM$101,INT((ROW()-6)/17)+1))</f>
        <v/>
      </c>
      <c r="C791" s="20" t="str">
        <f>IF($A791="","",INDEX(Project_Tracker!$C$2:$C$101,INT((ROW()-6)/17)+1))</f>
        <v/>
      </c>
      <c r="D791" s="6" t="str">
        <f>IF($A791="","",INDEX(Project_Tracker!$T$2:$T$101,INT((ROW()-6)/17)+1))</f>
        <v/>
      </c>
      <c r="E791" s="18">
        <f t="shared" si="60"/>
        <v>4</v>
      </c>
      <c r="F791" s="23" t="str">
        <f>IF($A791="","",INDEX('Logic &amp; Lists'!$I$4:$I$20,$E791))</f>
        <v/>
      </c>
      <c r="G791" s="18" t="str">
        <f>IF($A791="","",INDEX('Logic &amp; Lists'!$J$4:$J$20,$E791))</f>
        <v/>
      </c>
      <c r="H791" s="6" t="str">
        <f t="shared" si="61"/>
        <v/>
      </c>
      <c r="I791" s="18" t="str">
        <f t="shared" ca="1" si="62"/>
        <v/>
      </c>
      <c r="J791" s="5" t="str">
        <f t="shared" si="63"/>
        <v/>
      </c>
      <c r="K791" s="25"/>
      <c r="L791" s="5" t="str">
        <f t="shared" si="64"/>
        <v/>
      </c>
      <c r="M791" s="7"/>
      <c r="N791" s="7"/>
      <c r="O791" s="7"/>
      <c r="P791" s="20" t="str">
        <f>IF($A791="","",INDEX(Project_Tracker!$I$2:$I$101,INT((ROW()-6)/17)+1))</f>
        <v/>
      </c>
      <c r="Q791" s="20" t="str">
        <f>IF($A791="","",INDEX(Project_Tracker!$K$2:$K$101,INT((ROW()-6)/17)+1))</f>
        <v/>
      </c>
    </row>
    <row r="792" spans="1:17" x14ac:dyDescent="0.2">
      <c r="A792" s="20" t="str">
        <f>IF(INDEX(Project_Tracker!$AL$2:$AL$101,INT((ROW()-6)/17)+1)="","",INDEX(Project_Tracker!$AL$2:$AL$101,INT((ROW()-6)/17)+1))</f>
        <v/>
      </c>
      <c r="B792" s="21" t="str">
        <f>IF($A792="","",INDEX(Project_Tracker!$AM$2:$AM$101,INT((ROW()-6)/17)+1))</f>
        <v/>
      </c>
      <c r="C792" s="20" t="str">
        <f>IF($A792="","",INDEX(Project_Tracker!$C$2:$C$101,INT((ROW()-6)/17)+1))</f>
        <v/>
      </c>
      <c r="D792" s="6" t="str">
        <f>IF($A792="","",INDEX(Project_Tracker!$T$2:$T$101,INT((ROW()-6)/17)+1))</f>
        <v/>
      </c>
      <c r="E792" s="18">
        <f t="shared" si="60"/>
        <v>5</v>
      </c>
      <c r="F792" s="23" t="str">
        <f>IF($A792="","",INDEX('Logic &amp; Lists'!$I$4:$I$20,$E792))</f>
        <v/>
      </c>
      <c r="G792" s="18" t="str">
        <f>IF($A792="","",INDEX('Logic &amp; Lists'!$J$4:$J$20,$E792))</f>
        <v/>
      </c>
      <c r="H792" s="6" t="str">
        <f t="shared" si="61"/>
        <v/>
      </c>
      <c r="I792" s="18" t="str">
        <f t="shared" ca="1" si="62"/>
        <v/>
      </c>
      <c r="J792" s="5" t="str">
        <f t="shared" si="63"/>
        <v/>
      </c>
      <c r="K792" s="25"/>
      <c r="L792" s="5" t="str">
        <f t="shared" si="64"/>
        <v/>
      </c>
      <c r="M792" s="7"/>
      <c r="N792" s="7"/>
      <c r="O792" s="7"/>
      <c r="P792" s="20" t="str">
        <f>IF($A792="","",INDEX(Project_Tracker!$I$2:$I$101,INT((ROW()-6)/17)+1))</f>
        <v/>
      </c>
      <c r="Q792" s="20" t="str">
        <f>IF($A792="","",INDEX(Project_Tracker!$K$2:$K$101,INT((ROW()-6)/17)+1))</f>
        <v/>
      </c>
    </row>
    <row r="793" spans="1:17" x14ac:dyDescent="0.2">
      <c r="A793" s="20" t="str">
        <f>IF(INDEX(Project_Tracker!$AL$2:$AL$101,INT((ROW()-6)/17)+1)="","",INDEX(Project_Tracker!$AL$2:$AL$101,INT((ROW()-6)/17)+1))</f>
        <v/>
      </c>
      <c r="B793" s="21" t="str">
        <f>IF($A793="","",INDEX(Project_Tracker!$AM$2:$AM$101,INT((ROW()-6)/17)+1))</f>
        <v/>
      </c>
      <c r="C793" s="20" t="str">
        <f>IF($A793="","",INDEX(Project_Tracker!$C$2:$C$101,INT((ROW()-6)/17)+1))</f>
        <v/>
      </c>
      <c r="D793" s="6" t="str">
        <f>IF($A793="","",INDEX(Project_Tracker!$T$2:$T$101,INT((ROW()-6)/17)+1))</f>
        <v/>
      </c>
      <c r="E793" s="18">
        <f t="shared" si="60"/>
        <v>6</v>
      </c>
      <c r="F793" s="23" t="str">
        <f>IF($A793="","",INDEX('Logic &amp; Lists'!$I$4:$I$20,$E793))</f>
        <v/>
      </c>
      <c r="G793" s="18" t="str">
        <f>IF($A793="","",INDEX('Logic &amp; Lists'!$J$4:$J$20,$E793))</f>
        <v/>
      </c>
      <c r="H793" s="6" t="str">
        <f t="shared" si="61"/>
        <v/>
      </c>
      <c r="I793" s="18" t="str">
        <f t="shared" ca="1" si="62"/>
        <v/>
      </c>
      <c r="J793" s="5" t="str">
        <f t="shared" si="63"/>
        <v/>
      </c>
      <c r="K793" s="25"/>
      <c r="L793" s="5" t="str">
        <f t="shared" si="64"/>
        <v/>
      </c>
      <c r="M793" s="7"/>
      <c r="N793" s="7"/>
      <c r="O793" s="7"/>
      <c r="P793" s="20" t="str">
        <f>IF($A793="","",INDEX(Project_Tracker!$I$2:$I$101,INT((ROW()-6)/17)+1))</f>
        <v/>
      </c>
      <c r="Q793" s="20" t="str">
        <f>IF($A793="","",INDEX(Project_Tracker!$K$2:$K$101,INT((ROW()-6)/17)+1))</f>
        <v/>
      </c>
    </row>
    <row r="794" spans="1:17" x14ac:dyDescent="0.2">
      <c r="A794" s="20" t="str">
        <f>IF(INDEX(Project_Tracker!$AL$2:$AL$101,INT((ROW()-6)/17)+1)="","",INDEX(Project_Tracker!$AL$2:$AL$101,INT((ROW()-6)/17)+1))</f>
        <v/>
      </c>
      <c r="B794" s="21" t="str">
        <f>IF($A794="","",INDEX(Project_Tracker!$AM$2:$AM$101,INT((ROW()-6)/17)+1))</f>
        <v/>
      </c>
      <c r="C794" s="20" t="str">
        <f>IF($A794="","",INDEX(Project_Tracker!$C$2:$C$101,INT((ROW()-6)/17)+1))</f>
        <v/>
      </c>
      <c r="D794" s="6" t="str">
        <f>IF($A794="","",INDEX(Project_Tracker!$T$2:$T$101,INT((ROW()-6)/17)+1))</f>
        <v/>
      </c>
      <c r="E794" s="18">
        <f t="shared" si="60"/>
        <v>7</v>
      </c>
      <c r="F794" s="23" t="str">
        <f>IF($A794="","",INDEX('Logic &amp; Lists'!$I$4:$I$20,$E794))</f>
        <v/>
      </c>
      <c r="G794" s="18" t="str">
        <f>IF($A794="","",INDEX('Logic &amp; Lists'!$J$4:$J$20,$E794))</f>
        <v/>
      </c>
      <c r="H794" s="6" t="str">
        <f t="shared" si="61"/>
        <v/>
      </c>
      <c r="I794" s="18" t="str">
        <f t="shared" ca="1" si="62"/>
        <v/>
      </c>
      <c r="J794" s="5" t="str">
        <f t="shared" si="63"/>
        <v/>
      </c>
      <c r="K794" s="25"/>
      <c r="L794" s="5" t="str">
        <f t="shared" si="64"/>
        <v/>
      </c>
      <c r="M794" s="7"/>
      <c r="N794" s="7"/>
      <c r="O794" s="7"/>
      <c r="P794" s="20" t="str">
        <f>IF($A794="","",INDEX(Project_Tracker!$I$2:$I$101,INT((ROW()-6)/17)+1))</f>
        <v/>
      </c>
      <c r="Q794" s="20" t="str">
        <f>IF($A794="","",INDEX(Project_Tracker!$K$2:$K$101,INT((ROW()-6)/17)+1))</f>
        <v/>
      </c>
    </row>
    <row r="795" spans="1:17" x14ac:dyDescent="0.2">
      <c r="A795" s="20" t="str">
        <f>IF(INDEX(Project_Tracker!$AL$2:$AL$101,INT((ROW()-6)/17)+1)="","",INDEX(Project_Tracker!$AL$2:$AL$101,INT((ROW()-6)/17)+1))</f>
        <v/>
      </c>
      <c r="B795" s="21" t="str">
        <f>IF($A795="","",INDEX(Project_Tracker!$AM$2:$AM$101,INT((ROW()-6)/17)+1))</f>
        <v/>
      </c>
      <c r="C795" s="20" t="str">
        <f>IF($A795="","",INDEX(Project_Tracker!$C$2:$C$101,INT((ROW()-6)/17)+1))</f>
        <v/>
      </c>
      <c r="D795" s="6" t="str">
        <f>IF($A795="","",INDEX(Project_Tracker!$T$2:$T$101,INT((ROW()-6)/17)+1))</f>
        <v/>
      </c>
      <c r="E795" s="18">
        <f t="shared" si="60"/>
        <v>8</v>
      </c>
      <c r="F795" s="23" t="str">
        <f>IF($A795="","",INDEX('Logic &amp; Lists'!$I$4:$I$20,$E795))</f>
        <v/>
      </c>
      <c r="G795" s="18" t="str">
        <f>IF($A795="","",INDEX('Logic &amp; Lists'!$J$4:$J$20,$E795))</f>
        <v/>
      </c>
      <c r="H795" s="6" t="str">
        <f t="shared" si="61"/>
        <v/>
      </c>
      <c r="I795" s="18" t="str">
        <f t="shared" ca="1" si="62"/>
        <v/>
      </c>
      <c r="J795" s="5" t="str">
        <f t="shared" si="63"/>
        <v/>
      </c>
      <c r="K795" s="25"/>
      <c r="L795" s="5" t="str">
        <f t="shared" si="64"/>
        <v/>
      </c>
      <c r="M795" s="7"/>
      <c r="N795" s="7"/>
      <c r="O795" s="7"/>
      <c r="P795" s="20" t="str">
        <f>IF($A795="","",INDEX(Project_Tracker!$I$2:$I$101,INT((ROW()-6)/17)+1))</f>
        <v/>
      </c>
      <c r="Q795" s="20" t="str">
        <f>IF($A795="","",INDEX(Project_Tracker!$K$2:$K$101,INT((ROW()-6)/17)+1))</f>
        <v/>
      </c>
    </row>
    <row r="796" spans="1:17" x14ac:dyDescent="0.2">
      <c r="A796" s="20" t="str">
        <f>IF(INDEX(Project_Tracker!$AL$2:$AL$101,INT((ROW()-6)/17)+1)="","",INDEX(Project_Tracker!$AL$2:$AL$101,INT((ROW()-6)/17)+1))</f>
        <v/>
      </c>
      <c r="B796" s="21" t="str">
        <f>IF($A796="","",INDEX(Project_Tracker!$AM$2:$AM$101,INT((ROW()-6)/17)+1))</f>
        <v/>
      </c>
      <c r="C796" s="20" t="str">
        <f>IF($A796="","",INDEX(Project_Tracker!$C$2:$C$101,INT((ROW()-6)/17)+1))</f>
        <v/>
      </c>
      <c r="D796" s="6" t="str">
        <f>IF($A796="","",INDEX(Project_Tracker!$T$2:$T$101,INT((ROW()-6)/17)+1))</f>
        <v/>
      </c>
      <c r="E796" s="18">
        <f t="shared" si="60"/>
        <v>9</v>
      </c>
      <c r="F796" s="23" t="str">
        <f>IF($A796="","",INDEX('Logic &amp; Lists'!$I$4:$I$20,$E796))</f>
        <v/>
      </c>
      <c r="G796" s="18" t="str">
        <f>IF($A796="","",INDEX('Logic &amp; Lists'!$J$4:$J$20,$E796))</f>
        <v/>
      </c>
      <c r="H796" s="6" t="str">
        <f t="shared" si="61"/>
        <v/>
      </c>
      <c r="I796" s="18" t="str">
        <f t="shared" ca="1" si="62"/>
        <v/>
      </c>
      <c r="J796" s="5" t="str">
        <f t="shared" si="63"/>
        <v/>
      </c>
      <c r="K796" s="25"/>
      <c r="L796" s="5" t="str">
        <f t="shared" si="64"/>
        <v/>
      </c>
      <c r="M796" s="7"/>
      <c r="N796" s="7"/>
      <c r="O796" s="7"/>
      <c r="P796" s="20" t="str">
        <f>IF($A796="","",INDEX(Project_Tracker!$I$2:$I$101,INT((ROW()-6)/17)+1))</f>
        <v/>
      </c>
      <c r="Q796" s="20" t="str">
        <f>IF($A796="","",INDEX(Project_Tracker!$K$2:$K$101,INT((ROW()-6)/17)+1))</f>
        <v/>
      </c>
    </row>
    <row r="797" spans="1:17" x14ac:dyDescent="0.2">
      <c r="A797" s="20" t="str">
        <f>IF(INDEX(Project_Tracker!$AL$2:$AL$101,INT((ROW()-6)/17)+1)="","",INDEX(Project_Tracker!$AL$2:$AL$101,INT((ROW()-6)/17)+1))</f>
        <v/>
      </c>
      <c r="B797" s="21" t="str">
        <f>IF($A797="","",INDEX(Project_Tracker!$AM$2:$AM$101,INT((ROW()-6)/17)+1))</f>
        <v/>
      </c>
      <c r="C797" s="20" t="str">
        <f>IF($A797="","",INDEX(Project_Tracker!$C$2:$C$101,INT((ROW()-6)/17)+1))</f>
        <v/>
      </c>
      <c r="D797" s="6" t="str">
        <f>IF($A797="","",INDEX(Project_Tracker!$T$2:$T$101,INT((ROW()-6)/17)+1))</f>
        <v/>
      </c>
      <c r="E797" s="18">
        <f t="shared" si="60"/>
        <v>10</v>
      </c>
      <c r="F797" s="23" t="str">
        <f>IF($A797="","",INDEX('Logic &amp; Lists'!$I$4:$I$20,$E797))</f>
        <v/>
      </c>
      <c r="G797" s="18" t="str">
        <f>IF($A797="","",INDEX('Logic &amp; Lists'!$J$4:$J$20,$E797))</f>
        <v/>
      </c>
      <c r="H797" s="6" t="str">
        <f t="shared" si="61"/>
        <v/>
      </c>
      <c r="I797" s="18" t="str">
        <f t="shared" ca="1" si="62"/>
        <v/>
      </c>
      <c r="J797" s="5" t="str">
        <f t="shared" si="63"/>
        <v/>
      </c>
      <c r="K797" s="25"/>
      <c r="L797" s="5" t="str">
        <f t="shared" si="64"/>
        <v/>
      </c>
      <c r="M797" s="7"/>
      <c r="N797" s="7"/>
      <c r="O797" s="7"/>
      <c r="P797" s="20" t="str">
        <f>IF($A797="","",INDEX(Project_Tracker!$I$2:$I$101,INT((ROW()-6)/17)+1))</f>
        <v/>
      </c>
      <c r="Q797" s="20" t="str">
        <f>IF($A797="","",INDEX(Project_Tracker!$K$2:$K$101,INT((ROW()-6)/17)+1))</f>
        <v/>
      </c>
    </row>
    <row r="798" spans="1:17" x14ac:dyDescent="0.2">
      <c r="A798" s="20" t="str">
        <f>IF(INDEX(Project_Tracker!$AL$2:$AL$101,INT((ROW()-6)/17)+1)="","",INDEX(Project_Tracker!$AL$2:$AL$101,INT((ROW()-6)/17)+1))</f>
        <v/>
      </c>
      <c r="B798" s="21" t="str">
        <f>IF($A798="","",INDEX(Project_Tracker!$AM$2:$AM$101,INT((ROW()-6)/17)+1))</f>
        <v/>
      </c>
      <c r="C798" s="20" t="str">
        <f>IF($A798="","",INDEX(Project_Tracker!$C$2:$C$101,INT((ROW()-6)/17)+1))</f>
        <v/>
      </c>
      <c r="D798" s="6" t="str">
        <f>IF($A798="","",INDEX(Project_Tracker!$T$2:$T$101,INT((ROW()-6)/17)+1))</f>
        <v/>
      </c>
      <c r="E798" s="18">
        <f t="shared" si="60"/>
        <v>11</v>
      </c>
      <c r="F798" s="23" t="str">
        <f>IF($A798="","",INDEX('Logic &amp; Lists'!$I$4:$I$20,$E798))</f>
        <v/>
      </c>
      <c r="G798" s="18" t="str">
        <f>IF($A798="","",INDEX('Logic &amp; Lists'!$J$4:$J$20,$E798))</f>
        <v/>
      </c>
      <c r="H798" s="6" t="str">
        <f t="shared" si="61"/>
        <v/>
      </c>
      <c r="I798" s="18" t="str">
        <f t="shared" ca="1" si="62"/>
        <v/>
      </c>
      <c r="J798" s="5" t="str">
        <f t="shared" si="63"/>
        <v/>
      </c>
      <c r="K798" s="25"/>
      <c r="L798" s="5" t="str">
        <f t="shared" si="64"/>
        <v/>
      </c>
      <c r="M798" s="7"/>
      <c r="N798" s="7"/>
      <c r="O798" s="7"/>
      <c r="P798" s="20" t="str">
        <f>IF($A798="","",INDEX(Project_Tracker!$I$2:$I$101,INT((ROW()-6)/17)+1))</f>
        <v/>
      </c>
      <c r="Q798" s="20" t="str">
        <f>IF($A798="","",INDEX(Project_Tracker!$K$2:$K$101,INT((ROW()-6)/17)+1))</f>
        <v/>
      </c>
    </row>
    <row r="799" spans="1:17" x14ac:dyDescent="0.2">
      <c r="A799" s="20" t="str">
        <f>IF(INDEX(Project_Tracker!$AL$2:$AL$101,INT((ROW()-6)/17)+1)="","",INDEX(Project_Tracker!$AL$2:$AL$101,INT((ROW()-6)/17)+1))</f>
        <v/>
      </c>
      <c r="B799" s="21" t="str">
        <f>IF($A799="","",INDEX(Project_Tracker!$AM$2:$AM$101,INT((ROW()-6)/17)+1))</f>
        <v/>
      </c>
      <c r="C799" s="20" t="str">
        <f>IF($A799="","",INDEX(Project_Tracker!$C$2:$C$101,INT((ROW()-6)/17)+1))</f>
        <v/>
      </c>
      <c r="D799" s="6" t="str">
        <f>IF($A799="","",INDEX(Project_Tracker!$T$2:$T$101,INT((ROW()-6)/17)+1))</f>
        <v/>
      </c>
      <c r="E799" s="18">
        <f t="shared" si="60"/>
        <v>12</v>
      </c>
      <c r="F799" s="23" t="str">
        <f>IF($A799="","",INDEX('Logic &amp; Lists'!$I$4:$I$20,$E799))</f>
        <v/>
      </c>
      <c r="G799" s="18" t="str">
        <f>IF($A799="","",INDEX('Logic &amp; Lists'!$J$4:$J$20,$E799))</f>
        <v/>
      </c>
      <c r="H799" s="6" t="str">
        <f t="shared" si="61"/>
        <v/>
      </c>
      <c r="I799" s="18" t="str">
        <f t="shared" ca="1" si="62"/>
        <v/>
      </c>
      <c r="J799" s="5" t="str">
        <f t="shared" si="63"/>
        <v/>
      </c>
      <c r="K799" s="25"/>
      <c r="L799" s="5" t="str">
        <f t="shared" si="64"/>
        <v/>
      </c>
      <c r="M799" s="7"/>
      <c r="N799" s="7"/>
      <c r="O799" s="7"/>
      <c r="P799" s="20" t="str">
        <f>IF($A799="","",INDEX(Project_Tracker!$I$2:$I$101,INT((ROW()-6)/17)+1))</f>
        <v/>
      </c>
      <c r="Q799" s="20" t="str">
        <f>IF($A799="","",INDEX(Project_Tracker!$K$2:$K$101,INT((ROW()-6)/17)+1))</f>
        <v/>
      </c>
    </row>
    <row r="800" spans="1:17" x14ac:dyDescent="0.2">
      <c r="A800" s="20" t="str">
        <f>IF(INDEX(Project_Tracker!$AL$2:$AL$101,INT((ROW()-6)/17)+1)="","",INDEX(Project_Tracker!$AL$2:$AL$101,INT((ROW()-6)/17)+1))</f>
        <v/>
      </c>
      <c r="B800" s="21" t="str">
        <f>IF($A800="","",INDEX(Project_Tracker!$AM$2:$AM$101,INT((ROW()-6)/17)+1))</f>
        <v/>
      </c>
      <c r="C800" s="20" t="str">
        <f>IF($A800="","",INDEX(Project_Tracker!$C$2:$C$101,INT((ROW()-6)/17)+1))</f>
        <v/>
      </c>
      <c r="D800" s="6" t="str">
        <f>IF($A800="","",INDEX(Project_Tracker!$T$2:$T$101,INT((ROW()-6)/17)+1))</f>
        <v/>
      </c>
      <c r="E800" s="18">
        <f t="shared" si="60"/>
        <v>13</v>
      </c>
      <c r="F800" s="23" t="str">
        <f>IF($A800="","",INDEX('Logic &amp; Lists'!$I$4:$I$20,$E800))</f>
        <v/>
      </c>
      <c r="G800" s="18" t="str">
        <f>IF($A800="","",INDEX('Logic &amp; Lists'!$J$4:$J$20,$E800))</f>
        <v/>
      </c>
      <c r="H800" s="6" t="str">
        <f t="shared" si="61"/>
        <v/>
      </c>
      <c r="I800" s="18" t="str">
        <f t="shared" ca="1" si="62"/>
        <v/>
      </c>
      <c r="J800" s="5" t="str">
        <f t="shared" si="63"/>
        <v/>
      </c>
      <c r="K800" s="25"/>
      <c r="L800" s="5" t="str">
        <f t="shared" si="64"/>
        <v/>
      </c>
      <c r="M800" s="7"/>
      <c r="N800" s="7"/>
      <c r="O800" s="7"/>
      <c r="P800" s="20" t="str">
        <f>IF($A800="","",INDEX(Project_Tracker!$I$2:$I$101,INT((ROW()-6)/17)+1))</f>
        <v/>
      </c>
      <c r="Q800" s="20" t="str">
        <f>IF($A800="","",INDEX(Project_Tracker!$K$2:$K$101,INT((ROW()-6)/17)+1))</f>
        <v/>
      </c>
    </row>
    <row r="801" spans="1:17" x14ac:dyDescent="0.2">
      <c r="A801" s="20" t="str">
        <f>IF(INDEX(Project_Tracker!$AL$2:$AL$101,INT((ROW()-6)/17)+1)="","",INDEX(Project_Tracker!$AL$2:$AL$101,INT((ROW()-6)/17)+1))</f>
        <v/>
      </c>
      <c r="B801" s="21" t="str">
        <f>IF($A801="","",INDEX(Project_Tracker!$AM$2:$AM$101,INT((ROW()-6)/17)+1))</f>
        <v/>
      </c>
      <c r="C801" s="20" t="str">
        <f>IF($A801="","",INDEX(Project_Tracker!$C$2:$C$101,INT((ROW()-6)/17)+1))</f>
        <v/>
      </c>
      <c r="D801" s="6" t="str">
        <f>IF($A801="","",INDEX(Project_Tracker!$T$2:$T$101,INT((ROW()-6)/17)+1))</f>
        <v/>
      </c>
      <c r="E801" s="18">
        <f t="shared" si="60"/>
        <v>14</v>
      </c>
      <c r="F801" s="23" t="str">
        <f>IF($A801="","",INDEX('Logic &amp; Lists'!$I$4:$I$20,$E801))</f>
        <v/>
      </c>
      <c r="G801" s="18" t="str">
        <f>IF($A801="","",INDEX('Logic &amp; Lists'!$J$4:$J$20,$E801))</f>
        <v/>
      </c>
      <c r="H801" s="6" t="str">
        <f t="shared" si="61"/>
        <v/>
      </c>
      <c r="I801" s="18" t="str">
        <f t="shared" ca="1" si="62"/>
        <v/>
      </c>
      <c r="J801" s="5" t="str">
        <f t="shared" si="63"/>
        <v/>
      </c>
      <c r="K801" s="25"/>
      <c r="L801" s="5" t="str">
        <f t="shared" si="64"/>
        <v/>
      </c>
      <c r="M801" s="7"/>
      <c r="N801" s="7"/>
      <c r="O801" s="7"/>
      <c r="P801" s="20" t="str">
        <f>IF($A801="","",INDEX(Project_Tracker!$I$2:$I$101,INT((ROW()-6)/17)+1))</f>
        <v/>
      </c>
      <c r="Q801" s="20" t="str">
        <f>IF($A801="","",INDEX(Project_Tracker!$K$2:$K$101,INT((ROW()-6)/17)+1))</f>
        <v/>
      </c>
    </row>
    <row r="802" spans="1:17" x14ac:dyDescent="0.2">
      <c r="A802" s="20" t="str">
        <f>IF(INDEX(Project_Tracker!$AL$2:$AL$101,INT((ROW()-6)/17)+1)="","",INDEX(Project_Tracker!$AL$2:$AL$101,INT((ROW()-6)/17)+1))</f>
        <v/>
      </c>
      <c r="B802" s="21" t="str">
        <f>IF($A802="","",INDEX(Project_Tracker!$AM$2:$AM$101,INT((ROW()-6)/17)+1))</f>
        <v/>
      </c>
      <c r="C802" s="20" t="str">
        <f>IF($A802="","",INDEX(Project_Tracker!$C$2:$C$101,INT((ROW()-6)/17)+1))</f>
        <v/>
      </c>
      <c r="D802" s="6" t="str">
        <f>IF($A802="","",INDEX(Project_Tracker!$T$2:$T$101,INT((ROW()-6)/17)+1))</f>
        <v/>
      </c>
      <c r="E802" s="18">
        <f t="shared" si="60"/>
        <v>15</v>
      </c>
      <c r="F802" s="23" t="str">
        <f>IF($A802="","",INDEX('Logic &amp; Lists'!$I$4:$I$20,$E802))</f>
        <v/>
      </c>
      <c r="G802" s="18" t="str">
        <f>IF($A802="","",INDEX('Logic &amp; Lists'!$J$4:$J$20,$E802))</f>
        <v/>
      </c>
      <c r="H802" s="6" t="str">
        <f t="shared" si="61"/>
        <v/>
      </c>
      <c r="I802" s="18" t="str">
        <f t="shared" ca="1" si="62"/>
        <v/>
      </c>
      <c r="J802" s="5" t="str">
        <f t="shared" si="63"/>
        <v/>
      </c>
      <c r="K802" s="25"/>
      <c r="L802" s="5" t="str">
        <f t="shared" si="64"/>
        <v/>
      </c>
      <c r="M802" s="7"/>
      <c r="N802" s="7"/>
      <c r="O802" s="7"/>
      <c r="P802" s="20" t="str">
        <f>IF($A802="","",INDEX(Project_Tracker!$I$2:$I$101,INT((ROW()-6)/17)+1))</f>
        <v/>
      </c>
      <c r="Q802" s="20" t="str">
        <f>IF($A802="","",INDEX(Project_Tracker!$K$2:$K$101,INT((ROW()-6)/17)+1))</f>
        <v/>
      </c>
    </row>
    <row r="803" spans="1:17" x14ac:dyDescent="0.2">
      <c r="A803" s="20" t="str">
        <f>IF(INDEX(Project_Tracker!$AL$2:$AL$101,INT((ROW()-6)/17)+1)="","",INDEX(Project_Tracker!$AL$2:$AL$101,INT((ROW()-6)/17)+1))</f>
        <v/>
      </c>
      <c r="B803" s="21" t="str">
        <f>IF($A803="","",INDEX(Project_Tracker!$AM$2:$AM$101,INT((ROW()-6)/17)+1))</f>
        <v/>
      </c>
      <c r="C803" s="20" t="str">
        <f>IF($A803="","",INDEX(Project_Tracker!$C$2:$C$101,INT((ROW()-6)/17)+1))</f>
        <v/>
      </c>
      <c r="D803" s="6" t="str">
        <f>IF($A803="","",INDEX(Project_Tracker!$T$2:$T$101,INT((ROW()-6)/17)+1))</f>
        <v/>
      </c>
      <c r="E803" s="18">
        <f t="shared" si="60"/>
        <v>16</v>
      </c>
      <c r="F803" s="23" t="str">
        <f>IF($A803="","",INDEX('Logic &amp; Lists'!$I$4:$I$20,$E803))</f>
        <v/>
      </c>
      <c r="G803" s="18" t="str">
        <f>IF($A803="","",INDEX('Logic &amp; Lists'!$J$4:$J$20,$E803))</f>
        <v/>
      </c>
      <c r="H803" s="6" t="str">
        <f t="shared" si="61"/>
        <v/>
      </c>
      <c r="I803" s="18" t="str">
        <f t="shared" ca="1" si="62"/>
        <v/>
      </c>
      <c r="J803" s="5" t="str">
        <f t="shared" si="63"/>
        <v/>
      </c>
      <c r="K803" s="25"/>
      <c r="L803" s="5" t="str">
        <f t="shared" si="64"/>
        <v/>
      </c>
      <c r="M803" s="7"/>
      <c r="N803" s="7"/>
      <c r="O803" s="7"/>
      <c r="P803" s="20" t="str">
        <f>IF($A803="","",INDEX(Project_Tracker!$I$2:$I$101,INT((ROW()-6)/17)+1))</f>
        <v/>
      </c>
      <c r="Q803" s="20" t="str">
        <f>IF($A803="","",INDEX(Project_Tracker!$K$2:$K$101,INT((ROW()-6)/17)+1))</f>
        <v/>
      </c>
    </row>
    <row r="804" spans="1:17" x14ac:dyDescent="0.2">
      <c r="A804" s="20" t="str">
        <f>IF(INDEX(Project_Tracker!$AL$2:$AL$101,INT((ROW()-6)/17)+1)="","",INDEX(Project_Tracker!$AL$2:$AL$101,INT((ROW()-6)/17)+1))</f>
        <v/>
      </c>
      <c r="B804" s="21" t="str">
        <f>IF($A804="","",INDEX(Project_Tracker!$AM$2:$AM$101,INT((ROW()-6)/17)+1))</f>
        <v/>
      </c>
      <c r="C804" s="20" t="str">
        <f>IF($A804="","",INDEX(Project_Tracker!$C$2:$C$101,INT((ROW()-6)/17)+1))</f>
        <v/>
      </c>
      <c r="D804" s="6" t="str">
        <f>IF($A804="","",INDEX(Project_Tracker!$T$2:$T$101,INT((ROW()-6)/17)+1))</f>
        <v/>
      </c>
      <c r="E804" s="18">
        <f t="shared" si="60"/>
        <v>17</v>
      </c>
      <c r="F804" s="23" t="str">
        <f>IF($A804="","",INDEX('Logic &amp; Lists'!$I$4:$I$20,$E804))</f>
        <v/>
      </c>
      <c r="G804" s="18" t="str">
        <f>IF($A804="","",INDEX('Logic &amp; Lists'!$J$4:$J$20,$E804))</f>
        <v/>
      </c>
      <c r="H804" s="6" t="str">
        <f t="shared" si="61"/>
        <v/>
      </c>
      <c r="I804" s="18" t="str">
        <f t="shared" ca="1" si="62"/>
        <v/>
      </c>
      <c r="J804" s="5" t="str">
        <f t="shared" si="63"/>
        <v/>
      </c>
      <c r="K804" s="25"/>
      <c r="L804" s="5" t="str">
        <f t="shared" si="64"/>
        <v/>
      </c>
      <c r="M804" s="7"/>
      <c r="N804" s="7"/>
      <c r="O804" s="7"/>
      <c r="P804" s="20" t="str">
        <f>IF($A804="","",INDEX(Project_Tracker!$I$2:$I$101,INT((ROW()-6)/17)+1))</f>
        <v/>
      </c>
      <c r="Q804" s="20" t="str">
        <f>IF($A804="","",INDEX(Project_Tracker!$K$2:$K$101,INT((ROW()-6)/17)+1))</f>
        <v/>
      </c>
    </row>
    <row r="805" spans="1:17" x14ac:dyDescent="0.2">
      <c r="A805" s="20" t="str">
        <f>IF(INDEX(Project_Tracker!$AL$2:$AL$101,INT((ROW()-6)/17)+1)="","",INDEX(Project_Tracker!$AL$2:$AL$101,INT((ROW()-6)/17)+1))</f>
        <v/>
      </c>
      <c r="B805" s="21" t="str">
        <f>IF($A805="","",INDEX(Project_Tracker!$AM$2:$AM$101,INT((ROW()-6)/17)+1))</f>
        <v/>
      </c>
      <c r="C805" s="20" t="str">
        <f>IF($A805="","",INDEX(Project_Tracker!$C$2:$C$101,INT((ROW()-6)/17)+1))</f>
        <v/>
      </c>
      <c r="D805" s="6" t="str">
        <f>IF($A805="","",INDEX(Project_Tracker!$T$2:$T$101,INT((ROW()-6)/17)+1))</f>
        <v/>
      </c>
      <c r="E805" s="18">
        <f t="shared" si="60"/>
        <v>1</v>
      </c>
      <c r="F805" s="23" t="str">
        <f>IF($A805="","",INDEX('Logic &amp; Lists'!$I$4:$I$20,$E805))</f>
        <v/>
      </c>
      <c r="G805" s="18" t="str">
        <f>IF($A805="","",INDEX('Logic &amp; Lists'!$J$4:$J$20,$E805))</f>
        <v/>
      </c>
      <c r="H805" s="6" t="str">
        <f t="shared" si="61"/>
        <v/>
      </c>
      <c r="I805" s="18" t="str">
        <f t="shared" ca="1" si="62"/>
        <v/>
      </c>
      <c r="J805" s="5" t="str">
        <f t="shared" si="63"/>
        <v/>
      </c>
      <c r="K805" s="25"/>
      <c r="L805" s="5" t="str">
        <f t="shared" si="64"/>
        <v/>
      </c>
      <c r="M805" s="7"/>
      <c r="N805" s="7"/>
      <c r="O805" s="7"/>
      <c r="P805" s="20" t="str">
        <f>IF($A805="","",INDEX(Project_Tracker!$I$2:$I$101,INT((ROW()-6)/17)+1))</f>
        <v/>
      </c>
      <c r="Q805" s="20" t="str">
        <f>IF($A805="","",INDEX(Project_Tracker!$K$2:$K$101,INT((ROW()-6)/17)+1))</f>
        <v/>
      </c>
    </row>
    <row r="806" spans="1:17" x14ac:dyDescent="0.2">
      <c r="A806" s="20" t="str">
        <f>IF(INDEX(Project_Tracker!$AL$2:$AL$101,INT((ROW()-6)/17)+1)="","",INDEX(Project_Tracker!$AL$2:$AL$101,INT((ROW()-6)/17)+1))</f>
        <v/>
      </c>
      <c r="B806" s="21" t="str">
        <f>IF($A806="","",INDEX(Project_Tracker!$AM$2:$AM$101,INT((ROW()-6)/17)+1))</f>
        <v/>
      </c>
      <c r="C806" s="20" t="str">
        <f>IF($A806="","",INDEX(Project_Tracker!$C$2:$C$101,INT((ROW()-6)/17)+1))</f>
        <v/>
      </c>
      <c r="D806" s="6" t="str">
        <f>IF($A806="","",INDEX(Project_Tracker!$T$2:$T$101,INT((ROW()-6)/17)+1))</f>
        <v/>
      </c>
      <c r="E806" s="18">
        <f t="shared" si="60"/>
        <v>2</v>
      </c>
      <c r="F806" s="23" t="str">
        <f>IF($A806="","",INDEX('Logic &amp; Lists'!$I$4:$I$20,$E806))</f>
        <v/>
      </c>
      <c r="G806" s="18" t="str">
        <f>IF($A806="","",INDEX('Logic &amp; Lists'!$J$4:$J$20,$E806))</f>
        <v/>
      </c>
      <c r="H806" s="6" t="str">
        <f t="shared" si="61"/>
        <v/>
      </c>
      <c r="I806" s="18" t="str">
        <f t="shared" ca="1" si="62"/>
        <v/>
      </c>
      <c r="J806" s="5" t="str">
        <f t="shared" si="63"/>
        <v/>
      </c>
      <c r="K806" s="25"/>
      <c r="L806" s="5" t="str">
        <f t="shared" si="64"/>
        <v/>
      </c>
      <c r="M806" s="7"/>
      <c r="N806" s="7"/>
      <c r="O806" s="7"/>
      <c r="P806" s="20" t="str">
        <f>IF($A806="","",INDEX(Project_Tracker!$I$2:$I$101,INT((ROW()-6)/17)+1))</f>
        <v/>
      </c>
      <c r="Q806" s="20" t="str">
        <f>IF($A806="","",INDEX(Project_Tracker!$K$2:$K$101,INT((ROW()-6)/17)+1))</f>
        <v/>
      </c>
    </row>
    <row r="807" spans="1:17" x14ac:dyDescent="0.2">
      <c r="A807" s="20" t="str">
        <f>IF(INDEX(Project_Tracker!$AL$2:$AL$101,INT((ROW()-6)/17)+1)="","",INDEX(Project_Tracker!$AL$2:$AL$101,INT((ROW()-6)/17)+1))</f>
        <v/>
      </c>
      <c r="B807" s="21" t="str">
        <f>IF($A807="","",INDEX(Project_Tracker!$AM$2:$AM$101,INT((ROW()-6)/17)+1))</f>
        <v/>
      </c>
      <c r="C807" s="20" t="str">
        <f>IF($A807="","",INDEX(Project_Tracker!$C$2:$C$101,INT((ROW()-6)/17)+1))</f>
        <v/>
      </c>
      <c r="D807" s="6" t="str">
        <f>IF($A807="","",INDEX(Project_Tracker!$T$2:$T$101,INT((ROW()-6)/17)+1))</f>
        <v/>
      </c>
      <c r="E807" s="18">
        <f t="shared" si="60"/>
        <v>3</v>
      </c>
      <c r="F807" s="23" t="str">
        <f>IF($A807="","",INDEX('Logic &amp; Lists'!$I$4:$I$20,$E807))</f>
        <v/>
      </c>
      <c r="G807" s="18" t="str">
        <f>IF($A807="","",INDEX('Logic &amp; Lists'!$J$4:$J$20,$E807))</f>
        <v/>
      </c>
      <c r="H807" s="6" t="str">
        <f t="shared" si="61"/>
        <v/>
      </c>
      <c r="I807" s="18" t="str">
        <f t="shared" ca="1" si="62"/>
        <v/>
      </c>
      <c r="J807" s="5" t="str">
        <f t="shared" si="63"/>
        <v/>
      </c>
      <c r="K807" s="25"/>
      <c r="L807" s="5" t="str">
        <f t="shared" si="64"/>
        <v/>
      </c>
      <c r="M807" s="7"/>
      <c r="N807" s="7"/>
      <c r="O807" s="7"/>
      <c r="P807" s="20" t="str">
        <f>IF($A807="","",INDEX(Project_Tracker!$I$2:$I$101,INT((ROW()-6)/17)+1))</f>
        <v/>
      </c>
      <c r="Q807" s="20" t="str">
        <f>IF($A807="","",INDEX(Project_Tracker!$K$2:$K$101,INT((ROW()-6)/17)+1))</f>
        <v/>
      </c>
    </row>
    <row r="808" spans="1:17" x14ac:dyDescent="0.2">
      <c r="A808" s="20" t="str">
        <f>IF(INDEX(Project_Tracker!$AL$2:$AL$101,INT((ROW()-6)/17)+1)="","",INDEX(Project_Tracker!$AL$2:$AL$101,INT((ROW()-6)/17)+1))</f>
        <v/>
      </c>
      <c r="B808" s="21" t="str">
        <f>IF($A808="","",INDEX(Project_Tracker!$AM$2:$AM$101,INT((ROW()-6)/17)+1))</f>
        <v/>
      </c>
      <c r="C808" s="20" t="str">
        <f>IF($A808="","",INDEX(Project_Tracker!$C$2:$C$101,INT((ROW()-6)/17)+1))</f>
        <v/>
      </c>
      <c r="D808" s="6" t="str">
        <f>IF($A808="","",INDEX(Project_Tracker!$T$2:$T$101,INT((ROW()-6)/17)+1))</f>
        <v/>
      </c>
      <c r="E808" s="18">
        <f t="shared" si="60"/>
        <v>4</v>
      </c>
      <c r="F808" s="23" t="str">
        <f>IF($A808="","",INDEX('Logic &amp; Lists'!$I$4:$I$20,$E808))</f>
        <v/>
      </c>
      <c r="G808" s="18" t="str">
        <f>IF($A808="","",INDEX('Logic &amp; Lists'!$J$4:$J$20,$E808))</f>
        <v/>
      </c>
      <c r="H808" s="6" t="str">
        <f t="shared" si="61"/>
        <v/>
      </c>
      <c r="I808" s="18" t="str">
        <f t="shared" ca="1" si="62"/>
        <v/>
      </c>
      <c r="J808" s="5" t="str">
        <f t="shared" si="63"/>
        <v/>
      </c>
      <c r="K808" s="25"/>
      <c r="L808" s="5" t="str">
        <f t="shared" si="64"/>
        <v/>
      </c>
      <c r="M808" s="7"/>
      <c r="N808" s="7"/>
      <c r="O808" s="7"/>
      <c r="P808" s="20" t="str">
        <f>IF($A808="","",INDEX(Project_Tracker!$I$2:$I$101,INT((ROW()-6)/17)+1))</f>
        <v/>
      </c>
      <c r="Q808" s="20" t="str">
        <f>IF($A808="","",INDEX(Project_Tracker!$K$2:$K$101,INT((ROW()-6)/17)+1))</f>
        <v/>
      </c>
    </row>
    <row r="809" spans="1:17" x14ac:dyDescent="0.2">
      <c r="A809" s="20" t="str">
        <f>IF(INDEX(Project_Tracker!$AL$2:$AL$101,INT((ROW()-6)/17)+1)="","",INDEX(Project_Tracker!$AL$2:$AL$101,INT((ROW()-6)/17)+1))</f>
        <v/>
      </c>
      <c r="B809" s="21" t="str">
        <f>IF($A809="","",INDEX(Project_Tracker!$AM$2:$AM$101,INT((ROW()-6)/17)+1))</f>
        <v/>
      </c>
      <c r="C809" s="20" t="str">
        <f>IF($A809="","",INDEX(Project_Tracker!$C$2:$C$101,INT((ROW()-6)/17)+1))</f>
        <v/>
      </c>
      <c r="D809" s="6" t="str">
        <f>IF($A809="","",INDEX(Project_Tracker!$T$2:$T$101,INT((ROW()-6)/17)+1))</f>
        <v/>
      </c>
      <c r="E809" s="18">
        <f t="shared" si="60"/>
        <v>5</v>
      </c>
      <c r="F809" s="23" t="str">
        <f>IF($A809="","",INDEX('Logic &amp; Lists'!$I$4:$I$20,$E809))</f>
        <v/>
      </c>
      <c r="G809" s="18" t="str">
        <f>IF($A809="","",INDEX('Logic &amp; Lists'!$J$4:$J$20,$E809))</f>
        <v/>
      </c>
      <c r="H809" s="6" t="str">
        <f t="shared" si="61"/>
        <v/>
      </c>
      <c r="I809" s="18" t="str">
        <f t="shared" ca="1" si="62"/>
        <v/>
      </c>
      <c r="J809" s="5" t="str">
        <f t="shared" si="63"/>
        <v/>
      </c>
      <c r="K809" s="25"/>
      <c r="L809" s="5" t="str">
        <f t="shared" si="64"/>
        <v/>
      </c>
      <c r="M809" s="7"/>
      <c r="N809" s="7"/>
      <c r="O809" s="7"/>
      <c r="P809" s="20" t="str">
        <f>IF($A809="","",INDEX(Project_Tracker!$I$2:$I$101,INT((ROW()-6)/17)+1))</f>
        <v/>
      </c>
      <c r="Q809" s="20" t="str">
        <f>IF($A809="","",INDEX(Project_Tracker!$K$2:$K$101,INT((ROW()-6)/17)+1))</f>
        <v/>
      </c>
    </row>
    <row r="810" spans="1:17" x14ac:dyDescent="0.2">
      <c r="A810" s="20" t="str">
        <f>IF(INDEX(Project_Tracker!$AL$2:$AL$101,INT((ROW()-6)/17)+1)="","",INDEX(Project_Tracker!$AL$2:$AL$101,INT((ROW()-6)/17)+1))</f>
        <v/>
      </c>
      <c r="B810" s="21" t="str">
        <f>IF($A810="","",INDEX(Project_Tracker!$AM$2:$AM$101,INT((ROW()-6)/17)+1))</f>
        <v/>
      </c>
      <c r="C810" s="20" t="str">
        <f>IF($A810="","",INDEX(Project_Tracker!$C$2:$C$101,INT((ROW()-6)/17)+1))</f>
        <v/>
      </c>
      <c r="D810" s="6" t="str">
        <f>IF($A810="","",INDEX(Project_Tracker!$T$2:$T$101,INT((ROW()-6)/17)+1))</f>
        <v/>
      </c>
      <c r="E810" s="18">
        <f t="shared" si="60"/>
        <v>6</v>
      </c>
      <c r="F810" s="23" t="str">
        <f>IF($A810="","",INDEX('Logic &amp; Lists'!$I$4:$I$20,$E810))</f>
        <v/>
      </c>
      <c r="G810" s="18" t="str">
        <f>IF($A810="","",INDEX('Logic &amp; Lists'!$J$4:$J$20,$E810))</f>
        <v/>
      </c>
      <c r="H810" s="6" t="str">
        <f t="shared" si="61"/>
        <v/>
      </c>
      <c r="I810" s="18" t="str">
        <f t="shared" ca="1" si="62"/>
        <v/>
      </c>
      <c r="J810" s="5" t="str">
        <f t="shared" si="63"/>
        <v/>
      </c>
      <c r="K810" s="25"/>
      <c r="L810" s="5" t="str">
        <f t="shared" si="64"/>
        <v/>
      </c>
      <c r="M810" s="7"/>
      <c r="N810" s="7"/>
      <c r="O810" s="7"/>
      <c r="P810" s="20" t="str">
        <f>IF($A810="","",INDEX(Project_Tracker!$I$2:$I$101,INT((ROW()-6)/17)+1))</f>
        <v/>
      </c>
      <c r="Q810" s="20" t="str">
        <f>IF($A810="","",INDEX(Project_Tracker!$K$2:$K$101,INT((ROW()-6)/17)+1))</f>
        <v/>
      </c>
    </row>
    <row r="811" spans="1:17" x14ac:dyDescent="0.2">
      <c r="A811" s="20" t="str">
        <f>IF(INDEX(Project_Tracker!$AL$2:$AL$101,INT((ROW()-6)/17)+1)="","",INDEX(Project_Tracker!$AL$2:$AL$101,INT((ROW()-6)/17)+1))</f>
        <v/>
      </c>
      <c r="B811" s="21" t="str">
        <f>IF($A811="","",INDEX(Project_Tracker!$AM$2:$AM$101,INT((ROW()-6)/17)+1))</f>
        <v/>
      </c>
      <c r="C811" s="20" t="str">
        <f>IF($A811="","",INDEX(Project_Tracker!$C$2:$C$101,INT((ROW()-6)/17)+1))</f>
        <v/>
      </c>
      <c r="D811" s="6" t="str">
        <f>IF($A811="","",INDEX(Project_Tracker!$T$2:$T$101,INT((ROW()-6)/17)+1))</f>
        <v/>
      </c>
      <c r="E811" s="18">
        <f t="shared" si="60"/>
        <v>7</v>
      </c>
      <c r="F811" s="23" t="str">
        <f>IF($A811="","",INDEX('Logic &amp; Lists'!$I$4:$I$20,$E811))</f>
        <v/>
      </c>
      <c r="G811" s="18" t="str">
        <f>IF($A811="","",INDEX('Logic &amp; Lists'!$J$4:$J$20,$E811))</f>
        <v/>
      </c>
      <c r="H811" s="6" t="str">
        <f t="shared" si="61"/>
        <v/>
      </c>
      <c r="I811" s="18" t="str">
        <f t="shared" ca="1" si="62"/>
        <v/>
      </c>
      <c r="J811" s="5" t="str">
        <f t="shared" si="63"/>
        <v/>
      </c>
      <c r="K811" s="25"/>
      <c r="L811" s="5" t="str">
        <f t="shared" si="64"/>
        <v/>
      </c>
      <c r="M811" s="7"/>
      <c r="N811" s="7"/>
      <c r="O811" s="7"/>
      <c r="P811" s="20" t="str">
        <f>IF($A811="","",INDEX(Project_Tracker!$I$2:$I$101,INT((ROW()-6)/17)+1))</f>
        <v/>
      </c>
      <c r="Q811" s="20" t="str">
        <f>IF($A811="","",INDEX(Project_Tracker!$K$2:$K$101,INT((ROW()-6)/17)+1))</f>
        <v/>
      </c>
    </row>
    <row r="812" spans="1:17" x14ac:dyDescent="0.2">
      <c r="A812" s="20" t="str">
        <f>IF(INDEX(Project_Tracker!$AL$2:$AL$101,INT((ROW()-6)/17)+1)="","",INDEX(Project_Tracker!$AL$2:$AL$101,INT((ROW()-6)/17)+1))</f>
        <v/>
      </c>
      <c r="B812" s="21" t="str">
        <f>IF($A812="","",INDEX(Project_Tracker!$AM$2:$AM$101,INT((ROW()-6)/17)+1))</f>
        <v/>
      </c>
      <c r="C812" s="20" t="str">
        <f>IF($A812="","",INDEX(Project_Tracker!$C$2:$C$101,INT((ROW()-6)/17)+1))</f>
        <v/>
      </c>
      <c r="D812" s="6" t="str">
        <f>IF($A812="","",INDEX(Project_Tracker!$T$2:$T$101,INT((ROW()-6)/17)+1))</f>
        <v/>
      </c>
      <c r="E812" s="18">
        <f t="shared" si="60"/>
        <v>8</v>
      </c>
      <c r="F812" s="23" t="str">
        <f>IF($A812="","",INDEX('Logic &amp; Lists'!$I$4:$I$20,$E812))</f>
        <v/>
      </c>
      <c r="G812" s="18" t="str">
        <f>IF($A812="","",INDEX('Logic &amp; Lists'!$J$4:$J$20,$E812))</f>
        <v/>
      </c>
      <c r="H812" s="6" t="str">
        <f t="shared" si="61"/>
        <v/>
      </c>
      <c r="I812" s="18" t="str">
        <f t="shared" ca="1" si="62"/>
        <v/>
      </c>
      <c r="J812" s="5" t="str">
        <f t="shared" si="63"/>
        <v/>
      </c>
      <c r="K812" s="25"/>
      <c r="L812" s="5" t="str">
        <f t="shared" si="64"/>
        <v/>
      </c>
      <c r="M812" s="7"/>
      <c r="N812" s="7"/>
      <c r="O812" s="7"/>
      <c r="P812" s="20" t="str">
        <f>IF($A812="","",INDEX(Project_Tracker!$I$2:$I$101,INT((ROW()-6)/17)+1))</f>
        <v/>
      </c>
      <c r="Q812" s="20" t="str">
        <f>IF($A812="","",INDEX(Project_Tracker!$K$2:$K$101,INT((ROW()-6)/17)+1))</f>
        <v/>
      </c>
    </row>
    <row r="813" spans="1:17" x14ac:dyDescent="0.2">
      <c r="A813" s="20" t="str">
        <f>IF(INDEX(Project_Tracker!$AL$2:$AL$101,INT((ROW()-6)/17)+1)="","",INDEX(Project_Tracker!$AL$2:$AL$101,INT((ROW()-6)/17)+1))</f>
        <v/>
      </c>
      <c r="B813" s="21" t="str">
        <f>IF($A813="","",INDEX(Project_Tracker!$AM$2:$AM$101,INT((ROW()-6)/17)+1))</f>
        <v/>
      </c>
      <c r="C813" s="20" t="str">
        <f>IF($A813="","",INDEX(Project_Tracker!$C$2:$C$101,INT((ROW()-6)/17)+1))</f>
        <v/>
      </c>
      <c r="D813" s="6" t="str">
        <f>IF($A813="","",INDEX(Project_Tracker!$T$2:$T$101,INT((ROW()-6)/17)+1))</f>
        <v/>
      </c>
      <c r="E813" s="18">
        <f t="shared" si="60"/>
        <v>9</v>
      </c>
      <c r="F813" s="23" t="str">
        <f>IF($A813="","",INDEX('Logic &amp; Lists'!$I$4:$I$20,$E813))</f>
        <v/>
      </c>
      <c r="G813" s="18" t="str">
        <f>IF($A813="","",INDEX('Logic &amp; Lists'!$J$4:$J$20,$E813))</f>
        <v/>
      </c>
      <c r="H813" s="6" t="str">
        <f t="shared" si="61"/>
        <v/>
      </c>
      <c r="I813" s="18" t="str">
        <f t="shared" ca="1" si="62"/>
        <v/>
      </c>
      <c r="J813" s="5" t="str">
        <f t="shared" si="63"/>
        <v/>
      </c>
      <c r="K813" s="25"/>
      <c r="L813" s="5" t="str">
        <f t="shared" si="64"/>
        <v/>
      </c>
      <c r="M813" s="7"/>
      <c r="N813" s="7"/>
      <c r="O813" s="7"/>
      <c r="P813" s="20" t="str">
        <f>IF($A813="","",INDEX(Project_Tracker!$I$2:$I$101,INT((ROW()-6)/17)+1))</f>
        <v/>
      </c>
      <c r="Q813" s="20" t="str">
        <f>IF($A813="","",INDEX(Project_Tracker!$K$2:$K$101,INT((ROW()-6)/17)+1))</f>
        <v/>
      </c>
    </row>
    <row r="814" spans="1:17" x14ac:dyDescent="0.2">
      <c r="A814" s="20" t="str">
        <f>IF(INDEX(Project_Tracker!$AL$2:$AL$101,INT((ROW()-6)/17)+1)="","",INDEX(Project_Tracker!$AL$2:$AL$101,INT((ROW()-6)/17)+1))</f>
        <v/>
      </c>
      <c r="B814" s="21" t="str">
        <f>IF($A814="","",INDEX(Project_Tracker!$AM$2:$AM$101,INT((ROW()-6)/17)+1))</f>
        <v/>
      </c>
      <c r="C814" s="20" t="str">
        <f>IF($A814="","",INDEX(Project_Tracker!$C$2:$C$101,INT((ROW()-6)/17)+1))</f>
        <v/>
      </c>
      <c r="D814" s="6" t="str">
        <f>IF($A814="","",INDEX(Project_Tracker!$T$2:$T$101,INT((ROW()-6)/17)+1))</f>
        <v/>
      </c>
      <c r="E814" s="18">
        <f t="shared" si="60"/>
        <v>10</v>
      </c>
      <c r="F814" s="23" t="str">
        <f>IF($A814="","",INDEX('Logic &amp; Lists'!$I$4:$I$20,$E814))</f>
        <v/>
      </c>
      <c r="G814" s="18" t="str">
        <f>IF($A814="","",INDEX('Logic &amp; Lists'!$J$4:$J$20,$E814))</f>
        <v/>
      </c>
      <c r="H814" s="6" t="str">
        <f t="shared" si="61"/>
        <v/>
      </c>
      <c r="I814" s="18" t="str">
        <f t="shared" ca="1" si="62"/>
        <v/>
      </c>
      <c r="J814" s="5" t="str">
        <f t="shared" si="63"/>
        <v/>
      </c>
      <c r="K814" s="25"/>
      <c r="L814" s="5" t="str">
        <f t="shared" si="64"/>
        <v/>
      </c>
      <c r="M814" s="7"/>
      <c r="N814" s="7"/>
      <c r="O814" s="7"/>
      <c r="P814" s="20" t="str">
        <f>IF($A814="","",INDEX(Project_Tracker!$I$2:$I$101,INT((ROW()-6)/17)+1))</f>
        <v/>
      </c>
      <c r="Q814" s="20" t="str">
        <f>IF($A814="","",INDEX(Project_Tracker!$K$2:$K$101,INT((ROW()-6)/17)+1))</f>
        <v/>
      </c>
    </row>
    <row r="815" spans="1:17" x14ac:dyDescent="0.2">
      <c r="A815" s="20" t="str">
        <f>IF(INDEX(Project_Tracker!$AL$2:$AL$101,INT((ROW()-6)/17)+1)="","",INDEX(Project_Tracker!$AL$2:$AL$101,INT((ROW()-6)/17)+1))</f>
        <v/>
      </c>
      <c r="B815" s="21" t="str">
        <f>IF($A815="","",INDEX(Project_Tracker!$AM$2:$AM$101,INT((ROW()-6)/17)+1))</f>
        <v/>
      </c>
      <c r="C815" s="20" t="str">
        <f>IF($A815="","",INDEX(Project_Tracker!$C$2:$C$101,INT((ROW()-6)/17)+1))</f>
        <v/>
      </c>
      <c r="D815" s="6" t="str">
        <f>IF($A815="","",INDEX(Project_Tracker!$T$2:$T$101,INT((ROW()-6)/17)+1))</f>
        <v/>
      </c>
      <c r="E815" s="18">
        <f t="shared" si="60"/>
        <v>11</v>
      </c>
      <c r="F815" s="23" t="str">
        <f>IF($A815="","",INDEX('Logic &amp; Lists'!$I$4:$I$20,$E815))</f>
        <v/>
      </c>
      <c r="G815" s="18" t="str">
        <f>IF($A815="","",INDEX('Logic &amp; Lists'!$J$4:$J$20,$E815))</f>
        <v/>
      </c>
      <c r="H815" s="6" t="str">
        <f t="shared" si="61"/>
        <v/>
      </c>
      <c r="I815" s="18" t="str">
        <f t="shared" ca="1" si="62"/>
        <v/>
      </c>
      <c r="J815" s="5" t="str">
        <f t="shared" si="63"/>
        <v/>
      </c>
      <c r="K815" s="25"/>
      <c r="L815" s="5" t="str">
        <f t="shared" si="64"/>
        <v/>
      </c>
      <c r="M815" s="7"/>
      <c r="N815" s="7"/>
      <c r="O815" s="7"/>
      <c r="P815" s="20" t="str">
        <f>IF($A815="","",INDEX(Project_Tracker!$I$2:$I$101,INT((ROW()-6)/17)+1))</f>
        <v/>
      </c>
      <c r="Q815" s="20" t="str">
        <f>IF($A815="","",INDEX(Project_Tracker!$K$2:$K$101,INT((ROW()-6)/17)+1))</f>
        <v/>
      </c>
    </row>
    <row r="816" spans="1:17" x14ac:dyDescent="0.2">
      <c r="A816" s="20" t="str">
        <f>IF(INDEX(Project_Tracker!$AL$2:$AL$101,INT((ROW()-6)/17)+1)="","",INDEX(Project_Tracker!$AL$2:$AL$101,INT((ROW()-6)/17)+1))</f>
        <v/>
      </c>
      <c r="B816" s="21" t="str">
        <f>IF($A816="","",INDEX(Project_Tracker!$AM$2:$AM$101,INT((ROW()-6)/17)+1))</f>
        <v/>
      </c>
      <c r="C816" s="20" t="str">
        <f>IF($A816="","",INDEX(Project_Tracker!$C$2:$C$101,INT((ROW()-6)/17)+1))</f>
        <v/>
      </c>
      <c r="D816" s="6" t="str">
        <f>IF($A816="","",INDEX(Project_Tracker!$T$2:$T$101,INT((ROW()-6)/17)+1))</f>
        <v/>
      </c>
      <c r="E816" s="18">
        <f t="shared" si="60"/>
        <v>12</v>
      </c>
      <c r="F816" s="23" t="str">
        <f>IF($A816="","",INDEX('Logic &amp; Lists'!$I$4:$I$20,$E816))</f>
        <v/>
      </c>
      <c r="G816" s="18" t="str">
        <f>IF($A816="","",INDEX('Logic &amp; Lists'!$J$4:$J$20,$E816))</f>
        <v/>
      </c>
      <c r="H816" s="6" t="str">
        <f t="shared" si="61"/>
        <v/>
      </c>
      <c r="I816" s="18" t="str">
        <f t="shared" ca="1" si="62"/>
        <v/>
      </c>
      <c r="J816" s="5" t="str">
        <f t="shared" si="63"/>
        <v/>
      </c>
      <c r="K816" s="25"/>
      <c r="L816" s="5" t="str">
        <f t="shared" si="64"/>
        <v/>
      </c>
      <c r="M816" s="7"/>
      <c r="N816" s="7"/>
      <c r="O816" s="7"/>
      <c r="P816" s="20" t="str">
        <f>IF($A816="","",INDEX(Project_Tracker!$I$2:$I$101,INT((ROW()-6)/17)+1))</f>
        <v/>
      </c>
      <c r="Q816" s="20" t="str">
        <f>IF($A816="","",INDEX(Project_Tracker!$K$2:$K$101,INT((ROW()-6)/17)+1))</f>
        <v/>
      </c>
    </row>
    <row r="817" spans="1:17" x14ac:dyDescent="0.2">
      <c r="A817" s="20" t="str">
        <f>IF(INDEX(Project_Tracker!$AL$2:$AL$101,INT((ROW()-6)/17)+1)="","",INDEX(Project_Tracker!$AL$2:$AL$101,INT((ROW()-6)/17)+1))</f>
        <v/>
      </c>
      <c r="B817" s="21" t="str">
        <f>IF($A817="","",INDEX(Project_Tracker!$AM$2:$AM$101,INT((ROW()-6)/17)+1))</f>
        <v/>
      </c>
      <c r="C817" s="20" t="str">
        <f>IF($A817="","",INDEX(Project_Tracker!$C$2:$C$101,INT((ROW()-6)/17)+1))</f>
        <v/>
      </c>
      <c r="D817" s="6" t="str">
        <f>IF($A817="","",INDEX(Project_Tracker!$T$2:$T$101,INT((ROW()-6)/17)+1))</f>
        <v/>
      </c>
      <c r="E817" s="18">
        <f t="shared" si="60"/>
        <v>13</v>
      </c>
      <c r="F817" s="23" t="str">
        <f>IF($A817="","",INDEX('Logic &amp; Lists'!$I$4:$I$20,$E817))</f>
        <v/>
      </c>
      <c r="G817" s="18" t="str">
        <f>IF($A817="","",INDEX('Logic &amp; Lists'!$J$4:$J$20,$E817))</f>
        <v/>
      </c>
      <c r="H817" s="6" t="str">
        <f t="shared" si="61"/>
        <v/>
      </c>
      <c r="I817" s="18" t="str">
        <f t="shared" ca="1" si="62"/>
        <v/>
      </c>
      <c r="J817" s="5" t="str">
        <f t="shared" si="63"/>
        <v/>
      </c>
      <c r="K817" s="25"/>
      <c r="L817" s="5" t="str">
        <f t="shared" si="64"/>
        <v/>
      </c>
      <c r="M817" s="7"/>
      <c r="N817" s="7"/>
      <c r="O817" s="7"/>
      <c r="P817" s="20" t="str">
        <f>IF($A817="","",INDEX(Project_Tracker!$I$2:$I$101,INT((ROW()-6)/17)+1))</f>
        <v/>
      </c>
      <c r="Q817" s="20" t="str">
        <f>IF($A817="","",INDEX(Project_Tracker!$K$2:$K$101,INT((ROW()-6)/17)+1))</f>
        <v/>
      </c>
    </row>
    <row r="818" spans="1:17" x14ac:dyDescent="0.2">
      <c r="A818" s="20" t="str">
        <f>IF(INDEX(Project_Tracker!$AL$2:$AL$101,INT((ROW()-6)/17)+1)="","",INDEX(Project_Tracker!$AL$2:$AL$101,INT((ROW()-6)/17)+1))</f>
        <v/>
      </c>
      <c r="B818" s="21" t="str">
        <f>IF($A818="","",INDEX(Project_Tracker!$AM$2:$AM$101,INT((ROW()-6)/17)+1))</f>
        <v/>
      </c>
      <c r="C818" s="20" t="str">
        <f>IF($A818="","",INDEX(Project_Tracker!$C$2:$C$101,INT((ROW()-6)/17)+1))</f>
        <v/>
      </c>
      <c r="D818" s="6" t="str">
        <f>IF($A818="","",INDEX(Project_Tracker!$T$2:$T$101,INT((ROW()-6)/17)+1))</f>
        <v/>
      </c>
      <c r="E818" s="18">
        <f t="shared" si="60"/>
        <v>14</v>
      </c>
      <c r="F818" s="23" t="str">
        <f>IF($A818="","",INDEX('Logic &amp; Lists'!$I$4:$I$20,$E818))</f>
        <v/>
      </c>
      <c r="G818" s="18" t="str">
        <f>IF($A818="","",INDEX('Logic &amp; Lists'!$J$4:$J$20,$E818))</f>
        <v/>
      </c>
      <c r="H818" s="6" t="str">
        <f t="shared" si="61"/>
        <v/>
      </c>
      <c r="I818" s="18" t="str">
        <f t="shared" ca="1" si="62"/>
        <v/>
      </c>
      <c r="J818" s="5" t="str">
        <f t="shared" si="63"/>
        <v/>
      </c>
      <c r="K818" s="25"/>
      <c r="L818" s="5" t="str">
        <f t="shared" si="64"/>
        <v/>
      </c>
      <c r="M818" s="7"/>
      <c r="N818" s="7"/>
      <c r="O818" s="7"/>
      <c r="P818" s="20" t="str">
        <f>IF($A818="","",INDEX(Project_Tracker!$I$2:$I$101,INT((ROW()-6)/17)+1))</f>
        <v/>
      </c>
      <c r="Q818" s="20" t="str">
        <f>IF($A818="","",INDEX(Project_Tracker!$K$2:$K$101,INT((ROW()-6)/17)+1))</f>
        <v/>
      </c>
    </row>
    <row r="819" spans="1:17" x14ac:dyDescent="0.2">
      <c r="A819" s="20" t="str">
        <f>IF(INDEX(Project_Tracker!$AL$2:$AL$101,INT((ROW()-6)/17)+1)="","",INDEX(Project_Tracker!$AL$2:$AL$101,INT((ROW()-6)/17)+1))</f>
        <v/>
      </c>
      <c r="B819" s="21" t="str">
        <f>IF($A819="","",INDEX(Project_Tracker!$AM$2:$AM$101,INT((ROW()-6)/17)+1))</f>
        <v/>
      </c>
      <c r="C819" s="20" t="str">
        <f>IF($A819="","",INDEX(Project_Tracker!$C$2:$C$101,INT((ROW()-6)/17)+1))</f>
        <v/>
      </c>
      <c r="D819" s="6" t="str">
        <f>IF($A819="","",INDEX(Project_Tracker!$T$2:$T$101,INT((ROW()-6)/17)+1))</f>
        <v/>
      </c>
      <c r="E819" s="18">
        <f t="shared" si="60"/>
        <v>15</v>
      </c>
      <c r="F819" s="23" t="str">
        <f>IF($A819="","",INDEX('Logic &amp; Lists'!$I$4:$I$20,$E819))</f>
        <v/>
      </c>
      <c r="G819" s="18" t="str">
        <f>IF($A819="","",INDEX('Logic &amp; Lists'!$J$4:$J$20,$E819))</f>
        <v/>
      </c>
      <c r="H819" s="6" t="str">
        <f t="shared" si="61"/>
        <v/>
      </c>
      <c r="I819" s="18" t="str">
        <f t="shared" ca="1" si="62"/>
        <v/>
      </c>
      <c r="J819" s="5" t="str">
        <f t="shared" si="63"/>
        <v/>
      </c>
      <c r="K819" s="25"/>
      <c r="L819" s="5" t="str">
        <f t="shared" si="64"/>
        <v/>
      </c>
      <c r="M819" s="7"/>
      <c r="N819" s="7"/>
      <c r="O819" s="7"/>
      <c r="P819" s="20" t="str">
        <f>IF($A819="","",INDEX(Project_Tracker!$I$2:$I$101,INT((ROW()-6)/17)+1))</f>
        <v/>
      </c>
      <c r="Q819" s="20" t="str">
        <f>IF($A819="","",INDEX(Project_Tracker!$K$2:$K$101,INT((ROW()-6)/17)+1))</f>
        <v/>
      </c>
    </row>
    <row r="820" spans="1:17" x14ac:dyDescent="0.2">
      <c r="A820" s="20" t="str">
        <f>IF(INDEX(Project_Tracker!$AL$2:$AL$101,INT((ROW()-6)/17)+1)="","",INDEX(Project_Tracker!$AL$2:$AL$101,INT((ROW()-6)/17)+1))</f>
        <v/>
      </c>
      <c r="B820" s="21" t="str">
        <f>IF($A820="","",INDEX(Project_Tracker!$AM$2:$AM$101,INT((ROW()-6)/17)+1))</f>
        <v/>
      </c>
      <c r="C820" s="20" t="str">
        <f>IF($A820="","",INDEX(Project_Tracker!$C$2:$C$101,INT((ROW()-6)/17)+1))</f>
        <v/>
      </c>
      <c r="D820" s="6" t="str">
        <f>IF($A820="","",INDEX(Project_Tracker!$T$2:$T$101,INT((ROW()-6)/17)+1))</f>
        <v/>
      </c>
      <c r="E820" s="18">
        <f t="shared" si="60"/>
        <v>16</v>
      </c>
      <c r="F820" s="23" t="str">
        <f>IF($A820="","",INDEX('Logic &amp; Lists'!$I$4:$I$20,$E820))</f>
        <v/>
      </c>
      <c r="G820" s="18" t="str">
        <f>IF($A820="","",INDEX('Logic &amp; Lists'!$J$4:$J$20,$E820))</f>
        <v/>
      </c>
      <c r="H820" s="6" t="str">
        <f t="shared" si="61"/>
        <v/>
      </c>
      <c r="I820" s="18" t="str">
        <f t="shared" ca="1" si="62"/>
        <v/>
      </c>
      <c r="J820" s="5" t="str">
        <f t="shared" si="63"/>
        <v/>
      </c>
      <c r="K820" s="25"/>
      <c r="L820" s="5" t="str">
        <f t="shared" si="64"/>
        <v/>
      </c>
      <c r="M820" s="7"/>
      <c r="N820" s="7"/>
      <c r="O820" s="7"/>
      <c r="P820" s="20" t="str">
        <f>IF($A820="","",INDEX(Project_Tracker!$I$2:$I$101,INT((ROW()-6)/17)+1))</f>
        <v/>
      </c>
      <c r="Q820" s="20" t="str">
        <f>IF($A820="","",INDEX(Project_Tracker!$K$2:$K$101,INT((ROW()-6)/17)+1))</f>
        <v/>
      </c>
    </row>
    <row r="821" spans="1:17" x14ac:dyDescent="0.2">
      <c r="A821" s="20" t="str">
        <f>IF(INDEX(Project_Tracker!$AL$2:$AL$101,INT((ROW()-6)/17)+1)="","",INDEX(Project_Tracker!$AL$2:$AL$101,INT((ROW()-6)/17)+1))</f>
        <v/>
      </c>
      <c r="B821" s="21" t="str">
        <f>IF($A821="","",INDEX(Project_Tracker!$AM$2:$AM$101,INT((ROW()-6)/17)+1))</f>
        <v/>
      </c>
      <c r="C821" s="20" t="str">
        <f>IF($A821="","",INDEX(Project_Tracker!$C$2:$C$101,INT((ROW()-6)/17)+1))</f>
        <v/>
      </c>
      <c r="D821" s="6" t="str">
        <f>IF($A821="","",INDEX(Project_Tracker!$T$2:$T$101,INT((ROW()-6)/17)+1))</f>
        <v/>
      </c>
      <c r="E821" s="18">
        <f t="shared" si="60"/>
        <v>17</v>
      </c>
      <c r="F821" s="23" t="str">
        <f>IF($A821="","",INDEX('Logic &amp; Lists'!$I$4:$I$20,$E821))</f>
        <v/>
      </c>
      <c r="G821" s="18" t="str">
        <f>IF($A821="","",INDEX('Logic &amp; Lists'!$J$4:$J$20,$E821))</f>
        <v/>
      </c>
      <c r="H821" s="6" t="str">
        <f t="shared" si="61"/>
        <v/>
      </c>
      <c r="I821" s="18" t="str">
        <f t="shared" ca="1" si="62"/>
        <v/>
      </c>
      <c r="J821" s="5" t="str">
        <f t="shared" si="63"/>
        <v/>
      </c>
      <c r="K821" s="25"/>
      <c r="L821" s="5" t="str">
        <f t="shared" si="64"/>
        <v/>
      </c>
      <c r="M821" s="7"/>
      <c r="N821" s="7"/>
      <c r="O821" s="7"/>
      <c r="P821" s="20" t="str">
        <f>IF($A821="","",INDEX(Project_Tracker!$I$2:$I$101,INT((ROW()-6)/17)+1))</f>
        <v/>
      </c>
      <c r="Q821" s="20" t="str">
        <f>IF($A821="","",INDEX(Project_Tracker!$K$2:$K$101,INT((ROW()-6)/17)+1))</f>
        <v/>
      </c>
    </row>
    <row r="822" spans="1:17" x14ac:dyDescent="0.2">
      <c r="A822" s="20" t="str">
        <f>IF(INDEX(Project_Tracker!$AL$2:$AL$101,INT((ROW()-6)/17)+1)="","",INDEX(Project_Tracker!$AL$2:$AL$101,INT((ROW()-6)/17)+1))</f>
        <v/>
      </c>
      <c r="B822" s="21" t="str">
        <f>IF($A822="","",INDEX(Project_Tracker!$AM$2:$AM$101,INT((ROW()-6)/17)+1))</f>
        <v/>
      </c>
      <c r="C822" s="20" t="str">
        <f>IF($A822="","",INDEX(Project_Tracker!$C$2:$C$101,INT((ROW()-6)/17)+1))</f>
        <v/>
      </c>
      <c r="D822" s="6" t="str">
        <f>IF($A822="","",INDEX(Project_Tracker!$T$2:$T$101,INT((ROW()-6)/17)+1))</f>
        <v/>
      </c>
      <c r="E822" s="18">
        <f t="shared" si="60"/>
        <v>1</v>
      </c>
      <c r="F822" s="23" t="str">
        <f>IF($A822="","",INDEX('Logic &amp; Lists'!$I$4:$I$20,$E822))</f>
        <v/>
      </c>
      <c r="G822" s="18" t="str">
        <f>IF($A822="","",INDEX('Logic &amp; Lists'!$J$4:$J$20,$E822))</f>
        <v/>
      </c>
      <c r="H822" s="6" t="str">
        <f t="shared" si="61"/>
        <v/>
      </c>
      <c r="I822" s="18" t="str">
        <f t="shared" ca="1" si="62"/>
        <v/>
      </c>
      <c r="J822" s="5" t="str">
        <f t="shared" si="63"/>
        <v/>
      </c>
      <c r="K822" s="25"/>
      <c r="L822" s="5" t="str">
        <f t="shared" si="64"/>
        <v/>
      </c>
      <c r="M822" s="7"/>
      <c r="N822" s="7"/>
      <c r="O822" s="7"/>
      <c r="P822" s="20" t="str">
        <f>IF($A822="","",INDEX(Project_Tracker!$I$2:$I$101,INT((ROW()-6)/17)+1))</f>
        <v/>
      </c>
      <c r="Q822" s="20" t="str">
        <f>IF($A822="","",INDEX(Project_Tracker!$K$2:$K$101,INT((ROW()-6)/17)+1))</f>
        <v/>
      </c>
    </row>
    <row r="823" spans="1:17" x14ac:dyDescent="0.2">
      <c r="A823" s="20" t="str">
        <f>IF(INDEX(Project_Tracker!$AL$2:$AL$101,INT((ROW()-6)/17)+1)="","",INDEX(Project_Tracker!$AL$2:$AL$101,INT((ROW()-6)/17)+1))</f>
        <v/>
      </c>
      <c r="B823" s="21" t="str">
        <f>IF($A823="","",INDEX(Project_Tracker!$AM$2:$AM$101,INT((ROW()-6)/17)+1))</f>
        <v/>
      </c>
      <c r="C823" s="20" t="str">
        <f>IF($A823="","",INDEX(Project_Tracker!$C$2:$C$101,INT((ROW()-6)/17)+1))</f>
        <v/>
      </c>
      <c r="D823" s="6" t="str">
        <f>IF($A823="","",INDEX(Project_Tracker!$T$2:$T$101,INT((ROW()-6)/17)+1))</f>
        <v/>
      </c>
      <c r="E823" s="18">
        <f t="shared" si="60"/>
        <v>2</v>
      </c>
      <c r="F823" s="23" t="str">
        <f>IF($A823="","",INDEX('Logic &amp; Lists'!$I$4:$I$20,$E823))</f>
        <v/>
      </c>
      <c r="G823" s="18" t="str">
        <f>IF($A823="","",INDEX('Logic &amp; Lists'!$J$4:$J$20,$E823))</f>
        <v/>
      </c>
      <c r="H823" s="6" t="str">
        <f t="shared" si="61"/>
        <v/>
      </c>
      <c r="I823" s="18" t="str">
        <f t="shared" ca="1" si="62"/>
        <v/>
      </c>
      <c r="J823" s="5" t="str">
        <f t="shared" si="63"/>
        <v/>
      </c>
      <c r="K823" s="25"/>
      <c r="L823" s="5" t="str">
        <f t="shared" si="64"/>
        <v/>
      </c>
      <c r="M823" s="7"/>
      <c r="N823" s="7"/>
      <c r="O823" s="7"/>
      <c r="P823" s="20" t="str">
        <f>IF($A823="","",INDEX(Project_Tracker!$I$2:$I$101,INT((ROW()-6)/17)+1))</f>
        <v/>
      </c>
      <c r="Q823" s="20" t="str">
        <f>IF($A823="","",INDEX(Project_Tracker!$K$2:$K$101,INT((ROW()-6)/17)+1))</f>
        <v/>
      </c>
    </row>
    <row r="824" spans="1:17" x14ac:dyDescent="0.2">
      <c r="A824" s="20" t="str">
        <f>IF(INDEX(Project_Tracker!$AL$2:$AL$101,INT((ROW()-6)/17)+1)="","",INDEX(Project_Tracker!$AL$2:$AL$101,INT((ROW()-6)/17)+1))</f>
        <v/>
      </c>
      <c r="B824" s="21" t="str">
        <f>IF($A824="","",INDEX(Project_Tracker!$AM$2:$AM$101,INT((ROW()-6)/17)+1))</f>
        <v/>
      </c>
      <c r="C824" s="20" t="str">
        <f>IF($A824="","",INDEX(Project_Tracker!$C$2:$C$101,INT((ROW()-6)/17)+1))</f>
        <v/>
      </c>
      <c r="D824" s="6" t="str">
        <f>IF($A824="","",INDEX(Project_Tracker!$T$2:$T$101,INT((ROW()-6)/17)+1))</f>
        <v/>
      </c>
      <c r="E824" s="18">
        <f t="shared" si="60"/>
        <v>3</v>
      </c>
      <c r="F824" s="23" t="str">
        <f>IF($A824="","",INDEX('Logic &amp; Lists'!$I$4:$I$20,$E824))</f>
        <v/>
      </c>
      <c r="G824" s="18" t="str">
        <f>IF($A824="","",INDEX('Logic &amp; Lists'!$J$4:$J$20,$E824))</f>
        <v/>
      </c>
      <c r="H824" s="6" t="str">
        <f t="shared" si="61"/>
        <v/>
      </c>
      <c r="I824" s="18" t="str">
        <f t="shared" ca="1" si="62"/>
        <v/>
      </c>
      <c r="J824" s="5" t="str">
        <f t="shared" si="63"/>
        <v/>
      </c>
      <c r="K824" s="25"/>
      <c r="L824" s="5" t="str">
        <f t="shared" si="64"/>
        <v/>
      </c>
      <c r="M824" s="7"/>
      <c r="N824" s="7"/>
      <c r="O824" s="7"/>
      <c r="P824" s="20" t="str">
        <f>IF($A824="","",INDEX(Project_Tracker!$I$2:$I$101,INT((ROW()-6)/17)+1))</f>
        <v/>
      </c>
      <c r="Q824" s="20" t="str">
        <f>IF($A824="","",INDEX(Project_Tracker!$K$2:$K$101,INT((ROW()-6)/17)+1))</f>
        <v/>
      </c>
    </row>
    <row r="825" spans="1:17" x14ac:dyDescent="0.2">
      <c r="A825" s="20" t="str">
        <f>IF(INDEX(Project_Tracker!$AL$2:$AL$101,INT((ROW()-6)/17)+1)="","",INDEX(Project_Tracker!$AL$2:$AL$101,INT((ROW()-6)/17)+1))</f>
        <v/>
      </c>
      <c r="B825" s="21" t="str">
        <f>IF($A825="","",INDEX(Project_Tracker!$AM$2:$AM$101,INT((ROW()-6)/17)+1))</f>
        <v/>
      </c>
      <c r="C825" s="20" t="str">
        <f>IF($A825="","",INDEX(Project_Tracker!$C$2:$C$101,INT((ROW()-6)/17)+1))</f>
        <v/>
      </c>
      <c r="D825" s="6" t="str">
        <f>IF($A825="","",INDEX(Project_Tracker!$T$2:$T$101,INT((ROW()-6)/17)+1))</f>
        <v/>
      </c>
      <c r="E825" s="18">
        <f t="shared" si="60"/>
        <v>4</v>
      </c>
      <c r="F825" s="23" t="str">
        <f>IF($A825="","",INDEX('Logic &amp; Lists'!$I$4:$I$20,$E825))</f>
        <v/>
      </c>
      <c r="G825" s="18" t="str">
        <f>IF($A825="","",INDEX('Logic &amp; Lists'!$J$4:$J$20,$E825))</f>
        <v/>
      </c>
      <c r="H825" s="6" t="str">
        <f t="shared" si="61"/>
        <v/>
      </c>
      <c r="I825" s="18" t="str">
        <f t="shared" ca="1" si="62"/>
        <v/>
      </c>
      <c r="J825" s="5" t="str">
        <f t="shared" si="63"/>
        <v/>
      </c>
      <c r="K825" s="25"/>
      <c r="L825" s="5" t="str">
        <f t="shared" si="64"/>
        <v/>
      </c>
      <c r="M825" s="7"/>
      <c r="N825" s="7"/>
      <c r="O825" s="7"/>
      <c r="P825" s="20" t="str">
        <f>IF($A825="","",INDEX(Project_Tracker!$I$2:$I$101,INT((ROW()-6)/17)+1))</f>
        <v/>
      </c>
      <c r="Q825" s="20" t="str">
        <f>IF($A825="","",INDEX(Project_Tracker!$K$2:$K$101,INT((ROW()-6)/17)+1))</f>
        <v/>
      </c>
    </row>
    <row r="826" spans="1:17" x14ac:dyDescent="0.2">
      <c r="A826" s="20" t="str">
        <f>IF(INDEX(Project_Tracker!$AL$2:$AL$101,INT((ROW()-6)/17)+1)="","",INDEX(Project_Tracker!$AL$2:$AL$101,INT((ROW()-6)/17)+1))</f>
        <v/>
      </c>
      <c r="B826" s="21" t="str">
        <f>IF($A826="","",INDEX(Project_Tracker!$AM$2:$AM$101,INT((ROW()-6)/17)+1))</f>
        <v/>
      </c>
      <c r="C826" s="20" t="str">
        <f>IF($A826="","",INDEX(Project_Tracker!$C$2:$C$101,INT((ROW()-6)/17)+1))</f>
        <v/>
      </c>
      <c r="D826" s="6" t="str">
        <f>IF($A826="","",INDEX(Project_Tracker!$T$2:$T$101,INT((ROW()-6)/17)+1))</f>
        <v/>
      </c>
      <c r="E826" s="18">
        <f t="shared" si="60"/>
        <v>5</v>
      </c>
      <c r="F826" s="23" t="str">
        <f>IF($A826="","",INDEX('Logic &amp; Lists'!$I$4:$I$20,$E826))</f>
        <v/>
      </c>
      <c r="G826" s="18" t="str">
        <f>IF($A826="","",INDEX('Logic &amp; Lists'!$J$4:$J$20,$E826))</f>
        <v/>
      </c>
      <c r="H826" s="6" t="str">
        <f t="shared" si="61"/>
        <v/>
      </c>
      <c r="I826" s="18" t="str">
        <f t="shared" ca="1" si="62"/>
        <v/>
      </c>
      <c r="J826" s="5" t="str">
        <f t="shared" si="63"/>
        <v/>
      </c>
      <c r="K826" s="25"/>
      <c r="L826" s="5" t="str">
        <f t="shared" si="64"/>
        <v/>
      </c>
      <c r="M826" s="7"/>
      <c r="N826" s="7"/>
      <c r="O826" s="7"/>
      <c r="P826" s="20" t="str">
        <f>IF($A826="","",INDEX(Project_Tracker!$I$2:$I$101,INT((ROW()-6)/17)+1))</f>
        <v/>
      </c>
      <c r="Q826" s="20" t="str">
        <f>IF($A826="","",INDEX(Project_Tracker!$K$2:$K$101,INT((ROW()-6)/17)+1))</f>
        <v/>
      </c>
    </row>
    <row r="827" spans="1:17" x14ac:dyDescent="0.2">
      <c r="A827" s="20" t="str">
        <f>IF(INDEX(Project_Tracker!$AL$2:$AL$101,INT((ROW()-6)/17)+1)="","",INDEX(Project_Tracker!$AL$2:$AL$101,INT((ROW()-6)/17)+1))</f>
        <v/>
      </c>
      <c r="B827" s="21" t="str">
        <f>IF($A827="","",INDEX(Project_Tracker!$AM$2:$AM$101,INT((ROW()-6)/17)+1))</f>
        <v/>
      </c>
      <c r="C827" s="20" t="str">
        <f>IF($A827="","",INDEX(Project_Tracker!$C$2:$C$101,INT((ROW()-6)/17)+1))</f>
        <v/>
      </c>
      <c r="D827" s="6" t="str">
        <f>IF($A827="","",INDEX(Project_Tracker!$T$2:$T$101,INT((ROW()-6)/17)+1))</f>
        <v/>
      </c>
      <c r="E827" s="18">
        <f t="shared" si="60"/>
        <v>6</v>
      </c>
      <c r="F827" s="23" t="str">
        <f>IF($A827="","",INDEX('Logic &amp; Lists'!$I$4:$I$20,$E827))</f>
        <v/>
      </c>
      <c r="G827" s="18" t="str">
        <f>IF($A827="","",INDEX('Logic &amp; Lists'!$J$4:$J$20,$E827))</f>
        <v/>
      </c>
      <c r="H827" s="6" t="str">
        <f t="shared" si="61"/>
        <v/>
      </c>
      <c r="I827" s="18" t="str">
        <f t="shared" ca="1" si="62"/>
        <v/>
      </c>
      <c r="J827" s="5" t="str">
        <f t="shared" si="63"/>
        <v/>
      </c>
      <c r="K827" s="25"/>
      <c r="L827" s="5" t="str">
        <f t="shared" si="64"/>
        <v/>
      </c>
      <c r="M827" s="7"/>
      <c r="N827" s="7"/>
      <c r="O827" s="7"/>
      <c r="P827" s="20" t="str">
        <f>IF($A827="","",INDEX(Project_Tracker!$I$2:$I$101,INT((ROW()-6)/17)+1))</f>
        <v/>
      </c>
      <c r="Q827" s="20" t="str">
        <f>IF($A827="","",INDEX(Project_Tracker!$K$2:$K$101,INT((ROW()-6)/17)+1))</f>
        <v/>
      </c>
    </row>
    <row r="828" spans="1:17" x14ac:dyDescent="0.2">
      <c r="A828" s="20" t="str">
        <f>IF(INDEX(Project_Tracker!$AL$2:$AL$101,INT((ROW()-6)/17)+1)="","",INDEX(Project_Tracker!$AL$2:$AL$101,INT((ROW()-6)/17)+1))</f>
        <v/>
      </c>
      <c r="B828" s="21" t="str">
        <f>IF($A828="","",INDEX(Project_Tracker!$AM$2:$AM$101,INT((ROW()-6)/17)+1))</f>
        <v/>
      </c>
      <c r="C828" s="20" t="str">
        <f>IF($A828="","",INDEX(Project_Tracker!$C$2:$C$101,INT((ROW()-6)/17)+1))</f>
        <v/>
      </c>
      <c r="D828" s="6" t="str">
        <f>IF($A828="","",INDEX(Project_Tracker!$T$2:$T$101,INT((ROW()-6)/17)+1))</f>
        <v/>
      </c>
      <c r="E828" s="18">
        <f t="shared" si="60"/>
        <v>7</v>
      </c>
      <c r="F828" s="23" t="str">
        <f>IF($A828="","",INDEX('Logic &amp; Lists'!$I$4:$I$20,$E828))</f>
        <v/>
      </c>
      <c r="G828" s="18" t="str">
        <f>IF($A828="","",INDEX('Logic &amp; Lists'!$J$4:$J$20,$E828))</f>
        <v/>
      </c>
      <c r="H828" s="6" t="str">
        <f t="shared" si="61"/>
        <v/>
      </c>
      <c r="I828" s="18" t="str">
        <f t="shared" ca="1" si="62"/>
        <v/>
      </c>
      <c r="J828" s="5" t="str">
        <f t="shared" si="63"/>
        <v/>
      </c>
      <c r="K828" s="25"/>
      <c r="L828" s="5" t="str">
        <f t="shared" si="64"/>
        <v/>
      </c>
      <c r="M828" s="7"/>
      <c r="N828" s="7"/>
      <c r="O828" s="7"/>
      <c r="P828" s="20" t="str">
        <f>IF($A828="","",INDEX(Project_Tracker!$I$2:$I$101,INT((ROW()-6)/17)+1))</f>
        <v/>
      </c>
      <c r="Q828" s="20" t="str">
        <f>IF($A828="","",INDEX(Project_Tracker!$K$2:$K$101,INT((ROW()-6)/17)+1))</f>
        <v/>
      </c>
    </row>
    <row r="829" spans="1:17" x14ac:dyDescent="0.2">
      <c r="A829" s="20" t="str">
        <f>IF(INDEX(Project_Tracker!$AL$2:$AL$101,INT((ROW()-6)/17)+1)="","",INDEX(Project_Tracker!$AL$2:$AL$101,INT((ROW()-6)/17)+1))</f>
        <v/>
      </c>
      <c r="B829" s="21" t="str">
        <f>IF($A829="","",INDEX(Project_Tracker!$AM$2:$AM$101,INT((ROW()-6)/17)+1))</f>
        <v/>
      </c>
      <c r="C829" s="20" t="str">
        <f>IF($A829="","",INDEX(Project_Tracker!$C$2:$C$101,INT((ROW()-6)/17)+1))</f>
        <v/>
      </c>
      <c r="D829" s="6" t="str">
        <f>IF($A829="","",INDEX(Project_Tracker!$T$2:$T$101,INT((ROW()-6)/17)+1))</f>
        <v/>
      </c>
      <c r="E829" s="18">
        <f t="shared" si="60"/>
        <v>8</v>
      </c>
      <c r="F829" s="23" t="str">
        <f>IF($A829="","",INDEX('Logic &amp; Lists'!$I$4:$I$20,$E829))</f>
        <v/>
      </c>
      <c r="G829" s="18" t="str">
        <f>IF($A829="","",INDEX('Logic &amp; Lists'!$J$4:$J$20,$E829))</f>
        <v/>
      </c>
      <c r="H829" s="6" t="str">
        <f t="shared" si="61"/>
        <v/>
      </c>
      <c r="I829" s="18" t="str">
        <f t="shared" ca="1" si="62"/>
        <v/>
      </c>
      <c r="J829" s="5" t="str">
        <f t="shared" si="63"/>
        <v/>
      </c>
      <c r="K829" s="25"/>
      <c r="L829" s="5" t="str">
        <f t="shared" si="64"/>
        <v/>
      </c>
      <c r="M829" s="7"/>
      <c r="N829" s="7"/>
      <c r="O829" s="7"/>
      <c r="P829" s="20" t="str">
        <f>IF($A829="","",INDEX(Project_Tracker!$I$2:$I$101,INT((ROW()-6)/17)+1))</f>
        <v/>
      </c>
      <c r="Q829" s="20" t="str">
        <f>IF($A829="","",INDEX(Project_Tracker!$K$2:$K$101,INT((ROW()-6)/17)+1))</f>
        <v/>
      </c>
    </row>
    <row r="830" spans="1:17" x14ac:dyDescent="0.2">
      <c r="A830" s="20" t="str">
        <f>IF(INDEX(Project_Tracker!$AL$2:$AL$101,INT((ROW()-6)/17)+1)="","",INDEX(Project_Tracker!$AL$2:$AL$101,INT((ROW()-6)/17)+1))</f>
        <v/>
      </c>
      <c r="B830" s="21" t="str">
        <f>IF($A830="","",INDEX(Project_Tracker!$AM$2:$AM$101,INT((ROW()-6)/17)+1))</f>
        <v/>
      </c>
      <c r="C830" s="20" t="str">
        <f>IF($A830="","",INDEX(Project_Tracker!$C$2:$C$101,INT((ROW()-6)/17)+1))</f>
        <v/>
      </c>
      <c r="D830" s="6" t="str">
        <f>IF($A830="","",INDEX(Project_Tracker!$T$2:$T$101,INT((ROW()-6)/17)+1))</f>
        <v/>
      </c>
      <c r="E830" s="18">
        <f t="shared" si="60"/>
        <v>9</v>
      </c>
      <c r="F830" s="23" t="str">
        <f>IF($A830="","",INDEX('Logic &amp; Lists'!$I$4:$I$20,$E830))</f>
        <v/>
      </c>
      <c r="G830" s="18" t="str">
        <f>IF($A830="","",INDEX('Logic &amp; Lists'!$J$4:$J$20,$E830))</f>
        <v/>
      </c>
      <c r="H830" s="6" t="str">
        <f t="shared" si="61"/>
        <v/>
      </c>
      <c r="I830" s="18" t="str">
        <f t="shared" ca="1" si="62"/>
        <v/>
      </c>
      <c r="J830" s="5" t="str">
        <f t="shared" si="63"/>
        <v/>
      </c>
      <c r="K830" s="25"/>
      <c r="L830" s="5" t="str">
        <f t="shared" si="64"/>
        <v/>
      </c>
      <c r="M830" s="7"/>
      <c r="N830" s="7"/>
      <c r="O830" s="7"/>
      <c r="P830" s="20" t="str">
        <f>IF($A830="","",INDEX(Project_Tracker!$I$2:$I$101,INT((ROW()-6)/17)+1))</f>
        <v/>
      </c>
      <c r="Q830" s="20" t="str">
        <f>IF($A830="","",INDEX(Project_Tracker!$K$2:$K$101,INT((ROW()-6)/17)+1))</f>
        <v/>
      </c>
    </row>
    <row r="831" spans="1:17" x14ac:dyDescent="0.2">
      <c r="A831" s="20" t="str">
        <f>IF(INDEX(Project_Tracker!$AL$2:$AL$101,INT((ROW()-6)/17)+1)="","",INDEX(Project_Tracker!$AL$2:$AL$101,INT((ROW()-6)/17)+1))</f>
        <v/>
      </c>
      <c r="B831" s="21" t="str">
        <f>IF($A831="","",INDEX(Project_Tracker!$AM$2:$AM$101,INT((ROW()-6)/17)+1))</f>
        <v/>
      </c>
      <c r="C831" s="20" t="str">
        <f>IF($A831="","",INDEX(Project_Tracker!$C$2:$C$101,INT((ROW()-6)/17)+1))</f>
        <v/>
      </c>
      <c r="D831" s="6" t="str">
        <f>IF($A831="","",INDEX(Project_Tracker!$T$2:$T$101,INT((ROW()-6)/17)+1))</f>
        <v/>
      </c>
      <c r="E831" s="18">
        <f t="shared" si="60"/>
        <v>10</v>
      </c>
      <c r="F831" s="23" t="str">
        <f>IF($A831="","",INDEX('Logic &amp; Lists'!$I$4:$I$20,$E831))</f>
        <v/>
      </c>
      <c r="G831" s="18" t="str">
        <f>IF($A831="","",INDEX('Logic &amp; Lists'!$J$4:$J$20,$E831))</f>
        <v/>
      </c>
      <c r="H831" s="6" t="str">
        <f t="shared" si="61"/>
        <v/>
      </c>
      <c r="I831" s="18" t="str">
        <f t="shared" ca="1" si="62"/>
        <v/>
      </c>
      <c r="J831" s="5" t="str">
        <f t="shared" si="63"/>
        <v/>
      </c>
      <c r="K831" s="25"/>
      <c r="L831" s="5" t="str">
        <f t="shared" si="64"/>
        <v/>
      </c>
      <c r="M831" s="7"/>
      <c r="N831" s="7"/>
      <c r="O831" s="7"/>
      <c r="P831" s="20" t="str">
        <f>IF($A831="","",INDEX(Project_Tracker!$I$2:$I$101,INT((ROW()-6)/17)+1))</f>
        <v/>
      </c>
      <c r="Q831" s="20" t="str">
        <f>IF($A831="","",INDEX(Project_Tracker!$K$2:$K$101,INT((ROW()-6)/17)+1))</f>
        <v/>
      </c>
    </row>
    <row r="832" spans="1:17" x14ac:dyDescent="0.2">
      <c r="A832" s="20" t="str">
        <f>IF(INDEX(Project_Tracker!$AL$2:$AL$101,INT((ROW()-6)/17)+1)="","",INDEX(Project_Tracker!$AL$2:$AL$101,INT((ROW()-6)/17)+1))</f>
        <v/>
      </c>
      <c r="B832" s="21" t="str">
        <f>IF($A832="","",INDEX(Project_Tracker!$AM$2:$AM$101,INT((ROW()-6)/17)+1))</f>
        <v/>
      </c>
      <c r="C832" s="20" t="str">
        <f>IF($A832="","",INDEX(Project_Tracker!$C$2:$C$101,INT((ROW()-6)/17)+1))</f>
        <v/>
      </c>
      <c r="D832" s="6" t="str">
        <f>IF($A832="","",INDEX(Project_Tracker!$T$2:$T$101,INT((ROW()-6)/17)+1))</f>
        <v/>
      </c>
      <c r="E832" s="18">
        <f t="shared" si="60"/>
        <v>11</v>
      </c>
      <c r="F832" s="23" t="str">
        <f>IF($A832="","",INDEX('Logic &amp; Lists'!$I$4:$I$20,$E832))</f>
        <v/>
      </c>
      <c r="G832" s="18" t="str">
        <f>IF($A832="","",INDEX('Logic &amp; Lists'!$J$4:$J$20,$E832))</f>
        <v/>
      </c>
      <c r="H832" s="6" t="str">
        <f t="shared" si="61"/>
        <v/>
      </c>
      <c r="I832" s="18" t="str">
        <f t="shared" ca="1" si="62"/>
        <v/>
      </c>
      <c r="J832" s="5" t="str">
        <f t="shared" si="63"/>
        <v/>
      </c>
      <c r="K832" s="25"/>
      <c r="L832" s="5" t="str">
        <f t="shared" si="64"/>
        <v/>
      </c>
      <c r="M832" s="7"/>
      <c r="N832" s="7"/>
      <c r="O832" s="7"/>
      <c r="P832" s="20" t="str">
        <f>IF($A832="","",INDEX(Project_Tracker!$I$2:$I$101,INT((ROW()-6)/17)+1))</f>
        <v/>
      </c>
      <c r="Q832" s="20" t="str">
        <f>IF($A832="","",INDEX(Project_Tracker!$K$2:$K$101,INT((ROW()-6)/17)+1))</f>
        <v/>
      </c>
    </row>
    <row r="833" spans="1:17" x14ac:dyDescent="0.2">
      <c r="A833" s="20" t="str">
        <f>IF(INDEX(Project_Tracker!$AL$2:$AL$101,INT((ROW()-6)/17)+1)="","",INDEX(Project_Tracker!$AL$2:$AL$101,INT((ROW()-6)/17)+1))</f>
        <v/>
      </c>
      <c r="B833" s="21" t="str">
        <f>IF($A833="","",INDEX(Project_Tracker!$AM$2:$AM$101,INT((ROW()-6)/17)+1))</f>
        <v/>
      </c>
      <c r="C833" s="20" t="str">
        <f>IF($A833="","",INDEX(Project_Tracker!$C$2:$C$101,INT((ROW()-6)/17)+1))</f>
        <v/>
      </c>
      <c r="D833" s="6" t="str">
        <f>IF($A833="","",INDEX(Project_Tracker!$T$2:$T$101,INT((ROW()-6)/17)+1))</f>
        <v/>
      </c>
      <c r="E833" s="18">
        <f t="shared" si="60"/>
        <v>12</v>
      </c>
      <c r="F833" s="23" t="str">
        <f>IF($A833="","",INDEX('Logic &amp; Lists'!$I$4:$I$20,$E833))</f>
        <v/>
      </c>
      <c r="G833" s="18" t="str">
        <f>IF($A833="","",INDEX('Logic &amp; Lists'!$J$4:$J$20,$E833))</f>
        <v/>
      </c>
      <c r="H833" s="6" t="str">
        <f t="shared" si="61"/>
        <v/>
      </c>
      <c r="I833" s="18" t="str">
        <f t="shared" ca="1" si="62"/>
        <v/>
      </c>
      <c r="J833" s="5" t="str">
        <f t="shared" si="63"/>
        <v/>
      </c>
      <c r="K833" s="25"/>
      <c r="L833" s="5" t="str">
        <f t="shared" si="64"/>
        <v/>
      </c>
      <c r="M833" s="7"/>
      <c r="N833" s="7"/>
      <c r="O833" s="7"/>
      <c r="P833" s="20" t="str">
        <f>IF($A833="","",INDEX(Project_Tracker!$I$2:$I$101,INT((ROW()-6)/17)+1))</f>
        <v/>
      </c>
      <c r="Q833" s="20" t="str">
        <f>IF($A833="","",INDEX(Project_Tracker!$K$2:$K$101,INT((ROW()-6)/17)+1))</f>
        <v/>
      </c>
    </row>
    <row r="834" spans="1:17" x14ac:dyDescent="0.2">
      <c r="A834" s="20" t="str">
        <f>IF(INDEX(Project_Tracker!$AL$2:$AL$101,INT((ROW()-6)/17)+1)="","",INDEX(Project_Tracker!$AL$2:$AL$101,INT((ROW()-6)/17)+1))</f>
        <v/>
      </c>
      <c r="B834" s="21" t="str">
        <f>IF($A834="","",INDEX(Project_Tracker!$AM$2:$AM$101,INT((ROW()-6)/17)+1))</f>
        <v/>
      </c>
      <c r="C834" s="20" t="str">
        <f>IF($A834="","",INDEX(Project_Tracker!$C$2:$C$101,INT((ROW()-6)/17)+1))</f>
        <v/>
      </c>
      <c r="D834" s="6" t="str">
        <f>IF($A834="","",INDEX(Project_Tracker!$T$2:$T$101,INT((ROW()-6)/17)+1))</f>
        <v/>
      </c>
      <c r="E834" s="18">
        <f t="shared" si="60"/>
        <v>13</v>
      </c>
      <c r="F834" s="23" t="str">
        <f>IF($A834="","",INDEX('Logic &amp; Lists'!$I$4:$I$20,$E834))</f>
        <v/>
      </c>
      <c r="G834" s="18" t="str">
        <f>IF($A834="","",INDEX('Logic &amp; Lists'!$J$4:$J$20,$E834))</f>
        <v/>
      </c>
      <c r="H834" s="6" t="str">
        <f t="shared" si="61"/>
        <v/>
      </c>
      <c r="I834" s="18" t="str">
        <f t="shared" ca="1" si="62"/>
        <v/>
      </c>
      <c r="J834" s="5" t="str">
        <f t="shared" si="63"/>
        <v/>
      </c>
      <c r="K834" s="25"/>
      <c r="L834" s="5" t="str">
        <f t="shared" si="64"/>
        <v/>
      </c>
      <c r="M834" s="7"/>
      <c r="N834" s="7"/>
      <c r="O834" s="7"/>
      <c r="P834" s="20" t="str">
        <f>IF($A834="","",INDEX(Project_Tracker!$I$2:$I$101,INT((ROW()-6)/17)+1))</f>
        <v/>
      </c>
      <c r="Q834" s="20" t="str">
        <f>IF($A834="","",INDEX(Project_Tracker!$K$2:$K$101,INT((ROW()-6)/17)+1))</f>
        <v/>
      </c>
    </row>
    <row r="835" spans="1:17" x14ac:dyDescent="0.2">
      <c r="A835" s="20" t="str">
        <f>IF(INDEX(Project_Tracker!$AL$2:$AL$101,INT((ROW()-6)/17)+1)="","",INDEX(Project_Tracker!$AL$2:$AL$101,INT((ROW()-6)/17)+1))</f>
        <v/>
      </c>
      <c r="B835" s="21" t="str">
        <f>IF($A835="","",INDEX(Project_Tracker!$AM$2:$AM$101,INT((ROW()-6)/17)+1))</f>
        <v/>
      </c>
      <c r="C835" s="20" t="str">
        <f>IF($A835="","",INDEX(Project_Tracker!$C$2:$C$101,INT((ROW()-6)/17)+1))</f>
        <v/>
      </c>
      <c r="D835" s="6" t="str">
        <f>IF($A835="","",INDEX(Project_Tracker!$T$2:$T$101,INT((ROW()-6)/17)+1))</f>
        <v/>
      </c>
      <c r="E835" s="18">
        <f t="shared" si="60"/>
        <v>14</v>
      </c>
      <c r="F835" s="23" t="str">
        <f>IF($A835="","",INDEX('Logic &amp; Lists'!$I$4:$I$20,$E835))</f>
        <v/>
      </c>
      <c r="G835" s="18" t="str">
        <f>IF($A835="","",INDEX('Logic &amp; Lists'!$J$4:$J$20,$E835))</f>
        <v/>
      </c>
      <c r="H835" s="6" t="str">
        <f t="shared" si="61"/>
        <v/>
      </c>
      <c r="I835" s="18" t="str">
        <f t="shared" ca="1" si="62"/>
        <v/>
      </c>
      <c r="J835" s="5" t="str">
        <f t="shared" si="63"/>
        <v/>
      </c>
      <c r="K835" s="25"/>
      <c r="L835" s="5" t="str">
        <f t="shared" si="64"/>
        <v/>
      </c>
      <c r="M835" s="7"/>
      <c r="N835" s="7"/>
      <c r="O835" s="7"/>
      <c r="P835" s="20" t="str">
        <f>IF($A835="","",INDEX(Project_Tracker!$I$2:$I$101,INT((ROW()-6)/17)+1))</f>
        <v/>
      </c>
      <c r="Q835" s="20" t="str">
        <f>IF($A835="","",INDEX(Project_Tracker!$K$2:$K$101,INT((ROW()-6)/17)+1))</f>
        <v/>
      </c>
    </row>
    <row r="836" spans="1:17" x14ac:dyDescent="0.2">
      <c r="A836" s="20" t="str">
        <f>IF(INDEX(Project_Tracker!$AL$2:$AL$101,INT((ROW()-6)/17)+1)="","",INDEX(Project_Tracker!$AL$2:$AL$101,INT((ROW()-6)/17)+1))</f>
        <v/>
      </c>
      <c r="B836" s="21" t="str">
        <f>IF($A836="","",INDEX(Project_Tracker!$AM$2:$AM$101,INT((ROW()-6)/17)+1))</f>
        <v/>
      </c>
      <c r="C836" s="20" t="str">
        <f>IF($A836="","",INDEX(Project_Tracker!$C$2:$C$101,INT((ROW()-6)/17)+1))</f>
        <v/>
      </c>
      <c r="D836" s="6" t="str">
        <f>IF($A836="","",INDEX(Project_Tracker!$T$2:$T$101,INT((ROW()-6)/17)+1))</f>
        <v/>
      </c>
      <c r="E836" s="18">
        <f t="shared" si="60"/>
        <v>15</v>
      </c>
      <c r="F836" s="23" t="str">
        <f>IF($A836="","",INDEX('Logic &amp; Lists'!$I$4:$I$20,$E836))</f>
        <v/>
      </c>
      <c r="G836" s="18" t="str">
        <f>IF($A836="","",INDEX('Logic &amp; Lists'!$J$4:$J$20,$E836))</f>
        <v/>
      </c>
      <c r="H836" s="6" t="str">
        <f t="shared" si="61"/>
        <v/>
      </c>
      <c r="I836" s="18" t="str">
        <f t="shared" ca="1" si="62"/>
        <v/>
      </c>
      <c r="J836" s="5" t="str">
        <f t="shared" si="63"/>
        <v/>
      </c>
      <c r="K836" s="25"/>
      <c r="L836" s="5" t="str">
        <f t="shared" si="64"/>
        <v/>
      </c>
      <c r="M836" s="7"/>
      <c r="N836" s="7"/>
      <c r="O836" s="7"/>
      <c r="P836" s="20" t="str">
        <f>IF($A836="","",INDEX(Project_Tracker!$I$2:$I$101,INT((ROW()-6)/17)+1))</f>
        <v/>
      </c>
      <c r="Q836" s="20" t="str">
        <f>IF($A836="","",INDEX(Project_Tracker!$K$2:$K$101,INT((ROW()-6)/17)+1))</f>
        <v/>
      </c>
    </row>
    <row r="837" spans="1:17" x14ac:dyDescent="0.2">
      <c r="A837" s="20" t="str">
        <f>IF(INDEX(Project_Tracker!$AL$2:$AL$101,INT((ROW()-6)/17)+1)="","",INDEX(Project_Tracker!$AL$2:$AL$101,INT((ROW()-6)/17)+1))</f>
        <v/>
      </c>
      <c r="B837" s="21" t="str">
        <f>IF($A837="","",INDEX(Project_Tracker!$AM$2:$AM$101,INT((ROW()-6)/17)+1))</f>
        <v/>
      </c>
      <c r="C837" s="20" t="str">
        <f>IF($A837="","",INDEX(Project_Tracker!$C$2:$C$101,INT((ROW()-6)/17)+1))</f>
        <v/>
      </c>
      <c r="D837" s="6" t="str">
        <f>IF($A837="","",INDEX(Project_Tracker!$T$2:$T$101,INT((ROW()-6)/17)+1))</f>
        <v/>
      </c>
      <c r="E837" s="18">
        <f t="shared" si="60"/>
        <v>16</v>
      </c>
      <c r="F837" s="23" t="str">
        <f>IF($A837="","",INDEX('Logic &amp; Lists'!$I$4:$I$20,$E837))</f>
        <v/>
      </c>
      <c r="G837" s="18" t="str">
        <f>IF($A837="","",INDEX('Logic &amp; Lists'!$J$4:$J$20,$E837))</f>
        <v/>
      </c>
      <c r="H837" s="6" t="str">
        <f t="shared" si="61"/>
        <v/>
      </c>
      <c r="I837" s="18" t="str">
        <f t="shared" ca="1" si="62"/>
        <v/>
      </c>
      <c r="J837" s="5" t="str">
        <f t="shared" si="63"/>
        <v/>
      </c>
      <c r="K837" s="25"/>
      <c r="L837" s="5" t="str">
        <f t="shared" si="64"/>
        <v/>
      </c>
      <c r="M837" s="7"/>
      <c r="N837" s="7"/>
      <c r="O837" s="7"/>
      <c r="P837" s="20" t="str">
        <f>IF($A837="","",INDEX(Project_Tracker!$I$2:$I$101,INT((ROW()-6)/17)+1))</f>
        <v/>
      </c>
      <c r="Q837" s="20" t="str">
        <f>IF($A837="","",INDEX(Project_Tracker!$K$2:$K$101,INT((ROW()-6)/17)+1))</f>
        <v/>
      </c>
    </row>
    <row r="838" spans="1:17" x14ac:dyDescent="0.2">
      <c r="A838" s="20" t="str">
        <f>IF(INDEX(Project_Tracker!$AL$2:$AL$101,INT((ROW()-6)/17)+1)="","",INDEX(Project_Tracker!$AL$2:$AL$101,INT((ROW()-6)/17)+1))</f>
        <v/>
      </c>
      <c r="B838" s="21" t="str">
        <f>IF($A838="","",INDEX(Project_Tracker!$AM$2:$AM$101,INT((ROW()-6)/17)+1))</f>
        <v/>
      </c>
      <c r="C838" s="20" t="str">
        <f>IF($A838="","",INDEX(Project_Tracker!$C$2:$C$101,INT((ROW()-6)/17)+1))</f>
        <v/>
      </c>
      <c r="D838" s="6" t="str">
        <f>IF($A838="","",INDEX(Project_Tracker!$T$2:$T$101,INT((ROW()-6)/17)+1))</f>
        <v/>
      </c>
      <c r="E838" s="18">
        <f t="shared" ref="E838:E901" si="65">MOD(ROW()-6,17)+1</f>
        <v>17</v>
      </c>
      <c r="F838" s="23" t="str">
        <f>IF($A838="","",INDEX('Logic &amp; Lists'!$I$4:$I$20,$E838))</f>
        <v/>
      </c>
      <c r="G838" s="18" t="str">
        <f>IF($A838="","",INDEX('Logic &amp; Lists'!$J$4:$J$20,$E838))</f>
        <v/>
      </c>
      <c r="H838" s="6" t="str">
        <f t="shared" ref="H838:H901" si="66">IF($D838="","",$D838-$G838)</f>
        <v/>
      </c>
      <c r="I838" s="18" t="str">
        <f t="shared" ref="I838:I901" ca="1" si="67">IF($H838="","",$H838-TODAY())</f>
        <v/>
      </c>
      <c r="J838" s="5" t="str">
        <f t="shared" ref="J838:J901" si="68">IF($A838="","",IF($K838&lt;&gt;"","ORDERED",IF($I838&lt;0,"OVERDUE",IF($I838&lt;=7,"URGENT",IF($I838&lt;=14,"PREPARE","OK")))))</f>
        <v/>
      </c>
      <c r="K838" s="25"/>
      <c r="L838" s="5" t="str">
        <f t="shared" ref="L838:L901" si="69">IF($A838="","",IF($K838="",$J838,IF($K838&lt;=$H838,"Ordered On Time","Ordered Late")))</f>
        <v/>
      </c>
      <c r="M838" s="7"/>
      <c r="N838" s="7"/>
      <c r="O838" s="7"/>
      <c r="P838" s="20" t="str">
        <f>IF($A838="","",INDEX(Project_Tracker!$I$2:$I$101,INT((ROW()-6)/17)+1))</f>
        <v/>
      </c>
      <c r="Q838" s="20" t="str">
        <f>IF($A838="","",INDEX(Project_Tracker!$K$2:$K$101,INT((ROW()-6)/17)+1))</f>
        <v/>
      </c>
    </row>
    <row r="839" spans="1:17" x14ac:dyDescent="0.2">
      <c r="A839" s="20" t="str">
        <f>IF(INDEX(Project_Tracker!$AL$2:$AL$101,INT((ROW()-6)/17)+1)="","",INDEX(Project_Tracker!$AL$2:$AL$101,INT((ROW()-6)/17)+1))</f>
        <v/>
      </c>
      <c r="B839" s="21" t="str">
        <f>IF($A839="","",INDEX(Project_Tracker!$AM$2:$AM$101,INT((ROW()-6)/17)+1))</f>
        <v/>
      </c>
      <c r="C839" s="20" t="str">
        <f>IF($A839="","",INDEX(Project_Tracker!$C$2:$C$101,INT((ROW()-6)/17)+1))</f>
        <v/>
      </c>
      <c r="D839" s="6" t="str">
        <f>IF($A839="","",INDEX(Project_Tracker!$T$2:$T$101,INT((ROW()-6)/17)+1))</f>
        <v/>
      </c>
      <c r="E839" s="18">
        <f t="shared" si="65"/>
        <v>1</v>
      </c>
      <c r="F839" s="23" t="str">
        <f>IF($A839="","",INDEX('Logic &amp; Lists'!$I$4:$I$20,$E839))</f>
        <v/>
      </c>
      <c r="G839" s="18" t="str">
        <f>IF($A839="","",INDEX('Logic &amp; Lists'!$J$4:$J$20,$E839))</f>
        <v/>
      </c>
      <c r="H839" s="6" t="str">
        <f t="shared" si="66"/>
        <v/>
      </c>
      <c r="I839" s="18" t="str">
        <f t="shared" ca="1" si="67"/>
        <v/>
      </c>
      <c r="J839" s="5" t="str">
        <f t="shared" si="68"/>
        <v/>
      </c>
      <c r="K839" s="25"/>
      <c r="L839" s="5" t="str">
        <f t="shared" si="69"/>
        <v/>
      </c>
      <c r="M839" s="7"/>
      <c r="N839" s="7"/>
      <c r="O839" s="7"/>
      <c r="P839" s="20" t="str">
        <f>IF($A839="","",INDEX(Project_Tracker!$I$2:$I$101,INT((ROW()-6)/17)+1))</f>
        <v/>
      </c>
      <c r="Q839" s="20" t="str">
        <f>IF($A839="","",INDEX(Project_Tracker!$K$2:$K$101,INT((ROW()-6)/17)+1))</f>
        <v/>
      </c>
    </row>
    <row r="840" spans="1:17" x14ac:dyDescent="0.2">
      <c r="A840" s="20" t="str">
        <f>IF(INDEX(Project_Tracker!$AL$2:$AL$101,INT((ROW()-6)/17)+1)="","",INDEX(Project_Tracker!$AL$2:$AL$101,INT((ROW()-6)/17)+1))</f>
        <v/>
      </c>
      <c r="B840" s="21" t="str">
        <f>IF($A840="","",INDEX(Project_Tracker!$AM$2:$AM$101,INT((ROW()-6)/17)+1))</f>
        <v/>
      </c>
      <c r="C840" s="20" t="str">
        <f>IF($A840="","",INDEX(Project_Tracker!$C$2:$C$101,INT((ROW()-6)/17)+1))</f>
        <v/>
      </c>
      <c r="D840" s="6" t="str">
        <f>IF($A840="","",INDEX(Project_Tracker!$T$2:$T$101,INT((ROW()-6)/17)+1))</f>
        <v/>
      </c>
      <c r="E840" s="18">
        <f t="shared" si="65"/>
        <v>2</v>
      </c>
      <c r="F840" s="23" t="str">
        <f>IF($A840="","",INDEX('Logic &amp; Lists'!$I$4:$I$20,$E840))</f>
        <v/>
      </c>
      <c r="G840" s="18" t="str">
        <f>IF($A840="","",INDEX('Logic &amp; Lists'!$J$4:$J$20,$E840))</f>
        <v/>
      </c>
      <c r="H840" s="6" t="str">
        <f t="shared" si="66"/>
        <v/>
      </c>
      <c r="I840" s="18" t="str">
        <f t="shared" ca="1" si="67"/>
        <v/>
      </c>
      <c r="J840" s="5" t="str">
        <f t="shared" si="68"/>
        <v/>
      </c>
      <c r="K840" s="25"/>
      <c r="L840" s="5" t="str">
        <f t="shared" si="69"/>
        <v/>
      </c>
      <c r="M840" s="7"/>
      <c r="N840" s="7"/>
      <c r="O840" s="7"/>
      <c r="P840" s="20" t="str">
        <f>IF($A840="","",INDEX(Project_Tracker!$I$2:$I$101,INT((ROW()-6)/17)+1))</f>
        <v/>
      </c>
      <c r="Q840" s="20" t="str">
        <f>IF($A840="","",INDEX(Project_Tracker!$K$2:$K$101,INT((ROW()-6)/17)+1))</f>
        <v/>
      </c>
    </row>
    <row r="841" spans="1:17" x14ac:dyDescent="0.2">
      <c r="A841" s="20" t="str">
        <f>IF(INDEX(Project_Tracker!$AL$2:$AL$101,INT((ROW()-6)/17)+1)="","",INDEX(Project_Tracker!$AL$2:$AL$101,INT((ROW()-6)/17)+1))</f>
        <v/>
      </c>
      <c r="B841" s="21" t="str">
        <f>IF($A841="","",INDEX(Project_Tracker!$AM$2:$AM$101,INT((ROW()-6)/17)+1))</f>
        <v/>
      </c>
      <c r="C841" s="20" t="str">
        <f>IF($A841="","",INDEX(Project_Tracker!$C$2:$C$101,INT((ROW()-6)/17)+1))</f>
        <v/>
      </c>
      <c r="D841" s="6" t="str">
        <f>IF($A841="","",INDEX(Project_Tracker!$T$2:$T$101,INT((ROW()-6)/17)+1))</f>
        <v/>
      </c>
      <c r="E841" s="18">
        <f t="shared" si="65"/>
        <v>3</v>
      </c>
      <c r="F841" s="23" t="str">
        <f>IF($A841="","",INDEX('Logic &amp; Lists'!$I$4:$I$20,$E841))</f>
        <v/>
      </c>
      <c r="G841" s="18" t="str">
        <f>IF($A841="","",INDEX('Logic &amp; Lists'!$J$4:$J$20,$E841))</f>
        <v/>
      </c>
      <c r="H841" s="6" t="str">
        <f t="shared" si="66"/>
        <v/>
      </c>
      <c r="I841" s="18" t="str">
        <f t="shared" ca="1" si="67"/>
        <v/>
      </c>
      <c r="J841" s="5" t="str">
        <f t="shared" si="68"/>
        <v/>
      </c>
      <c r="K841" s="25"/>
      <c r="L841" s="5" t="str">
        <f t="shared" si="69"/>
        <v/>
      </c>
      <c r="M841" s="7"/>
      <c r="N841" s="7"/>
      <c r="O841" s="7"/>
      <c r="P841" s="20" t="str">
        <f>IF($A841="","",INDEX(Project_Tracker!$I$2:$I$101,INT((ROW()-6)/17)+1))</f>
        <v/>
      </c>
      <c r="Q841" s="20" t="str">
        <f>IF($A841="","",INDEX(Project_Tracker!$K$2:$K$101,INT((ROW()-6)/17)+1))</f>
        <v/>
      </c>
    </row>
    <row r="842" spans="1:17" x14ac:dyDescent="0.2">
      <c r="A842" s="20" t="str">
        <f>IF(INDEX(Project_Tracker!$AL$2:$AL$101,INT((ROW()-6)/17)+1)="","",INDEX(Project_Tracker!$AL$2:$AL$101,INT((ROW()-6)/17)+1))</f>
        <v/>
      </c>
      <c r="B842" s="21" t="str">
        <f>IF($A842="","",INDEX(Project_Tracker!$AM$2:$AM$101,INT((ROW()-6)/17)+1))</f>
        <v/>
      </c>
      <c r="C842" s="20" t="str">
        <f>IF($A842="","",INDEX(Project_Tracker!$C$2:$C$101,INT((ROW()-6)/17)+1))</f>
        <v/>
      </c>
      <c r="D842" s="6" t="str">
        <f>IF($A842="","",INDEX(Project_Tracker!$T$2:$T$101,INT((ROW()-6)/17)+1))</f>
        <v/>
      </c>
      <c r="E842" s="18">
        <f t="shared" si="65"/>
        <v>4</v>
      </c>
      <c r="F842" s="23" t="str">
        <f>IF($A842="","",INDEX('Logic &amp; Lists'!$I$4:$I$20,$E842))</f>
        <v/>
      </c>
      <c r="G842" s="18" t="str">
        <f>IF($A842="","",INDEX('Logic &amp; Lists'!$J$4:$J$20,$E842))</f>
        <v/>
      </c>
      <c r="H842" s="6" t="str">
        <f t="shared" si="66"/>
        <v/>
      </c>
      <c r="I842" s="18" t="str">
        <f t="shared" ca="1" si="67"/>
        <v/>
      </c>
      <c r="J842" s="5" t="str">
        <f t="shared" si="68"/>
        <v/>
      </c>
      <c r="K842" s="25"/>
      <c r="L842" s="5" t="str">
        <f t="shared" si="69"/>
        <v/>
      </c>
      <c r="M842" s="7"/>
      <c r="N842" s="7"/>
      <c r="O842" s="7"/>
      <c r="P842" s="20" t="str">
        <f>IF($A842="","",INDEX(Project_Tracker!$I$2:$I$101,INT((ROW()-6)/17)+1))</f>
        <v/>
      </c>
      <c r="Q842" s="20" t="str">
        <f>IF($A842="","",INDEX(Project_Tracker!$K$2:$K$101,INT((ROW()-6)/17)+1))</f>
        <v/>
      </c>
    </row>
    <row r="843" spans="1:17" x14ac:dyDescent="0.2">
      <c r="A843" s="20" t="str">
        <f>IF(INDEX(Project_Tracker!$AL$2:$AL$101,INT((ROW()-6)/17)+1)="","",INDEX(Project_Tracker!$AL$2:$AL$101,INT((ROW()-6)/17)+1))</f>
        <v/>
      </c>
      <c r="B843" s="21" t="str">
        <f>IF($A843="","",INDEX(Project_Tracker!$AM$2:$AM$101,INT((ROW()-6)/17)+1))</f>
        <v/>
      </c>
      <c r="C843" s="20" t="str">
        <f>IF($A843="","",INDEX(Project_Tracker!$C$2:$C$101,INT((ROW()-6)/17)+1))</f>
        <v/>
      </c>
      <c r="D843" s="6" t="str">
        <f>IF($A843="","",INDEX(Project_Tracker!$T$2:$T$101,INT((ROW()-6)/17)+1))</f>
        <v/>
      </c>
      <c r="E843" s="18">
        <f t="shared" si="65"/>
        <v>5</v>
      </c>
      <c r="F843" s="23" t="str">
        <f>IF($A843="","",INDEX('Logic &amp; Lists'!$I$4:$I$20,$E843))</f>
        <v/>
      </c>
      <c r="G843" s="18" t="str">
        <f>IF($A843="","",INDEX('Logic &amp; Lists'!$J$4:$J$20,$E843))</f>
        <v/>
      </c>
      <c r="H843" s="6" t="str">
        <f t="shared" si="66"/>
        <v/>
      </c>
      <c r="I843" s="18" t="str">
        <f t="shared" ca="1" si="67"/>
        <v/>
      </c>
      <c r="J843" s="5" t="str">
        <f t="shared" si="68"/>
        <v/>
      </c>
      <c r="K843" s="25"/>
      <c r="L843" s="5" t="str">
        <f t="shared" si="69"/>
        <v/>
      </c>
      <c r="M843" s="7"/>
      <c r="N843" s="7"/>
      <c r="O843" s="7"/>
      <c r="P843" s="20" t="str">
        <f>IF($A843="","",INDEX(Project_Tracker!$I$2:$I$101,INT((ROW()-6)/17)+1))</f>
        <v/>
      </c>
      <c r="Q843" s="20" t="str">
        <f>IF($A843="","",INDEX(Project_Tracker!$K$2:$K$101,INT((ROW()-6)/17)+1))</f>
        <v/>
      </c>
    </row>
    <row r="844" spans="1:17" x14ac:dyDescent="0.2">
      <c r="A844" s="20" t="str">
        <f>IF(INDEX(Project_Tracker!$AL$2:$AL$101,INT((ROW()-6)/17)+1)="","",INDEX(Project_Tracker!$AL$2:$AL$101,INT((ROW()-6)/17)+1))</f>
        <v/>
      </c>
      <c r="B844" s="21" t="str">
        <f>IF($A844="","",INDEX(Project_Tracker!$AM$2:$AM$101,INT((ROW()-6)/17)+1))</f>
        <v/>
      </c>
      <c r="C844" s="20" t="str">
        <f>IF($A844="","",INDEX(Project_Tracker!$C$2:$C$101,INT((ROW()-6)/17)+1))</f>
        <v/>
      </c>
      <c r="D844" s="6" t="str">
        <f>IF($A844="","",INDEX(Project_Tracker!$T$2:$T$101,INT((ROW()-6)/17)+1))</f>
        <v/>
      </c>
      <c r="E844" s="18">
        <f t="shared" si="65"/>
        <v>6</v>
      </c>
      <c r="F844" s="23" t="str">
        <f>IF($A844="","",INDEX('Logic &amp; Lists'!$I$4:$I$20,$E844))</f>
        <v/>
      </c>
      <c r="G844" s="18" t="str">
        <f>IF($A844="","",INDEX('Logic &amp; Lists'!$J$4:$J$20,$E844))</f>
        <v/>
      </c>
      <c r="H844" s="6" t="str">
        <f t="shared" si="66"/>
        <v/>
      </c>
      <c r="I844" s="18" t="str">
        <f t="shared" ca="1" si="67"/>
        <v/>
      </c>
      <c r="J844" s="5" t="str">
        <f t="shared" si="68"/>
        <v/>
      </c>
      <c r="K844" s="25"/>
      <c r="L844" s="5" t="str">
        <f t="shared" si="69"/>
        <v/>
      </c>
      <c r="M844" s="7"/>
      <c r="N844" s="7"/>
      <c r="O844" s="7"/>
      <c r="P844" s="20" t="str">
        <f>IF($A844="","",INDEX(Project_Tracker!$I$2:$I$101,INT((ROW()-6)/17)+1))</f>
        <v/>
      </c>
      <c r="Q844" s="20" t="str">
        <f>IF($A844="","",INDEX(Project_Tracker!$K$2:$K$101,INT((ROW()-6)/17)+1))</f>
        <v/>
      </c>
    </row>
    <row r="845" spans="1:17" x14ac:dyDescent="0.2">
      <c r="A845" s="20" t="str">
        <f>IF(INDEX(Project_Tracker!$AL$2:$AL$101,INT((ROW()-6)/17)+1)="","",INDEX(Project_Tracker!$AL$2:$AL$101,INT((ROW()-6)/17)+1))</f>
        <v/>
      </c>
      <c r="B845" s="21" t="str">
        <f>IF($A845="","",INDEX(Project_Tracker!$AM$2:$AM$101,INT((ROW()-6)/17)+1))</f>
        <v/>
      </c>
      <c r="C845" s="20" t="str">
        <f>IF($A845="","",INDEX(Project_Tracker!$C$2:$C$101,INT((ROW()-6)/17)+1))</f>
        <v/>
      </c>
      <c r="D845" s="6" t="str">
        <f>IF($A845="","",INDEX(Project_Tracker!$T$2:$T$101,INT((ROW()-6)/17)+1))</f>
        <v/>
      </c>
      <c r="E845" s="18">
        <f t="shared" si="65"/>
        <v>7</v>
      </c>
      <c r="F845" s="23" t="str">
        <f>IF($A845="","",INDEX('Logic &amp; Lists'!$I$4:$I$20,$E845))</f>
        <v/>
      </c>
      <c r="G845" s="18" t="str">
        <f>IF($A845="","",INDEX('Logic &amp; Lists'!$J$4:$J$20,$E845))</f>
        <v/>
      </c>
      <c r="H845" s="6" t="str">
        <f t="shared" si="66"/>
        <v/>
      </c>
      <c r="I845" s="18" t="str">
        <f t="shared" ca="1" si="67"/>
        <v/>
      </c>
      <c r="J845" s="5" t="str">
        <f t="shared" si="68"/>
        <v/>
      </c>
      <c r="K845" s="25"/>
      <c r="L845" s="5" t="str">
        <f t="shared" si="69"/>
        <v/>
      </c>
      <c r="M845" s="7"/>
      <c r="N845" s="7"/>
      <c r="O845" s="7"/>
      <c r="P845" s="20" t="str">
        <f>IF($A845="","",INDEX(Project_Tracker!$I$2:$I$101,INT((ROW()-6)/17)+1))</f>
        <v/>
      </c>
      <c r="Q845" s="20" t="str">
        <f>IF($A845="","",INDEX(Project_Tracker!$K$2:$K$101,INT((ROW()-6)/17)+1))</f>
        <v/>
      </c>
    </row>
    <row r="846" spans="1:17" x14ac:dyDescent="0.2">
      <c r="A846" s="20" t="str">
        <f>IF(INDEX(Project_Tracker!$AL$2:$AL$101,INT((ROW()-6)/17)+1)="","",INDEX(Project_Tracker!$AL$2:$AL$101,INT((ROW()-6)/17)+1))</f>
        <v/>
      </c>
      <c r="B846" s="21" t="str">
        <f>IF($A846="","",INDEX(Project_Tracker!$AM$2:$AM$101,INT((ROW()-6)/17)+1))</f>
        <v/>
      </c>
      <c r="C846" s="20" t="str">
        <f>IF($A846="","",INDEX(Project_Tracker!$C$2:$C$101,INT((ROW()-6)/17)+1))</f>
        <v/>
      </c>
      <c r="D846" s="6" t="str">
        <f>IF($A846="","",INDEX(Project_Tracker!$T$2:$T$101,INT((ROW()-6)/17)+1))</f>
        <v/>
      </c>
      <c r="E846" s="18">
        <f t="shared" si="65"/>
        <v>8</v>
      </c>
      <c r="F846" s="23" t="str">
        <f>IF($A846="","",INDEX('Logic &amp; Lists'!$I$4:$I$20,$E846))</f>
        <v/>
      </c>
      <c r="G846" s="18" t="str">
        <f>IF($A846="","",INDEX('Logic &amp; Lists'!$J$4:$J$20,$E846))</f>
        <v/>
      </c>
      <c r="H846" s="6" t="str">
        <f t="shared" si="66"/>
        <v/>
      </c>
      <c r="I846" s="18" t="str">
        <f t="shared" ca="1" si="67"/>
        <v/>
      </c>
      <c r="J846" s="5" t="str">
        <f t="shared" si="68"/>
        <v/>
      </c>
      <c r="K846" s="25"/>
      <c r="L846" s="5" t="str">
        <f t="shared" si="69"/>
        <v/>
      </c>
      <c r="M846" s="7"/>
      <c r="N846" s="7"/>
      <c r="O846" s="7"/>
      <c r="P846" s="20" t="str">
        <f>IF($A846="","",INDEX(Project_Tracker!$I$2:$I$101,INT((ROW()-6)/17)+1))</f>
        <v/>
      </c>
      <c r="Q846" s="20" t="str">
        <f>IF($A846="","",INDEX(Project_Tracker!$K$2:$K$101,INT((ROW()-6)/17)+1))</f>
        <v/>
      </c>
    </row>
    <row r="847" spans="1:17" x14ac:dyDescent="0.2">
      <c r="A847" s="20" t="str">
        <f>IF(INDEX(Project_Tracker!$AL$2:$AL$101,INT((ROW()-6)/17)+1)="","",INDEX(Project_Tracker!$AL$2:$AL$101,INT((ROW()-6)/17)+1))</f>
        <v/>
      </c>
      <c r="B847" s="21" t="str">
        <f>IF($A847="","",INDEX(Project_Tracker!$AM$2:$AM$101,INT((ROW()-6)/17)+1))</f>
        <v/>
      </c>
      <c r="C847" s="20" t="str">
        <f>IF($A847="","",INDEX(Project_Tracker!$C$2:$C$101,INT((ROW()-6)/17)+1))</f>
        <v/>
      </c>
      <c r="D847" s="6" t="str">
        <f>IF($A847="","",INDEX(Project_Tracker!$T$2:$T$101,INT((ROW()-6)/17)+1))</f>
        <v/>
      </c>
      <c r="E847" s="18">
        <f t="shared" si="65"/>
        <v>9</v>
      </c>
      <c r="F847" s="23" t="str">
        <f>IF($A847="","",INDEX('Logic &amp; Lists'!$I$4:$I$20,$E847))</f>
        <v/>
      </c>
      <c r="G847" s="18" t="str">
        <f>IF($A847="","",INDEX('Logic &amp; Lists'!$J$4:$J$20,$E847))</f>
        <v/>
      </c>
      <c r="H847" s="6" t="str">
        <f t="shared" si="66"/>
        <v/>
      </c>
      <c r="I847" s="18" t="str">
        <f t="shared" ca="1" si="67"/>
        <v/>
      </c>
      <c r="J847" s="5" t="str">
        <f t="shared" si="68"/>
        <v/>
      </c>
      <c r="K847" s="25"/>
      <c r="L847" s="5" t="str">
        <f t="shared" si="69"/>
        <v/>
      </c>
      <c r="M847" s="7"/>
      <c r="N847" s="7"/>
      <c r="O847" s="7"/>
      <c r="P847" s="20" t="str">
        <f>IF($A847="","",INDEX(Project_Tracker!$I$2:$I$101,INT((ROW()-6)/17)+1))</f>
        <v/>
      </c>
      <c r="Q847" s="20" t="str">
        <f>IF($A847="","",INDEX(Project_Tracker!$K$2:$K$101,INT((ROW()-6)/17)+1))</f>
        <v/>
      </c>
    </row>
    <row r="848" spans="1:17" x14ac:dyDescent="0.2">
      <c r="A848" s="20" t="str">
        <f>IF(INDEX(Project_Tracker!$AL$2:$AL$101,INT((ROW()-6)/17)+1)="","",INDEX(Project_Tracker!$AL$2:$AL$101,INT((ROW()-6)/17)+1))</f>
        <v/>
      </c>
      <c r="B848" s="21" t="str">
        <f>IF($A848="","",INDEX(Project_Tracker!$AM$2:$AM$101,INT((ROW()-6)/17)+1))</f>
        <v/>
      </c>
      <c r="C848" s="20" t="str">
        <f>IF($A848="","",INDEX(Project_Tracker!$C$2:$C$101,INT((ROW()-6)/17)+1))</f>
        <v/>
      </c>
      <c r="D848" s="6" t="str">
        <f>IF($A848="","",INDEX(Project_Tracker!$T$2:$T$101,INT((ROW()-6)/17)+1))</f>
        <v/>
      </c>
      <c r="E848" s="18">
        <f t="shared" si="65"/>
        <v>10</v>
      </c>
      <c r="F848" s="23" t="str">
        <f>IF($A848="","",INDEX('Logic &amp; Lists'!$I$4:$I$20,$E848))</f>
        <v/>
      </c>
      <c r="G848" s="18" t="str">
        <f>IF($A848="","",INDEX('Logic &amp; Lists'!$J$4:$J$20,$E848))</f>
        <v/>
      </c>
      <c r="H848" s="6" t="str">
        <f t="shared" si="66"/>
        <v/>
      </c>
      <c r="I848" s="18" t="str">
        <f t="shared" ca="1" si="67"/>
        <v/>
      </c>
      <c r="J848" s="5" t="str">
        <f t="shared" si="68"/>
        <v/>
      </c>
      <c r="K848" s="25"/>
      <c r="L848" s="5" t="str">
        <f t="shared" si="69"/>
        <v/>
      </c>
      <c r="M848" s="7"/>
      <c r="N848" s="7"/>
      <c r="O848" s="7"/>
      <c r="P848" s="20" t="str">
        <f>IF($A848="","",INDEX(Project_Tracker!$I$2:$I$101,INT((ROW()-6)/17)+1))</f>
        <v/>
      </c>
      <c r="Q848" s="20" t="str">
        <f>IF($A848="","",INDEX(Project_Tracker!$K$2:$K$101,INT((ROW()-6)/17)+1))</f>
        <v/>
      </c>
    </row>
    <row r="849" spans="1:17" x14ac:dyDescent="0.2">
      <c r="A849" s="20" t="str">
        <f>IF(INDEX(Project_Tracker!$AL$2:$AL$101,INT((ROW()-6)/17)+1)="","",INDEX(Project_Tracker!$AL$2:$AL$101,INT((ROW()-6)/17)+1))</f>
        <v/>
      </c>
      <c r="B849" s="21" t="str">
        <f>IF($A849="","",INDEX(Project_Tracker!$AM$2:$AM$101,INT((ROW()-6)/17)+1))</f>
        <v/>
      </c>
      <c r="C849" s="20" t="str">
        <f>IF($A849="","",INDEX(Project_Tracker!$C$2:$C$101,INT((ROW()-6)/17)+1))</f>
        <v/>
      </c>
      <c r="D849" s="6" t="str">
        <f>IF($A849="","",INDEX(Project_Tracker!$T$2:$T$101,INT((ROW()-6)/17)+1))</f>
        <v/>
      </c>
      <c r="E849" s="18">
        <f t="shared" si="65"/>
        <v>11</v>
      </c>
      <c r="F849" s="23" t="str">
        <f>IF($A849="","",INDEX('Logic &amp; Lists'!$I$4:$I$20,$E849))</f>
        <v/>
      </c>
      <c r="G849" s="18" t="str">
        <f>IF($A849="","",INDEX('Logic &amp; Lists'!$J$4:$J$20,$E849))</f>
        <v/>
      </c>
      <c r="H849" s="6" t="str">
        <f t="shared" si="66"/>
        <v/>
      </c>
      <c r="I849" s="18" t="str">
        <f t="shared" ca="1" si="67"/>
        <v/>
      </c>
      <c r="J849" s="5" t="str">
        <f t="shared" si="68"/>
        <v/>
      </c>
      <c r="K849" s="25"/>
      <c r="L849" s="5" t="str">
        <f t="shared" si="69"/>
        <v/>
      </c>
      <c r="M849" s="7"/>
      <c r="N849" s="7"/>
      <c r="O849" s="7"/>
      <c r="P849" s="20" t="str">
        <f>IF($A849="","",INDEX(Project_Tracker!$I$2:$I$101,INT((ROW()-6)/17)+1))</f>
        <v/>
      </c>
      <c r="Q849" s="20" t="str">
        <f>IF($A849="","",INDEX(Project_Tracker!$K$2:$K$101,INT((ROW()-6)/17)+1))</f>
        <v/>
      </c>
    </row>
    <row r="850" spans="1:17" x14ac:dyDescent="0.2">
      <c r="A850" s="20" t="str">
        <f>IF(INDEX(Project_Tracker!$AL$2:$AL$101,INT((ROW()-6)/17)+1)="","",INDEX(Project_Tracker!$AL$2:$AL$101,INT((ROW()-6)/17)+1))</f>
        <v/>
      </c>
      <c r="B850" s="21" t="str">
        <f>IF($A850="","",INDEX(Project_Tracker!$AM$2:$AM$101,INT((ROW()-6)/17)+1))</f>
        <v/>
      </c>
      <c r="C850" s="20" t="str">
        <f>IF($A850="","",INDEX(Project_Tracker!$C$2:$C$101,INT((ROW()-6)/17)+1))</f>
        <v/>
      </c>
      <c r="D850" s="6" t="str">
        <f>IF($A850="","",INDEX(Project_Tracker!$T$2:$T$101,INT((ROW()-6)/17)+1))</f>
        <v/>
      </c>
      <c r="E850" s="18">
        <f t="shared" si="65"/>
        <v>12</v>
      </c>
      <c r="F850" s="23" t="str">
        <f>IF($A850="","",INDEX('Logic &amp; Lists'!$I$4:$I$20,$E850))</f>
        <v/>
      </c>
      <c r="G850" s="18" t="str">
        <f>IF($A850="","",INDEX('Logic &amp; Lists'!$J$4:$J$20,$E850))</f>
        <v/>
      </c>
      <c r="H850" s="6" t="str">
        <f t="shared" si="66"/>
        <v/>
      </c>
      <c r="I850" s="18" t="str">
        <f t="shared" ca="1" si="67"/>
        <v/>
      </c>
      <c r="J850" s="5" t="str">
        <f t="shared" si="68"/>
        <v/>
      </c>
      <c r="K850" s="25"/>
      <c r="L850" s="5" t="str">
        <f t="shared" si="69"/>
        <v/>
      </c>
      <c r="M850" s="7"/>
      <c r="N850" s="7"/>
      <c r="O850" s="7"/>
      <c r="P850" s="20" t="str">
        <f>IF($A850="","",INDEX(Project_Tracker!$I$2:$I$101,INT((ROW()-6)/17)+1))</f>
        <v/>
      </c>
      <c r="Q850" s="20" t="str">
        <f>IF($A850="","",INDEX(Project_Tracker!$K$2:$K$101,INT((ROW()-6)/17)+1))</f>
        <v/>
      </c>
    </row>
    <row r="851" spans="1:17" x14ac:dyDescent="0.2">
      <c r="A851" s="20" t="str">
        <f>IF(INDEX(Project_Tracker!$AL$2:$AL$101,INT((ROW()-6)/17)+1)="","",INDEX(Project_Tracker!$AL$2:$AL$101,INT((ROW()-6)/17)+1))</f>
        <v/>
      </c>
      <c r="B851" s="21" t="str">
        <f>IF($A851="","",INDEX(Project_Tracker!$AM$2:$AM$101,INT((ROW()-6)/17)+1))</f>
        <v/>
      </c>
      <c r="C851" s="20" t="str">
        <f>IF($A851="","",INDEX(Project_Tracker!$C$2:$C$101,INT((ROW()-6)/17)+1))</f>
        <v/>
      </c>
      <c r="D851" s="6" t="str">
        <f>IF($A851="","",INDEX(Project_Tracker!$T$2:$T$101,INT((ROW()-6)/17)+1))</f>
        <v/>
      </c>
      <c r="E851" s="18">
        <f t="shared" si="65"/>
        <v>13</v>
      </c>
      <c r="F851" s="23" t="str">
        <f>IF($A851="","",INDEX('Logic &amp; Lists'!$I$4:$I$20,$E851))</f>
        <v/>
      </c>
      <c r="G851" s="18" t="str">
        <f>IF($A851="","",INDEX('Logic &amp; Lists'!$J$4:$J$20,$E851))</f>
        <v/>
      </c>
      <c r="H851" s="6" t="str">
        <f t="shared" si="66"/>
        <v/>
      </c>
      <c r="I851" s="18" t="str">
        <f t="shared" ca="1" si="67"/>
        <v/>
      </c>
      <c r="J851" s="5" t="str">
        <f t="shared" si="68"/>
        <v/>
      </c>
      <c r="K851" s="25"/>
      <c r="L851" s="5" t="str">
        <f t="shared" si="69"/>
        <v/>
      </c>
      <c r="M851" s="7"/>
      <c r="N851" s="7"/>
      <c r="O851" s="7"/>
      <c r="P851" s="20" t="str">
        <f>IF($A851="","",INDEX(Project_Tracker!$I$2:$I$101,INT((ROW()-6)/17)+1))</f>
        <v/>
      </c>
      <c r="Q851" s="20" t="str">
        <f>IF($A851="","",INDEX(Project_Tracker!$K$2:$K$101,INT((ROW()-6)/17)+1))</f>
        <v/>
      </c>
    </row>
    <row r="852" spans="1:17" x14ac:dyDescent="0.2">
      <c r="A852" s="20" t="str">
        <f>IF(INDEX(Project_Tracker!$AL$2:$AL$101,INT((ROW()-6)/17)+1)="","",INDEX(Project_Tracker!$AL$2:$AL$101,INT((ROW()-6)/17)+1))</f>
        <v/>
      </c>
      <c r="B852" s="21" t="str">
        <f>IF($A852="","",INDEX(Project_Tracker!$AM$2:$AM$101,INT((ROW()-6)/17)+1))</f>
        <v/>
      </c>
      <c r="C852" s="20" t="str">
        <f>IF($A852="","",INDEX(Project_Tracker!$C$2:$C$101,INT((ROW()-6)/17)+1))</f>
        <v/>
      </c>
      <c r="D852" s="6" t="str">
        <f>IF($A852="","",INDEX(Project_Tracker!$T$2:$T$101,INT((ROW()-6)/17)+1))</f>
        <v/>
      </c>
      <c r="E852" s="18">
        <f t="shared" si="65"/>
        <v>14</v>
      </c>
      <c r="F852" s="23" t="str">
        <f>IF($A852="","",INDEX('Logic &amp; Lists'!$I$4:$I$20,$E852))</f>
        <v/>
      </c>
      <c r="G852" s="18" t="str">
        <f>IF($A852="","",INDEX('Logic &amp; Lists'!$J$4:$J$20,$E852))</f>
        <v/>
      </c>
      <c r="H852" s="6" t="str">
        <f t="shared" si="66"/>
        <v/>
      </c>
      <c r="I852" s="18" t="str">
        <f t="shared" ca="1" si="67"/>
        <v/>
      </c>
      <c r="J852" s="5" t="str">
        <f t="shared" si="68"/>
        <v/>
      </c>
      <c r="K852" s="25"/>
      <c r="L852" s="5" t="str">
        <f t="shared" si="69"/>
        <v/>
      </c>
      <c r="M852" s="7"/>
      <c r="N852" s="7"/>
      <c r="O852" s="7"/>
      <c r="P852" s="20" t="str">
        <f>IF($A852="","",INDEX(Project_Tracker!$I$2:$I$101,INT((ROW()-6)/17)+1))</f>
        <v/>
      </c>
      <c r="Q852" s="20" t="str">
        <f>IF($A852="","",INDEX(Project_Tracker!$K$2:$K$101,INT((ROW()-6)/17)+1))</f>
        <v/>
      </c>
    </row>
    <row r="853" spans="1:17" x14ac:dyDescent="0.2">
      <c r="A853" s="20" t="str">
        <f>IF(INDEX(Project_Tracker!$AL$2:$AL$101,INT((ROW()-6)/17)+1)="","",INDEX(Project_Tracker!$AL$2:$AL$101,INT((ROW()-6)/17)+1))</f>
        <v/>
      </c>
      <c r="B853" s="21" t="str">
        <f>IF($A853="","",INDEX(Project_Tracker!$AM$2:$AM$101,INT((ROW()-6)/17)+1))</f>
        <v/>
      </c>
      <c r="C853" s="20" t="str">
        <f>IF($A853="","",INDEX(Project_Tracker!$C$2:$C$101,INT((ROW()-6)/17)+1))</f>
        <v/>
      </c>
      <c r="D853" s="6" t="str">
        <f>IF($A853="","",INDEX(Project_Tracker!$T$2:$T$101,INT((ROW()-6)/17)+1))</f>
        <v/>
      </c>
      <c r="E853" s="18">
        <f t="shared" si="65"/>
        <v>15</v>
      </c>
      <c r="F853" s="23" t="str">
        <f>IF($A853="","",INDEX('Logic &amp; Lists'!$I$4:$I$20,$E853))</f>
        <v/>
      </c>
      <c r="G853" s="18" t="str">
        <f>IF($A853="","",INDEX('Logic &amp; Lists'!$J$4:$J$20,$E853))</f>
        <v/>
      </c>
      <c r="H853" s="6" t="str">
        <f t="shared" si="66"/>
        <v/>
      </c>
      <c r="I853" s="18" t="str">
        <f t="shared" ca="1" si="67"/>
        <v/>
      </c>
      <c r="J853" s="5" t="str">
        <f t="shared" si="68"/>
        <v/>
      </c>
      <c r="K853" s="25"/>
      <c r="L853" s="5" t="str">
        <f t="shared" si="69"/>
        <v/>
      </c>
      <c r="M853" s="7"/>
      <c r="N853" s="7"/>
      <c r="O853" s="7"/>
      <c r="P853" s="20" t="str">
        <f>IF($A853="","",INDEX(Project_Tracker!$I$2:$I$101,INT((ROW()-6)/17)+1))</f>
        <v/>
      </c>
      <c r="Q853" s="20" t="str">
        <f>IF($A853="","",INDEX(Project_Tracker!$K$2:$K$101,INT((ROW()-6)/17)+1))</f>
        <v/>
      </c>
    </row>
    <row r="854" spans="1:17" x14ac:dyDescent="0.2">
      <c r="A854" s="20" t="str">
        <f>IF(INDEX(Project_Tracker!$AL$2:$AL$101,INT((ROW()-6)/17)+1)="","",INDEX(Project_Tracker!$AL$2:$AL$101,INT((ROW()-6)/17)+1))</f>
        <v/>
      </c>
      <c r="B854" s="21" t="str">
        <f>IF($A854="","",INDEX(Project_Tracker!$AM$2:$AM$101,INT((ROW()-6)/17)+1))</f>
        <v/>
      </c>
      <c r="C854" s="20" t="str">
        <f>IF($A854="","",INDEX(Project_Tracker!$C$2:$C$101,INT((ROW()-6)/17)+1))</f>
        <v/>
      </c>
      <c r="D854" s="6" t="str">
        <f>IF($A854="","",INDEX(Project_Tracker!$T$2:$T$101,INT((ROW()-6)/17)+1))</f>
        <v/>
      </c>
      <c r="E854" s="18">
        <f t="shared" si="65"/>
        <v>16</v>
      </c>
      <c r="F854" s="23" t="str">
        <f>IF($A854="","",INDEX('Logic &amp; Lists'!$I$4:$I$20,$E854))</f>
        <v/>
      </c>
      <c r="G854" s="18" t="str">
        <f>IF($A854="","",INDEX('Logic &amp; Lists'!$J$4:$J$20,$E854))</f>
        <v/>
      </c>
      <c r="H854" s="6" t="str">
        <f t="shared" si="66"/>
        <v/>
      </c>
      <c r="I854" s="18" t="str">
        <f t="shared" ca="1" si="67"/>
        <v/>
      </c>
      <c r="J854" s="5" t="str">
        <f t="shared" si="68"/>
        <v/>
      </c>
      <c r="K854" s="25"/>
      <c r="L854" s="5" t="str">
        <f t="shared" si="69"/>
        <v/>
      </c>
      <c r="M854" s="7"/>
      <c r="N854" s="7"/>
      <c r="O854" s="7"/>
      <c r="P854" s="20" t="str">
        <f>IF($A854="","",INDEX(Project_Tracker!$I$2:$I$101,INT((ROW()-6)/17)+1))</f>
        <v/>
      </c>
      <c r="Q854" s="20" t="str">
        <f>IF($A854="","",INDEX(Project_Tracker!$K$2:$K$101,INT((ROW()-6)/17)+1))</f>
        <v/>
      </c>
    </row>
    <row r="855" spans="1:17" x14ac:dyDescent="0.2">
      <c r="A855" s="20" t="str">
        <f>IF(INDEX(Project_Tracker!$AL$2:$AL$101,INT((ROW()-6)/17)+1)="","",INDEX(Project_Tracker!$AL$2:$AL$101,INT((ROW()-6)/17)+1))</f>
        <v/>
      </c>
      <c r="B855" s="21" t="str">
        <f>IF($A855="","",INDEX(Project_Tracker!$AM$2:$AM$101,INT((ROW()-6)/17)+1))</f>
        <v/>
      </c>
      <c r="C855" s="20" t="str">
        <f>IF($A855="","",INDEX(Project_Tracker!$C$2:$C$101,INT((ROW()-6)/17)+1))</f>
        <v/>
      </c>
      <c r="D855" s="6" t="str">
        <f>IF($A855="","",INDEX(Project_Tracker!$T$2:$T$101,INT((ROW()-6)/17)+1))</f>
        <v/>
      </c>
      <c r="E855" s="18">
        <f t="shared" si="65"/>
        <v>17</v>
      </c>
      <c r="F855" s="23" t="str">
        <f>IF($A855="","",INDEX('Logic &amp; Lists'!$I$4:$I$20,$E855))</f>
        <v/>
      </c>
      <c r="G855" s="18" t="str">
        <f>IF($A855="","",INDEX('Logic &amp; Lists'!$J$4:$J$20,$E855))</f>
        <v/>
      </c>
      <c r="H855" s="6" t="str">
        <f t="shared" si="66"/>
        <v/>
      </c>
      <c r="I855" s="18" t="str">
        <f t="shared" ca="1" si="67"/>
        <v/>
      </c>
      <c r="J855" s="5" t="str">
        <f t="shared" si="68"/>
        <v/>
      </c>
      <c r="K855" s="25"/>
      <c r="L855" s="5" t="str">
        <f t="shared" si="69"/>
        <v/>
      </c>
      <c r="M855" s="7"/>
      <c r="N855" s="7"/>
      <c r="O855" s="7"/>
      <c r="P855" s="20" t="str">
        <f>IF($A855="","",INDEX(Project_Tracker!$I$2:$I$101,INT((ROW()-6)/17)+1))</f>
        <v/>
      </c>
      <c r="Q855" s="20" t="str">
        <f>IF($A855="","",INDEX(Project_Tracker!$K$2:$K$101,INT((ROW()-6)/17)+1))</f>
        <v/>
      </c>
    </row>
    <row r="856" spans="1:17" x14ac:dyDescent="0.2">
      <c r="A856" s="20" t="str">
        <f>IF(INDEX(Project_Tracker!$AL$2:$AL$101,INT((ROW()-6)/17)+1)="","",INDEX(Project_Tracker!$AL$2:$AL$101,INT((ROW()-6)/17)+1))</f>
        <v/>
      </c>
      <c r="B856" s="21" t="str">
        <f>IF($A856="","",INDEX(Project_Tracker!$AM$2:$AM$101,INT((ROW()-6)/17)+1))</f>
        <v/>
      </c>
      <c r="C856" s="20" t="str">
        <f>IF($A856="","",INDEX(Project_Tracker!$C$2:$C$101,INT((ROW()-6)/17)+1))</f>
        <v/>
      </c>
      <c r="D856" s="6" t="str">
        <f>IF($A856="","",INDEX(Project_Tracker!$T$2:$T$101,INT((ROW()-6)/17)+1))</f>
        <v/>
      </c>
      <c r="E856" s="18">
        <f t="shared" si="65"/>
        <v>1</v>
      </c>
      <c r="F856" s="23" t="str">
        <f>IF($A856="","",INDEX('Logic &amp; Lists'!$I$4:$I$20,$E856))</f>
        <v/>
      </c>
      <c r="G856" s="18" t="str">
        <f>IF($A856="","",INDEX('Logic &amp; Lists'!$J$4:$J$20,$E856))</f>
        <v/>
      </c>
      <c r="H856" s="6" t="str">
        <f t="shared" si="66"/>
        <v/>
      </c>
      <c r="I856" s="18" t="str">
        <f t="shared" ca="1" si="67"/>
        <v/>
      </c>
      <c r="J856" s="5" t="str">
        <f t="shared" si="68"/>
        <v/>
      </c>
      <c r="K856" s="25"/>
      <c r="L856" s="5" t="str">
        <f t="shared" si="69"/>
        <v/>
      </c>
      <c r="M856" s="7"/>
      <c r="N856" s="7"/>
      <c r="O856" s="7"/>
      <c r="P856" s="20" t="str">
        <f>IF($A856="","",INDEX(Project_Tracker!$I$2:$I$101,INT((ROW()-6)/17)+1))</f>
        <v/>
      </c>
      <c r="Q856" s="20" t="str">
        <f>IF($A856="","",INDEX(Project_Tracker!$K$2:$K$101,INT((ROW()-6)/17)+1))</f>
        <v/>
      </c>
    </row>
    <row r="857" spans="1:17" x14ac:dyDescent="0.2">
      <c r="A857" s="20" t="str">
        <f>IF(INDEX(Project_Tracker!$AL$2:$AL$101,INT((ROW()-6)/17)+1)="","",INDEX(Project_Tracker!$AL$2:$AL$101,INT((ROW()-6)/17)+1))</f>
        <v/>
      </c>
      <c r="B857" s="21" t="str">
        <f>IF($A857="","",INDEX(Project_Tracker!$AM$2:$AM$101,INT((ROW()-6)/17)+1))</f>
        <v/>
      </c>
      <c r="C857" s="20" t="str">
        <f>IF($A857="","",INDEX(Project_Tracker!$C$2:$C$101,INT((ROW()-6)/17)+1))</f>
        <v/>
      </c>
      <c r="D857" s="6" t="str">
        <f>IF($A857="","",INDEX(Project_Tracker!$T$2:$T$101,INT((ROW()-6)/17)+1))</f>
        <v/>
      </c>
      <c r="E857" s="18">
        <f t="shared" si="65"/>
        <v>2</v>
      </c>
      <c r="F857" s="23" t="str">
        <f>IF($A857="","",INDEX('Logic &amp; Lists'!$I$4:$I$20,$E857))</f>
        <v/>
      </c>
      <c r="G857" s="18" t="str">
        <f>IF($A857="","",INDEX('Logic &amp; Lists'!$J$4:$J$20,$E857))</f>
        <v/>
      </c>
      <c r="H857" s="6" t="str">
        <f t="shared" si="66"/>
        <v/>
      </c>
      <c r="I857" s="18" t="str">
        <f t="shared" ca="1" si="67"/>
        <v/>
      </c>
      <c r="J857" s="5" t="str">
        <f t="shared" si="68"/>
        <v/>
      </c>
      <c r="K857" s="25"/>
      <c r="L857" s="5" t="str">
        <f t="shared" si="69"/>
        <v/>
      </c>
      <c r="M857" s="7"/>
      <c r="N857" s="7"/>
      <c r="O857" s="7"/>
      <c r="P857" s="20" t="str">
        <f>IF($A857="","",INDEX(Project_Tracker!$I$2:$I$101,INT((ROW()-6)/17)+1))</f>
        <v/>
      </c>
      <c r="Q857" s="20" t="str">
        <f>IF($A857="","",INDEX(Project_Tracker!$K$2:$K$101,INT((ROW()-6)/17)+1))</f>
        <v/>
      </c>
    </row>
    <row r="858" spans="1:17" x14ac:dyDescent="0.2">
      <c r="A858" s="20" t="str">
        <f>IF(INDEX(Project_Tracker!$AL$2:$AL$101,INT((ROW()-6)/17)+1)="","",INDEX(Project_Tracker!$AL$2:$AL$101,INT((ROW()-6)/17)+1))</f>
        <v/>
      </c>
      <c r="B858" s="21" t="str">
        <f>IF($A858="","",INDEX(Project_Tracker!$AM$2:$AM$101,INT((ROW()-6)/17)+1))</f>
        <v/>
      </c>
      <c r="C858" s="20" t="str">
        <f>IF($A858="","",INDEX(Project_Tracker!$C$2:$C$101,INT((ROW()-6)/17)+1))</f>
        <v/>
      </c>
      <c r="D858" s="6" t="str">
        <f>IF($A858="","",INDEX(Project_Tracker!$T$2:$T$101,INT((ROW()-6)/17)+1))</f>
        <v/>
      </c>
      <c r="E858" s="18">
        <f t="shared" si="65"/>
        <v>3</v>
      </c>
      <c r="F858" s="23" t="str">
        <f>IF($A858="","",INDEX('Logic &amp; Lists'!$I$4:$I$20,$E858))</f>
        <v/>
      </c>
      <c r="G858" s="18" t="str">
        <f>IF($A858="","",INDEX('Logic &amp; Lists'!$J$4:$J$20,$E858))</f>
        <v/>
      </c>
      <c r="H858" s="6" t="str">
        <f t="shared" si="66"/>
        <v/>
      </c>
      <c r="I858" s="18" t="str">
        <f t="shared" ca="1" si="67"/>
        <v/>
      </c>
      <c r="J858" s="5" t="str">
        <f t="shared" si="68"/>
        <v/>
      </c>
      <c r="K858" s="25"/>
      <c r="L858" s="5" t="str">
        <f t="shared" si="69"/>
        <v/>
      </c>
      <c r="M858" s="7"/>
      <c r="N858" s="7"/>
      <c r="O858" s="7"/>
      <c r="P858" s="20" t="str">
        <f>IF($A858="","",INDEX(Project_Tracker!$I$2:$I$101,INT((ROW()-6)/17)+1))</f>
        <v/>
      </c>
      <c r="Q858" s="20" t="str">
        <f>IF($A858="","",INDEX(Project_Tracker!$K$2:$K$101,INT((ROW()-6)/17)+1))</f>
        <v/>
      </c>
    </row>
    <row r="859" spans="1:17" x14ac:dyDescent="0.2">
      <c r="A859" s="20" t="str">
        <f>IF(INDEX(Project_Tracker!$AL$2:$AL$101,INT((ROW()-6)/17)+1)="","",INDEX(Project_Tracker!$AL$2:$AL$101,INT((ROW()-6)/17)+1))</f>
        <v/>
      </c>
      <c r="B859" s="21" t="str">
        <f>IF($A859="","",INDEX(Project_Tracker!$AM$2:$AM$101,INT((ROW()-6)/17)+1))</f>
        <v/>
      </c>
      <c r="C859" s="20" t="str">
        <f>IF($A859="","",INDEX(Project_Tracker!$C$2:$C$101,INT((ROW()-6)/17)+1))</f>
        <v/>
      </c>
      <c r="D859" s="6" t="str">
        <f>IF($A859="","",INDEX(Project_Tracker!$T$2:$T$101,INT((ROW()-6)/17)+1))</f>
        <v/>
      </c>
      <c r="E859" s="18">
        <f t="shared" si="65"/>
        <v>4</v>
      </c>
      <c r="F859" s="23" t="str">
        <f>IF($A859="","",INDEX('Logic &amp; Lists'!$I$4:$I$20,$E859))</f>
        <v/>
      </c>
      <c r="G859" s="18" t="str">
        <f>IF($A859="","",INDEX('Logic &amp; Lists'!$J$4:$J$20,$E859))</f>
        <v/>
      </c>
      <c r="H859" s="6" t="str">
        <f t="shared" si="66"/>
        <v/>
      </c>
      <c r="I859" s="18" t="str">
        <f t="shared" ca="1" si="67"/>
        <v/>
      </c>
      <c r="J859" s="5" t="str">
        <f t="shared" si="68"/>
        <v/>
      </c>
      <c r="K859" s="25"/>
      <c r="L859" s="5" t="str">
        <f t="shared" si="69"/>
        <v/>
      </c>
      <c r="M859" s="7"/>
      <c r="N859" s="7"/>
      <c r="O859" s="7"/>
      <c r="P859" s="20" t="str">
        <f>IF($A859="","",INDEX(Project_Tracker!$I$2:$I$101,INT((ROW()-6)/17)+1))</f>
        <v/>
      </c>
      <c r="Q859" s="20" t="str">
        <f>IF($A859="","",INDEX(Project_Tracker!$K$2:$K$101,INT((ROW()-6)/17)+1))</f>
        <v/>
      </c>
    </row>
    <row r="860" spans="1:17" x14ac:dyDescent="0.2">
      <c r="A860" s="20" t="str">
        <f>IF(INDEX(Project_Tracker!$AL$2:$AL$101,INT((ROW()-6)/17)+1)="","",INDEX(Project_Tracker!$AL$2:$AL$101,INT((ROW()-6)/17)+1))</f>
        <v/>
      </c>
      <c r="B860" s="21" t="str">
        <f>IF($A860="","",INDEX(Project_Tracker!$AM$2:$AM$101,INT((ROW()-6)/17)+1))</f>
        <v/>
      </c>
      <c r="C860" s="20" t="str">
        <f>IF($A860="","",INDEX(Project_Tracker!$C$2:$C$101,INT((ROW()-6)/17)+1))</f>
        <v/>
      </c>
      <c r="D860" s="6" t="str">
        <f>IF($A860="","",INDEX(Project_Tracker!$T$2:$T$101,INT((ROW()-6)/17)+1))</f>
        <v/>
      </c>
      <c r="E860" s="18">
        <f t="shared" si="65"/>
        <v>5</v>
      </c>
      <c r="F860" s="23" t="str">
        <f>IF($A860="","",INDEX('Logic &amp; Lists'!$I$4:$I$20,$E860))</f>
        <v/>
      </c>
      <c r="G860" s="18" t="str">
        <f>IF($A860="","",INDEX('Logic &amp; Lists'!$J$4:$J$20,$E860))</f>
        <v/>
      </c>
      <c r="H860" s="6" t="str">
        <f t="shared" si="66"/>
        <v/>
      </c>
      <c r="I860" s="18" t="str">
        <f t="shared" ca="1" si="67"/>
        <v/>
      </c>
      <c r="J860" s="5" t="str">
        <f t="shared" si="68"/>
        <v/>
      </c>
      <c r="K860" s="25"/>
      <c r="L860" s="5" t="str">
        <f t="shared" si="69"/>
        <v/>
      </c>
      <c r="M860" s="7"/>
      <c r="N860" s="7"/>
      <c r="O860" s="7"/>
      <c r="P860" s="20" t="str">
        <f>IF($A860="","",INDEX(Project_Tracker!$I$2:$I$101,INT((ROW()-6)/17)+1))</f>
        <v/>
      </c>
      <c r="Q860" s="20" t="str">
        <f>IF($A860="","",INDEX(Project_Tracker!$K$2:$K$101,INT((ROW()-6)/17)+1))</f>
        <v/>
      </c>
    </row>
    <row r="861" spans="1:17" x14ac:dyDescent="0.2">
      <c r="A861" s="20" t="str">
        <f>IF(INDEX(Project_Tracker!$AL$2:$AL$101,INT((ROW()-6)/17)+1)="","",INDEX(Project_Tracker!$AL$2:$AL$101,INT((ROW()-6)/17)+1))</f>
        <v/>
      </c>
      <c r="B861" s="21" t="str">
        <f>IF($A861="","",INDEX(Project_Tracker!$AM$2:$AM$101,INT((ROW()-6)/17)+1))</f>
        <v/>
      </c>
      <c r="C861" s="20" t="str">
        <f>IF($A861="","",INDEX(Project_Tracker!$C$2:$C$101,INT((ROW()-6)/17)+1))</f>
        <v/>
      </c>
      <c r="D861" s="6" t="str">
        <f>IF($A861="","",INDEX(Project_Tracker!$T$2:$T$101,INT((ROW()-6)/17)+1))</f>
        <v/>
      </c>
      <c r="E861" s="18">
        <f t="shared" si="65"/>
        <v>6</v>
      </c>
      <c r="F861" s="23" t="str">
        <f>IF($A861="","",INDEX('Logic &amp; Lists'!$I$4:$I$20,$E861))</f>
        <v/>
      </c>
      <c r="G861" s="18" t="str">
        <f>IF($A861="","",INDEX('Logic &amp; Lists'!$J$4:$J$20,$E861))</f>
        <v/>
      </c>
      <c r="H861" s="6" t="str">
        <f t="shared" si="66"/>
        <v/>
      </c>
      <c r="I861" s="18" t="str">
        <f t="shared" ca="1" si="67"/>
        <v/>
      </c>
      <c r="J861" s="5" t="str">
        <f t="shared" si="68"/>
        <v/>
      </c>
      <c r="K861" s="25"/>
      <c r="L861" s="5" t="str">
        <f t="shared" si="69"/>
        <v/>
      </c>
      <c r="M861" s="7"/>
      <c r="N861" s="7"/>
      <c r="O861" s="7"/>
      <c r="P861" s="20" t="str">
        <f>IF($A861="","",INDEX(Project_Tracker!$I$2:$I$101,INT((ROW()-6)/17)+1))</f>
        <v/>
      </c>
      <c r="Q861" s="20" t="str">
        <f>IF($A861="","",INDEX(Project_Tracker!$K$2:$K$101,INT((ROW()-6)/17)+1))</f>
        <v/>
      </c>
    </row>
    <row r="862" spans="1:17" x14ac:dyDescent="0.2">
      <c r="A862" s="20" t="str">
        <f>IF(INDEX(Project_Tracker!$AL$2:$AL$101,INT((ROW()-6)/17)+1)="","",INDEX(Project_Tracker!$AL$2:$AL$101,INT((ROW()-6)/17)+1))</f>
        <v/>
      </c>
      <c r="B862" s="21" t="str">
        <f>IF($A862="","",INDEX(Project_Tracker!$AM$2:$AM$101,INT((ROW()-6)/17)+1))</f>
        <v/>
      </c>
      <c r="C862" s="20" t="str">
        <f>IF($A862="","",INDEX(Project_Tracker!$C$2:$C$101,INT((ROW()-6)/17)+1))</f>
        <v/>
      </c>
      <c r="D862" s="6" t="str">
        <f>IF($A862="","",INDEX(Project_Tracker!$T$2:$T$101,INT((ROW()-6)/17)+1))</f>
        <v/>
      </c>
      <c r="E862" s="18">
        <f t="shared" si="65"/>
        <v>7</v>
      </c>
      <c r="F862" s="23" t="str">
        <f>IF($A862="","",INDEX('Logic &amp; Lists'!$I$4:$I$20,$E862))</f>
        <v/>
      </c>
      <c r="G862" s="18" t="str">
        <f>IF($A862="","",INDEX('Logic &amp; Lists'!$J$4:$J$20,$E862))</f>
        <v/>
      </c>
      <c r="H862" s="6" t="str">
        <f t="shared" si="66"/>
        <v/>
      </c>
      <c r="I862" s="18" t="str">
        <f t="shared" ca="1" si="67"/>
        <v/>
      </c>
      <c r="J862" s="5" t="str">
        <f t="shared" si="68"/>
        <v/>
      </c>
      <c r="K862" s="25"/>
      <c r="L862" s="5" t="str">
        <f t="shared" si="69"/>
        <v/>
      </c>
      <c r="M862" s="7"/>
      <c r="N862" s="7"/>
      <c r="O862" s="7"/>
      <c r="P862" s="20" t="str">
        <f>IF($A862="","",INDEX(Project_Tracker!$I$2:$I$101,INT((ROW()-6)/17)+1))</f>
        <v/>
      </c>
      <c r="Q862" s="20" t="str">
        <f>IF($A862="","",INDEX(Project_Tracker!$K$2:$K$101,INT((ROW()-6)/17)+1))</f>
        <v/>
      </c>
    </row>
    <row r="863" spans="1:17" x14ac:dyDescent="0.2">
      <c r="A863" s="20" t="str">
        <f>IF(INDEX(Project_Tracker!$AL$2:$AL$101,INT((ROW()-6)/17)+1)="","",INDEX(Project_Tracker!$AL$2:$AL$101,INT((ROW()-6)/17)+1))</f>
        <v/>
      </c>
      <c r="B863" s="21" t="str">
        <f>IF($A863="","",INDEX(Project_Tracker!$AM$2:$AM$101,INT((ROW()-6)/17)+1))</f>
        <v/>
      </c>
      <c r="C863" s="20" t="str">
        <f>IF($A863="","",INDEX(Project_Tracker!$C$2:$C$101,INT((ROW()-6)/17)+1))</f>
        <v/>
      </c>
      <c r="D863" s="6" t="str">
        <f>IF($A863="","",INDEX(Project_Tracker!$T$2:$T$101,INT((ROW()-6)/17)+1))</f>
        <v/>
      </c>
      <c r="E863" s="18">
        <f t="shared" si="65"/>
        <v>8</v>
      </c>
      <c r="F863" s="23" t="str">
        <f>IF($A863="","",INDEX('Logic &amp; Lists'!$I$4:$I$20,$E863))</f>
        <v/>
      </c>
      <c r="G863" s="18" t="str">
        <f>IF($A863="","",INDEX('Logic &amp; Lists'!$J$4:$J$20,$E863))</f>
        <v/>
      </c>
      <c r="H863" s="6" t="str">
        <f t="shared" si="66"/>
        <v/>
      </c>
      <c r="I863" s="18" t="str">
        <f t="shared" ca="1" si="67"/>
        <v/>
      </c>
      <c r="J863" s="5" t="str">
        <f t="shared" si="68"/>
        <v/>
      </c>
      <c r="K863" s="25"/>
      <c r="L863" s="5" t="str">
        <f t="shared" si="69"/>
        <v/>
      </c>
      <c r="M863" s="7"/>
      <c r="N863" s="7"/>
      <c r="O863" s="7"/>
      <c r="P863" s="20" t="str">
        <f>IF($A863="","",INDEX(Project_Tracker!$I$2:$I$101,INT((ROW()-6)/17)+1))</f>
        <v/>
      </c>
      <c r="Q863" s="20" t="str">
        <f>IF($A863="","",INDEX(Project_Tracker!$K$2:$K$101,INT((ROW()-6)/17)+1))</f>
        <v/>
      </c>
    </row>
    <row r="864" spans="1:17" x14ac:dyDescent="0.2">
      <c r="A864" s="20" t="str">
        <f>IF(INDEX(Project_Tracker!$AL$2:$AL$101,INT((ROW()-6)/17)+1)="","",INDEX(Project_Tracker!$AL$2:$AL$101,INT((ROW()-6)/17)+1))</f>
        <v/>
      </c>
      <c r="B864" s="21" t="str">
        <f>IF($A864="","",INDEX(Project_Tracker!$AM$2:$AM$101,INT((ROW()-6)/17)+1))</f>
        <v/>
      </c>
      <c r="C864" s="20" t="str">
        <f>IF($A864="","",INDEX(Project_Tracker!$C$2:$C$101,INT((ROW()-6)/17)+1))</f>
        <v/>
      </c>
      <c r="D864" s="6" t="str">
        <f>IF($A864="","",INDEX(Project_Tracker!$T$2:$T$101,INT((ROW()-6)/17)+1))</f>
        <v/>
      </c>
      <c r="E864" s="18">
        <f t="shared" si="65"/>
        <v>9</v>
      </c>
      <c r="F864" s="23" t="str">
        <f>IF($A864="","",INDEX('Logic &amp; Lists'!$I$4:$I$20,$E864))</f>
        <v/>
      </c>
      <c r="G864" s="18" t="str">
        <f>IF($A864="","",INDEX('Logic &amp; Lists'!$J$4:$J$20,$E864))</f>
        <v/>
      </c>
      <c r="H864" s="6" t="str">
        <f t="shared" si="66"/>
        <v/>
      </c>
      <c r="I864" s="18" t="str">
        <f t="shared" ca="1" si="67"/>
        <v/>
      </c>
      <c r="J864" s="5" t="str">
        <f t="shared" si="68"/>
        <v/>
      </c>
      <c r="K864" s="25"/>
      <c r="L864" s="5" t="str">
        <f t="shared" si="69"/>
        <v/>
      </c>
      <c r="M864" s="7"/>
      <c r="N864" s="7"/>
      <c r="O864" s="7"/>
      <c r="P864" s="20" t="str">
        <f>IF($A864="","",INDEX(Project_Tracker!$I$2:$I$101,INT((ROW()-6)/17)+1))</f>
        <v/>
      </c>
      <c r="Q864" s="20" t="str">
        <f>IF($A864="","",INDEX(Project_Tracker!$K$2:$K$101,INT((ROW()-6)/17)+1))</f>
        <v/>
      </c>
    </row>
    <row r="865" spans="1:17" x14ac:dyDescent="0.2">
      <c r="A865" s="20" t="str">
        <f>IF(INDEX(Project_Tracker!$AL$2:$AL$101,INT((ROW()-6)/17)+1)="","",INDEX(Project_Tracker!$AL$2:$AL$101,INT((ROW()-6)/17)+1))</f>
        <v/>
      </c>
      <c r="B865" s="21" t="str">
        <f>IF($A865="","",INDEX(Project_Tracker!$AM$2:$AM$101,INT((ROW()-6)/17)+1))</f>
        <v/>
      </c>
      <c r="C865" s="20" t="str">
        <f>IF($A865="","",INDEX(Project_Tracker!$C$2:$C$101,INT((ROW()-6)/17)+1))</f>
        <v/>
      </c>
      <c r="D865" s="6" t="str">
        <f>IF($A865="","",INDEX(Project_Tracker!$T$2:$T$101,INT((ROW()-6)/17)+1))</f>
        <v/>
      </c>
      <c r="E865" s="18">
        <f t="shared" si="65"/>
        <v>10</v>
      </c>
      <c r="F865" s="23" t="str">
        <f>IF($A865="","",INDEX('Logic &amp; Lists'!$I$4:$I$20,$E865))</f>
        <v/>
      </c>
      <c r="G865" s="18" t="str">
        <f>IF($A865="","",INDEX('Logic &amp; Lists'!$J$4:$J$20,$E865))</f>
        <v/>
      </c>
      <c r="H865" s="6" t="str">
        <f t="shared" si="66"/>
        <v/>
      </c>
      <c r="I865" s="18" t="str">
        <f t="shared" ca="1" si="67"/>
        <v/>
      </c>
      <c r="J865" s="5" t="str">
        <f t="shared" si="68"/>
        <v/>
      </c>
      <c r="K865" s="25"/>
      <c r="L865" s="5" t="str">
        <f t="shared" si="69"/>
        <v/>
      </c>
      <c r="M865" s="7"/>
      <c r="N865" s="7"/>
      <c r="O865" s="7"/>
      <c r="P865" s="20" t="str">
        <f>IF($A865="","",INDEX(Project_Tracker!$I$2:$I$101,INT((ROW()-6)/17)+1))</f>
        <v/>
      </c>
      <c r="Q865" s="20" t="str">
        <f>IF($A865="","",INDEX(Project_Tracker!$K$2:$K$101,INT((ROW()-6)/17)+1))</f>
        <v/>
      </c>
    </row>
    <row r="866" spans="1:17" x14ac:dyDescent="0.2">
      <c r="A866" s="20" t="str">
        <f>IF(INDEX(Project_Tracker!$AL$2:$AL$101,INT((ROW()-6)/17)+1)="","",INDEX(Project_Tracker!$AL$2:$AL$101,INT((ROW()-6)/17)+1))</f>
        <v/>
      </c>
      <c r="B866" s="21" t="str">
        <f>IF($A866="","",INDEX(Project_Tracker!$AM$2:$AM$101,INT((ROW()-6)/17)+1))</f>
        <v/>
      </c>
      <c r="C866" s="20" t="str">
        <f>IF($A866="","",INDEX(Project_Tracker!$C$2:$C$101,INT((ROW()-6)/17)+1))</f>
        <v/>
      </c>
      <c r="D866" s="6" t="str">
        <f>IF($A866="","",INDEX(Project_Tracker!$T$2:$T$101,INT((ROW()-6)/17)+1))</f>
        <v/>
      </c>
      <c r="E866" s="18">
        <f t="shared" si="65"/>
        <v>11</v>
      </c>
      <c r="F866" s="23" t="str">
        <f>IF($A866="","",INDEX('Logic &amp; Lists'!$I$4:$I$20,$E866))</f>
        <v/>
      </c>
      <c r="G866" s="18" t="str">
        <f>IF($A866="","",INDEX('Logic &amp; Lists'!$J$4:$J$20,$E866))</f>
        <v/>
      </c>
      <c r="H866" s="6" t="str">
        <f t="shared" si="66"/>
        <v/>
      </c>
      <c r="I866" s="18" t="str">
        <f t="shared" ca="1" si="67"/>
        <v/>
      </c>
      <c r="J866" s="5" t="str">
        <f t="shared" si="68"/>
        <v/>
      </c>
      <c r="K866" s="25"/>
      <c r="L866" s="5" t="str">
        <f t="shared" si="69"/>
        <v/>
      </c>
      <c r="M866" s="7"/>
      <c r="N866" s="7"/>
      <c r="O866" s="7"/>
      <c r="P866" s="20" t="str">
        <f>IF($A866="","",INDEX(Project_Tracker!$I$2:$I$101,INT((ROW()-6)/17)+1))</f>
        <v/>
      </c>
      <c r="Q866" s="20" t="str">
        <f>IF($A866="","",INDEX(Project_Tracker!$K$2:$K$101,INT((ROW()-6)/17)+1))</f>
        <v/>
      </c>
    </row>
    <row r="867" spans="1:17" x14ac:dyDescent="0.2">
      <c r="A867" s="20" t="str">
        <f>IF(INDEX(Project_Tracker!$AL$2:$AL$101,INT((ROW()-6)/17)+1)="","",INDEX(Project_Tracker!$AL$2:$AL$101,INT((ROW()-6)/17)+1))</f>
        <v/>
      </c>
      <c r="B867" s="21" t="str">
        <f>IF($A867="","",INDEX(Project_Tracker!$AM$2:$AM$101,INT((ROW()-6)/17)+1))</f>
        <v/>
      </c>
      <c r="C867" s="20" t="str">
        <f>IF($A867="","",INDEX(Project_Tracker!$C$2:$C$101,INT((ROW()-6)/17)+1))</f>
        <v/>
      </c>
      <c r="D867" s="6" t="str">
        <f>IF($A867="","",INDEX(Project_Tracker!$T$2:$T$101,INT((ROW()-6)/17)+1))</f>
        <v/>
      </c>
      <c r="E867" s="18">
        <f t="shared" si="65"/>
        <v>12</v>
      </c>
      <c r="F867" s="23" t="str">
        <f>IF($A867="","",INDEX('Logic &amp; Lists'!$I$4:$I$20,$E867))</f>
        <v/>
      </c>
      <c r="G867" s="18" t="str">
        <f>IF($A867="","",INDEX('Logic &amp; Lists'!$J$4:$J$20,$E867))</f>
        <v/>
      </c>
      <c r="H867" s="6" t="str">
        <f t="shared" si="66"/>
        <v/>
      </c>
      <c r="I867" s="18" t="str">
        <f t="shared" ca="1" si="67"/>
        <v/>
      </c>
      <c r="J867" s="5" t="str">
        <f t="shared" si="68"/>
        <v/>
      </c>
      <c r="K867" s="25"/>
      <c r="L867" s="5" t="str">
        <f t="shared" si="69"/>
        <v/>
      </c>
      <c r="M867" s="7"/>
      <c r="N867" s="7"/>
      <c r="O867" s="7"/>
      <c r="P867" s="20" t="str">
        <f>IF($A867="","",INDEX(Project_Tracker!$I$2:$I$101,INT((ROW()-6)/17)+1))</f>
        <v/>
      </c>
      <c r="Q867" s="20" t="str">
        <f>IF($A867="","",INDEX(Project_Tracker!$K$2:$K$101,INT((ROW()-6)/17)+1))</f>
        <v/>
      </c>
    </row>
    <row r="868" spans="1:17" x14ac:dyDescent="0.2">
      <c r="A868" s="20" t="str">
        <f>IF(INDEX(Project_Tracker!$AL$2:$AL$101,INT((ROW()-6)/17)+1)="","",INDEX(Project_Tracker!$AL$2:$AL$101,INT((ROW()-6)/17)+1))</f>
        <v/>
      </c>
      <c r="B868" s="21" t="str">
        <f>IF($A868="","",INDEX(Project_Tracker!$AM$2:$AM$101,INT((ROW()-6)/17)+1))</f>
        <v/>
      </c>
      <c r="C868" s="20" t="str">
        <f>IF($A868="","",INDEX(Project_Tracker!$C$2:$C$101,INT((ROW()-6)/17)+1))</f>
        <v/>
      </c>
      <c r="D868" s="6" t="str">
        <f>IF($A868="","",INDEX(Project_Tracker!$T$2:$T$101,INT((ROW()-6)/17)+1))</f>
        <v/>
      </c>
      <c r="E868" s="18">
        <f t="shared" si="65"/>
        <v>13</v>
      </c>
      <c r="F868" s="23" t="str">
        <f>IF($A868="","",INDEX('Logic &amp; Lists'!$I$4:$I$20,$E868))</f>
        <v/>
      </c>
      <c r="G868" s="18" t="str">
        <f>IF($A868="","",INDEX('Logic &amp; Lists'!$J$4:$J$20,$E868))</f>
        <v/>
      </c>
      <c r="H868" s="6" t="str">
        <f t="shared" si="66"/>
        <v/>
      </c>
      <c r="I868" s="18" t="str">
        <f t="shared" ca="1" si="67"/>
        <v/>
      </c>
      <c r="J868" s="5" t="str">
        <f t="shared" si="68"/>
        <v/>
      </c>
      <c r="K868" s="25"/>
      <c r="L868" s="5" t="str">
        <f t="shared" si="69"/>
        <v/>
      </c>
      <c r="M868" s="7"/>
      <c r="N868" s="7"/>
      <c r="O868" s="7"/>
      <c r="P868" s="20" t="str">
        <f>IF($A868="","",INDEX(Project_Tracker!$I$2:$I$101,INT((ROW()-6)/17)+1))</f>
        <v/>
      </c>
      <c r="Q868" s="20" t="str">
        <f>IF($A868="","",INDEX(Project_Tracker!$K$2:$K$101,INT((ROW()-6)/17)+1))</f>
        <v/>
      </c>
    </row>
    <row r="869" spans="1:17" x14ac:dyDescent="0.2">
      <c r="A869" s="20" t="str">
        <f>IF(INDEX(Project_Tracker!$AL$2:$AL$101,INT((ROW()-6)/17)+1)="","",INDEX(Project_Tracker!$AL$2:$AL$101,INT((ROW()-6)/17)+1))</f>
        <v/>
      </c>
      <c r="B869" s="21" t="str">
        <f>IF($A869="","",INDEX(Project_Tracker!$AM$2:$AM$101,INT((ROW()-6)/17)+1))</f>
        <v/>
      </c>
      <c r="C869" s="20" t="str">
        <f>IF($A869="","",INDEX(Project_Tracker!$C$2:$C$101,INT((ROW()-6)/17)+1))</f>
        <v/>
      </c>
      <c r="D869" s="6" t="str">
        <f>IF($A869="","",INDEX(Project_Tracker!$T$2:$T$101,INT((ROW()-6)/17)+1))</f>
        <v/>
      </c>
      <c r="E869" s="18">
        <f t="shared" si="65"/>
        <v>14</v>
      </c>
      <c r="F869" s="23" t="str">
        <f>IF($A869="","",INDEX('Logic &amp; Lists'!$I$4:$I$20,$E869))</f>
        <v/>
      </c>
      <c r="G869" s="18" t="str">
        <f>IF($A869="","",INDEX('Logic &amp; Lists'!$J$4:$J$20,$E869))</f>
        <v/>
      </c>
      <c r="H869" s="6" t="str">
        <f t="shared" si="66"/>
        <v/>
      </c>
      <c r="I869" s="18" t="str">
        <f t="shared" ca="1" si="67"/>
        <v/>
      </c>
      <c r="J869" s="5" t="str">
        <f t="shared" si="68"/>
        <v/>
      </c>
      <c r="K869" s="25"/>
      <c r="L869" s="5" t="str">
        <f t="shared" si="69"/>
        <v/>
      </c>
      <c r="M869" s="7"/>
      <c r="N869" s="7"/>
      <c r="O869" s="7"/>
      <c r="P869" s="20" t="str">
        <f>IF($A869="","",INDEX(Project_Tracker!$I$2:$I$101,INT((ROW()-6)/17)+1))</f>
        <v/>
      </c>
      <c r="Q869" s="20" t="str">
        <f>IF($A869="","",INDEX(Project_Tracker!$K$2:$K$101,INT((ROW()-6)/17)+1))</f>
        <v/>
      </c>
    </row>
    <row r="870" spans="1:17" x14ac:dyDescent="0.2">
      <c r="A870" s="20" t="str">
        <f>IF(INDEX(Project_Tracker!$AL$2:$AL$101,INT((ROW()-6)/17)+1)="","",INDEX(Project_Tracker!$AL$2:$AL$101,INT((ROW()-6)/17)+1))</f>
        <v/>
      </c>
      <c r="B870" s="21" t="str">
        <f>IF($A870="","",INDEX(Project_Tracker!$AM$2:$AM$101,INT((ROW()-6)/17)+1))</f>
        <v/>
      </c>
      <c r="C870" s="20" t="str">
        <f>IF($A870="","",INDEX(Project_Tracker!$C$2:$C$101,INT((ROW()-6)/17)+1))</f>
        <v/>
      </c>
      <c r="D870" s="6" t="str">
        <f>IF($A870="","",INDEX(Project_Tracker!$T$2:$T$101,INT((ROW()-6)/17)+1))</f>
        <v/>
      </c>
      <c r="E870" s="18">
        <f t="shared" si="65"/>
        <v>15</v>
      </c>
      <c r="F870" s="23" t="str">
        <f>IF($A870="","",INDEX('Logic &amp; Lists'!$I$4:$I$20,$E870))</f>
        <v/>
      </c>
      <c r="G870" s="18" t="str">
        <f>IF($A870="","",INDEX('Logic &amp; Lists'!$J$4:$J$20,$E870))</f>
        <v/>
      </c>
      <c r="H870" s="6" t="str">
        <f t="shared" si="66"/>
        <v/>
      </c>
      <c r="I870" s="18" t="str">
        <f t="shared" ca="1" si="67"/>
        <v/>
      </c>
      <c r="J870" s="5" t="str">
        <f t="shared" si="68"/>
        <v/>
      </c>
      <c r="K870" s="25"/>
      <c r="L870" s="5" t="str">
        <f t="shared" si="69"/>
        <v/>
      </c>
      <c r="M870" s="7"/>
      <c r="N870" s="7"/>
      <c r="O870" s="7"/>
      <c r="P870" s="20" t="str">
        <f>IF($A870="","",INDEX(Project_Tracker!$I$2:$I$101,INT((ROW()-6)/17)+1))</f>
        <v/>
      </c>
      <c r="Q870" s="20" t="str">
        <f>IF($A870="","",INDEX(Project_Tracker!$K$2:$K$101,INT((ROW()-6)/17)+1))</f>
        <v/>
      </c>
    </row>
    <row r="871" spans="1:17" x14ac:dyDescent="0.2">
      <c r="A871" s="20" t="str">
        <f>IF(INDEX(Project_Tracker!$AL$2:$AL$101,INT((ROW()-6)/17)+1)="","",INDEX(Project_Tracker!$AL$2:$AL$101,INT((ROW()-6)/17)+1))</f>
        <v/>
      </c>
      <c r="B871" s="21" t="str">
        <f>IF($A871="","",INDEX(Project_Tracker!$AM$2:$AM$101,INT((ROW()-6)/17)+1))</f>
        <v/>
      </c>
      <c r="C871" s="20" t="str">
        <f>IF($A871="","",INDEX(Project_Tracker!$C$2:$C$101,INT((ROW()-6)/17)+1))</f>
        <v/>
      </c>
      <c r="D871" s="6" t="str">
        <f>IF($A871="","",INDEX(Project_Tracker!$T$2:$T$101,INT((ROW()-6)/17)+1))</f>
        <v/>
      </c>
      <c r="E871" s="18">
        <f t="shared" si="65"/>
        <v>16</v>
      </c>
      <c r="F871" s="23" t="str">
        <f>IF($A871="","",INDEX('Logic &amp; Lists'!$I$4:$I$20,$E871))</f>
        <v/>
      </c>
      <c r="G871" s="18" t="str">
        <f>IF($A871="","",INDEX('Logic &amp; Lists'!$J$4:$J$20,$E871))</f>
        <v/>
      </c>
      <c r="H871" s="6" t="str">
        <f t="shared" si="66"/>
        <v/>
      </c>
      <c r="I871" s="18" t="str">
        <f t="shared" ca="1" si="67"/>
        <v/>
      </c>
      <c r="J871" s="5" t="str">
        <f t="shared" si="68"/>
        <v/>
      </c>
      <c r="K871" s="25"/>
      <c r="L871" s="5" t="str">
        <f t="shared" si="69"/>
        <v/>
      </c>
      <c r="M871" s="7"/>
      <c r="N871" s="7"/>
      <c r="O871" s="7"/>
      <c r="P871" s="20" t="str">
        <f>IF($A871="","",INDEX(Project_Tracker!$I$2:$I$101,INT((ROW()-6)/17)+1))</f>
        <v/>
      </c>
      <c r="Q871" s="20" t="str">
        <f>IF($A871="","",INDEX(Project_Tracker!$K$2:$K$101,INT((ROW()-6)/17)+1))</f>
        <v/>
      </c>
    </row>
    <row r="872" spans="1:17" x14ac:dyDescent="0.2">
      <c r="A872" s="20" t="str">
        <f>IF(INDEX(Project_Tracker!$AL$2:$AL$101,INT((ROW()-6)/17)+1)="","",INDEX(Project_Tracker!$AL$2:$AL$101,INT((ROW()-6)/17)+1))</f>
        <v/>
      </c>
      <c r="B872" s="21" t="str">
        <f>IF($A872="","",INDEX(Project_Tracker!$AM$2:$AM$101,INT((ROW()-6)/17)+1))</f>
        <v/>
      </c>
      <c r="C872" s="20" t="str">
        <f>IF($A872="","",INDEX(Project_Tracker!$C$2:$C$101,INT((ROW()-6)/17)+1))</f>
        <v/>
      </c>
      <c r="D872" s="6" t="str">
        <f>IF($A872="","",INDEX(Project_Tracker!$T$2:$T$101,INT((ROW()-6)/17)+1))</f>
        <v/>
      </c>
      <c r="E872" s="18">
        <f t="shared" si="65"/>
        <v>17</v>
      </c>
      <c r="F872" s="23" t="str">
        <f>IF($A872="","",INDEX('Logic &amp; Lists'!$I$4:$I$20,$E872))</f>
        <v/>
      </c>
      <c r="G872" s="18" t="str">
        <f>IF($A872="","",INDEX('Logic &amp; Lists'!$J$4:$J$20,$E872))</f>
        <v/>
      </c>
      <c r="H872" s="6" t="str">
        <f t="shared" si="66"/>
        <v/>
      </c>
      <c r="I872" s="18" t="str">
        <f t="shared" ca="1" si="67"/>
        <v/>
      </c>
      <c r="J872" s="5" t="str">
        <f t="shared" si="68"/>
        <v/>
      </c>
      <c r="K872" s="25"/>
      <c r="L872" s="5" t="str">
        <f t="shared" si="69"/>
        <v/>
      </c>
      <c r="M872" s="7"/>
      <c r="N872" s="7"/>
      <c r="O872" s="7"/>
      <c r="P872" s="20" t="str">
        <f>IF($A872="","",INDEX(Project_Tracker!$I$2:$I$101,INT((ROW()-6)/17)+1))</f>
        <v/>
      </c>
      <c r="Q872" s="20" t="str">
        <f>IF($A872="","",INDEX(Project_Tracker!$K$2:$K$101,INT((ROW()-6)/17)+1))</f>
        <v/>
      </c>
    </row>
    <row r="873" spans="1:17" x14ac:dyDescent="0.2">
      <c r="A873" s="20" t="str">
        <f>IF(INDEX(Project_Tracker!$AL$2:$AL$101,INT((ROW()-6)/17)+1)="","",INDEX(Project_Tracker!$AL$2:$AL$101,INT((ROW()-6)/17)+1))</f>
        <v/>
      </c>
      <c r="B873" s="21" t="str">
        <f>IF($A873="","",INDEX(Project_Tracker!$AM$2:$AM$101,INT((ROW()-6)/17)+1))</f>
        <v/>
      </c>
      <c r="C873" s="20" t="str">
        <f>IF($A873="","",INDEX(Project_Tracker!$C$2:$C$101,INT((ROW()-6)/17)+1))</f>
        <v/>
      </c>
      <c r="D873" s="6" t="str">
        <f>IF($A873="","",INDEX(Project_Tracker!$T$2:$T$101,INT((ROW()-6)/17)+1))</f>
        <v/>
      </c>
      <c r="E873" s="18">
        <f t="shared" si="65"/>
        <v>1</v>
      </c>
      <c r="F873" s="23" t="str">
        <f>IF($A873="","",INDEX('Logic &amp; Lists'!$I$4:$I$20,$E873))</f>
        <v/>
      </c>
      <c r="G873" s="18" t="str">
        <f>IF($A873="","",INDEX('Logic &amp; Lists'!$J$4:$J$20,$E873))</f>
        <v/>
      </c>
      <c r="H873" s="6" t="str">
        <f t="shared" si="66"/>
        <v/>
      </c>
      <c r="I873" s="18" t="str">
        <f t="shared" ca="1" si="67"/>
        <v/>
      </c>
      <c r="J873" s="5" t="str">
        <f t="shared" si="68"/>
        <v/>
      </c>
      <c r="K873" s="25"/>
      <c r="L873" s="5" t="str">
        <f t="shared" si="69"/>
        <v/>
      </c>
      <c r="M873" s="7"/>
      <c r="N873" s="7"/>
      <c r="O873" s="7"/>
      <c r="P873" s="20" t="str">
        <f>IF($A873="","",INDEX(Project_Tracker!$I$2:$I$101,INT((ROW()-6)/17)+1))</f>
        <v/>
      </c>
      <c r="Q873" s="20" t="str">
        <f>IF($A873="","",INDEX(Project_Tracker!$K$2:$K$101,INT((ROW()-6)/17)+1))</f>
        <v/>
      </c>
    </row>
    <row r="874" spans="1:17" x14ac:dyDescent="0.2">
      <c r="A874" s="20" t="str">
        <f>IF(INDEX(Project_Tracker!$AL$2:$AL$101,INT((ROW()-6)/17)+1)="","",INDEX(Project_Tracker!$AL$2:$AL$101,INT((ROW()-6)/17)+1))</f>
        <v/>
      </c>
      <c r="B874" s="21" t="str">
        <f>IF($A874="","",INDEX(Project_Tracker!$AM$2:$AM$101,INT((ROW()-6)/17)+1))</f>
        <v/>
      </c>
      <c r="C874" s="20" t="str">
        <f>IF($A874="","",INDEX(Project_Tracker!$C$2:$C$101,INT((ROW()-6)/17)+1))</f>
        <v/>
      </c>
      <c r="D874" s="6" t="str">
        <f>IF($A874="","",INDEX(Project_Tracker!$T$2:$T$101,INT((ROW()-6)/17)+1))</f>
        <v/>
      </c>
      <c r="E874" s="18">
        <f t="shared" si="65"/>
        <v>2</v>
      </c>
      <c r="F874" s="23" t="str">
        <f>IF($A874="","",INDEX('Logic &amp; Lists'!$I$4:$I$20,$E874))</f>
        <v/>
      </c>
      <c r="G874" s="18" t="str">
        <f>IF($A874="","",INDEX('Logic &amp; Lists'!$J$4:$J$20,$E874))</f>
        <v/>
      </c>
      <c r="H874" s="6" t="str">
        <f t="shared" si="66"/>
        <v/>
      </c>
      <c r="I874" s="18" t="str">
        <f t="shared" ca="1" si="67"/>
        <v/>
      </c>
      <c r="J874" s="5" t="str">
        <f t="shared" si="68"/>
        <v/>
      </c>
      <c r="K874" s="25"/>
      <c r="L874" s="5" t="str">
        <f t="shared" si="69"/>
        <v/>
      </c>
      <c r="M874" s="7"/>
      <c r="N874" s="7"/>
      <c r="O874" s="7"/>
      <c r="P874" s="20" t="str">
        <f>IF($A874="","",INDEX(Project_Tracker!$I$2:$I$101,INT((ROW()-6)/17)+1))</f>
        <v/>
      </c>
      <c r="Q874" s="20" t="str">
        <f>IF($A874="","",INDEX(Project_Tracker!$K$2:$K$101,INT((ROW()-6)/17)+1))</f>
        <v/>
      </c>
    </row>
    <row r="875" spans="1:17" x14ac:dyDescent="0.2">
      <c r="A875" s="20" t="str">
        <f>IF(INDEX(Project_Tracker!$AL$2:$AL$101,INT((ROW()-6)/17)+1)="","",INDEX(Project_Tracker!$AL$2:$AL$101,INT((ROW()-6)/17)+1))</f>
        <v/>
      </c>
      <c r="B875" s="21" t="str">
        <f>IF($A875="","",INDEX(Project_Tracker!$AM$2:$AM$101,INT((ROW()-6)/17)+1))</f>
        <v/>
      </c>
      <c r="C875" s="20" t="str">
        <f>IF($A875="","",INDEX(Project_Tracker!$C$2:$C$101,INT((ROW()-6)/17)+1))</f>
        <v/>
      </c>
      <c r="D875" s="6" t="str">
        <f>IF($A875="","",INDEX(Project_Tracker!$T$2:$T$101,INT((ROW()-6)/17)+1))</f>
        <v/>
      </c>
      <c r="E875" s="18">
        <f t="shared" si="65"/>
        <v>3</v>
      </c>
      <c r="F875" s="23" t="str">
        <f>IF($A875="","",INDEX('Logic &amp; Lists'!$I$4:$I$20,$E875))</f>
        <v/>
      </c>
      <c r="G875" s="18" t="str">
        <f>IF($A875="","",INDEX('Logic &amp; Lists'!$J$4:$J$20,$E875))</f>
        <v/>
      </c>
      <c r="H875" s="6" t="str">
        <f t="shared" si="66"/>
        <v/>
      </c>
      <c r="I875" s="18" t="str">
        <f t="shared" ca="1" si="67"/>
        <v/>
      </c>
      <c r="J875" s="5" t="str">
        <f t="shared" si="68"/>
        <v/>
      </c>
      <c r="K875" s="25"/>
      <c r="L875" s="5" t="str">
        <f t="shared" si="69"/>
        <v/>
      </c>
      <c r="M875" s="7"/>
      <c r="N875" s="7"/>
      <c r="O875" s="7"/>
      <c r="P875" s="20" t="str">
        <f>IF($A875="","",INDEX(Project_Tracker!$I$2:$I$101,INT((ROW()-6)/17)+1))</f>
        <v/>
      </c>
      <c r="Q875" s="20" t="str">
        <f>IF($A875="","",INDEX(Project_Tracker!$K$2:$K$101,INT((ROW()-6)/17)+1))</f>
        <v/>
      </c>
    </row>
    <row r="876" spans="1:17" x14ac:dyDescent="0.2">
      <c r="A876" s="20" t="str">
        <f>IF(INDEX(Project_Tracker!$AL$2:$AL$101,INT((ROW()-6)/17)+1)="","",INDEX(Project_Tracker!$AL$2:$AL$101,INT((ROW()-6)/17)+1))</f>
        <v/>
      </c>
      <c r="B876" s="21" t="str">
        <f>IF($A876="","",INDEX(Project_Tracker!$AM$2:$AM$101,INT((ROW()-6)/17)+1))</f>
        <v/>
      </c>
      <c r="C876" s="20" t="str">
        <f>IF($A876="","",INDEX(Project_Tracker!$C$2:$C$101,INT((ROW()-6)/17)+1))</f>
        <v/>
      </c>
      <c r="D876" s="6" t="str">
        <f>IF($A876="","",INDEX(Project_Tracker!$T$2:$T$101,INT((ROW()-6)/17)+1))</f>
        <v/>
      </c>
      <c r="E876" s="18">
        <f t="shared" si="65"/>
        <v>4</v>
      </c>
      <c r="F876" s="23" t="str">
        <f>IF($A876="","",INDEX('Logic &amp; Lists'!$I$4:$I$20,$E876))</f>
        <v/>
      </c>
      <c r="G876" s="18" t="str">
        <f>IF($A876="","",INDEX('Logic &amp; Lists'!$J$4:$J$20,$E876))</f>
        <v/>
      </c>
      <c r="H876" s="6" t="str">
        <f t="shared" si="66"/>
        <v/>
      </c>
      <c r="I876" s="18" t="str">
        <f t="shared" ca="1" si="67"/>
        <v/>
      </c>
      <c r="J876" s="5" t="str">
        <f t="shared" si="68"/>
        <v/>
      </c>
      <c r="K876" s="25"/>
      <c r="L876" s="5" t="str">
        <f t="shared" si="69"/>
        <v/>
      </c>
      <c r="M876" s="7"/>
      <c r="N876" s="7"/>
      <c r="O876" s="7"/>
      <c r="P876" s="20" t="str">
        <f>IF($A876="","",INDEX(Project_Tracker!$I$2:$I$101,INT((ROW()-6)/17)+1))</f>
        <v/>
      </c>
      <c r="Q876" s="20" t="str">
        <f>IF($A876="","",INDEX(Project_Tracker!$K$2:$K$101,INT((ROW()-6)/17)+1))</f>
        <v/>
      </c>
    </row>
    <row r="877" spans="1:17" x14ac:dyDescent="0.2">
      <c r="A877" s="20" t="str">
        <f>IF(INDEX(Project_Tracker!$AL$2:$AL$101,INT((ROW()-6)/17)+1)="","",INDEX(Project_Tracker!$AL$2:$AL$101,INT((ROW()-6)/17)+1))</f>
        <v/>
      </c>
      <c r="B877" s="21" t="str">
        <f>IF($A877="","",INDEX(Project_Tracker!$AM$2:$AM$101,INT((ROW()-6)/17)+1))</f>
        <v/>
      </c>
      <c r="C877" s="20" t="str">
        <f>IF($A877="","",INDEX(Project_Tracker!$C$2:$C$101,INT((ROW()-6)/17)+1))</f>
        <v/>
      </c>
      <c r="D877" s="6" t="str">
        <f>IF($A877="","",INDEX(Project_Tracker!$T$2:$T$101,INT((ROW()-6)/17)+1))</f>
        <v/>
      </c>
      <c r="E877" s="18">
        <f t="shared" si="65"/>
        <v>5</v>
      </c>
      <c r="F877" s="23" t="str">
        <f>IF($A877="","",INDEX('Logic &amp; Lists'!$I$4:$I$20,$E877))</f>
        <v/>
      </c>
      <c r="G877" s="18" t="str">
        <f>IF($A877="","",INDEX('Logic &amp; Lists'!$J$4:$J$20,$E877))</f>
        <v/>
      </c>
      <c r="H877" s="6" t="str">
        <f t="shared" si="66"/>
        <v/>
      </c>
      <c r="I877" s="18" t="str">
        <f t="shared" ca="1" si="67"/>
        <v/>
      </c>
      <c r="J877" s="5" t="str">
        <f t="shared" si="68"/>
        <v/>
      </c>
      <c r="K877" s="25"/>
      <c r="L877" s="5" t="str">
        <f t="shared" si="69"/>
        <v/>
      </c>
      <c r="M877" s="7"/>
      <c r="N877" s="7"/>
      <c r="O877" s="7"/>
      <c r="P877" s="20" t="str">
        <f>IF($A877="","",INDEX(Project_Tracker!$I$2:$I$101,INT((ROW()-6)/17)+1))</f>
        <v/>
      </c>
      <c r="Q877" s="20" t="str">
        <f>IF($A877="","",INDEX(Project_Tracker!$K$2:$K$101,INT((ROW()-6)/17)+1))</f>
        <v/>
      </c>
    </row>
    <row r="878" spans="1:17" x14ac:dyDescent="0.2">
      <c r="A878" s="20" t="str">
        <f>IF(INDEX(Project_Tracker!$AL$2:$AL$101,INT((ROW()-6)/17)+1)="","",INDEX(Project_Tracker!$AL$2:$AL$101,INT((ROW()-6)/17)+1))</f>
        <v/>
      </c>
      <c r="B878" s="21" t="str">
        <f>IF($A878="","",INDEX(Project_Tracker!$AM$2:$AM$101,INT((ROW()-6)/17)+1))</f>
        <v/>
      </c>
      <c r="C878" s="20" t="str">
        <f>IF($A878="","",INDEX(Project_Tracker!$C$2:$C$101,INT((ROW()-6)/17)+1))</f>
        <v/>
      </c>
      <c r="D878" s="6" t="str">
        <f>IF($A878="","",INDEX(Project_Tracker!$T$2:$T$101,INT((ROW()-6)/17)+1))</f>
        <v/>
      </c>
      <c r="E878" s="18">
        <f t="shared" si="65"/>
        <v>6</v>
      </c>
      <c r="F878" s="23" t="str">
        <f>IF($A878="","",INDEX('Logic &amp; Lists'!$I$4:$I$20,$E878))</f>
        <v/>
      </c>
      <c r="G878" s="18" t="str">
        <f>IF($A878="","",INDEX('Logic &amp; Lists'!$J$4:$J$20,$E878))</f>
        <v/>
      </c>
      <c r="H878" s="6" t="str">
        <f t="shared" si="66"/>
        <v/>
      </c>
      <c r="I878" s="18" t="str">
        <f t="shared" ca="1" si="67"/>
        <v/>
      </c>
      <c r="J878" s="5" t="str">
        <f t="shared" si="68"/>
        <v/>
      </c>
      <c r="K878" s="25"/>
      <c r="L878" s="5" t="str">
        <f t="shared" si="69"/>
        <v/>
      </c>
      <c r="M878" s="7"/>
      <c r="N878" s="7"/>
      <c r="O878" s="7"/>
      <c r="P878" s="20" t="str">
        <f>IF($A878="","",INDEX(Project_Tracker!$I$2:$I$101,INT((ROW()-6)/17)+1))</f>
        <v/>
      </c>
      <c r="Q878" s="20" t="str">
        <f>IF($A878="","",INDEX(Project_Tracker!$K$2:$K$101,INT((ROW()-6)/17)+1))</f>
        <v/>
      </c>
    </row>
    <row r="879" spans="1:17" x14ac:dyDescent="0.2">
      <c r="A879" s="20" t="str">
        <f>IF(INDEX(Project_Tracker!$AL$2:$AL$101,INT((ROW()-6)/17)+1)="","",INDEX(Project_Tracker!$AL$2:$AL$101,INT((ROW()-6)/17)+1))</f>
        <v/>
      </c>
      <c r="B879" s="21" t="str">
        <f>IF($A879="","",INDEX(Project_Tracker!$AM$2:$AM$101,INT((ROW()-6)/17)+1))</f>
        <v/>
      </c>
      <c r="C879" s="20" t="str">
        <f>IF($A879="","",INDEX(Project_Tracker!$C$2:$C$101,INT((ROW()-6)/17)+1))</f>
        <v/>
      </c>
      <c r="D879" s="6" t="str">
        <f>IF($A879="","",INDEX(Project_Tracker!$T$2:$T$101,INT((ROW()-6)/17)+1))</f>
        <v/>
      </c>
      <c r="E879" s="18">
        <f t="shared" si="65"/>
        <v>7</v>
      </c>
      <c r="F879" s="23" t="str">
        <f>IF($A879="","",INDEX('Logic &amp; Lists'!$I$4:$I$20,$E879))</f>
        <v/>
      </c>
      <c r="G879" s="18" t="str">
        <f>IF($A879="","",INDEX('Logic &amp; Lists'!$J$4:$J$20,$E879))</f>
        <v/>
      </c>
      <c r="H879" s="6" t="str">
        <f t="shared" si="66"/>
        <v/>
      </c>
      <c r="I879" s="18" t="str">
        <f t="shared" ca="1" si="67"/>
        <v/>
      </c>
      <c r="J879" s="5" t="str">
        <f t="shared" si="68"/>
        <v/>
      </c>
      <c r="K879" s="25"/>
      <c r="L879" s="5" t="str">
        <f t="shared" si="69"/>
        <v/>
      </c>
      <c r="M879" s="7"/>
      <c r="N879" s="7"/>
      <c r="O879" s="7"/>
      <c r="P879" s="20" t="str">
        <f>IF($A879="","",INDEX(Project_Tracker!$I$2:$I$101,INT((ROW()-6)/17)+1))</f>
        <v/>
      </c>
      <c r="Q879" s="20" t="str">
        <f>IF($A879="","",INDEX(Project_Tracker!$K$2:$K$101,INT((ROW()-6)/17)+1))</f>
        <v/>
      </c>
    </row>
    <row r="880" spans="1:17" x14ac:dyDescent="0.2">
      <c r="A880" s="20" t="str">
        <f>IF(INDEX(Project_Tracker!$AL$2:$AL$101,INT((ROW()-6)/17)+1)="","",INDEX(Project_Tracker!$AL$2:$AL$101,INT((ROW()-6)/17)+1))</f>
        <v/>
      </c>
      <c r="B880" s="21" t="str">
        <f>IF($A880="","",INDEX(Project_Tracker!$AM$2:$AM$101,INT((ROW()-6)/17)+1))</f>
        <v/>
      </c>
      <c r="C880" s="20" t="str">
        <f>IF($A880="","",INDEX(Project_Tracker!$C$2:$C$101,INT((ROW()-6)/17)+1))</f>
        <v/>
      </c>
      <c r="D880" s="6" t="str">
        <f>IF($A880="","",INDEX(Project_Tracker!$T$2:$T$101,INT((ROW()-6)/17)+1))</f>
        <v/>
      </c>
      <c r="E880" s="18">
        <f t="shared" si="65"/>
        <v>8</v>
      </c>
      <c r="F880" s="23" t="str">
        <f>IF($A880="","",INDEX('Logic &amp; Lists'!$I$4:$I$20,$E880))</f>
        <v/>
      </c>
      <c r="G880" s="18" t="str">
        <f>IF($A880="","",INDEX('Logic &amp; Lists'!$J$4:$J$20,$E880))</f>
        <v/>
      </c>
      <c r="H880" s="6" t="str">
        <f t="shared" si="66"/>
        <v/>
      </c>
      <c r="I880" s="18" t="str">
        <f t="shared" ca="1" si="67"/>
        <v/>
      </c>
      <c r="J880" s="5" t="str">
        <f t="shared" si="68"/>
        <v/>
      </c>
      <c r="K880" s="25"/>
      <c r="L880" s="5" t="str">
        <f t="shared" si="69"/>
        <v/>
      </c>
      <c r="M880" s="7"/>
      <c r="N880" s="7"/>
      <c r="O880" s="7"/>
      <c r="P880" s="20" t="str">
        <f>IF($A880="","",INDEX(Project_Tracker!$I$2:$I$101,INT((ROW()-6)/17)+1))</f>
        <v/>
      </c>
      <c r="Q880" s="20" t="str">
        <f>IF($A880="","",INDEX(Project_Tracker!$K$2:$K$101,INT((ROW()-6)/17)+1))</f>
        <v/>
      </c>
    </row>
    <row r="881" spans="1:17" x14ac:dyDescent="0.2">
      <c r="A881" s="20" t="str">
        <f>IF(INDEX(Project_Tracker!$AL$2:$AL$101,INT((ROW()-6)/17)+1)="","",INDEX(Project_Tracker!$AL$2:$AL$101,INT((ROW()-6)/17)+1))</f>
        <v/>
      </c>
      <c r="B881" s="21" t="str">
        <f>IF($A881="","",INDEX(Project_Tracker!$AM$2:$AM$101,INT((ROW()-6)/17)+1))</f>
        <v/>
      </c>
      <c r="C881" s="20" t="str">
        <f>IF($A881="","",INDEX(Project_Tracker!$C$2:$C$101,INT((ROW()-6)/17)+1))</f>
        <v/>
      </c>
      <c r="D881" s="6" t="str">
        <f>IF($A881="","",INDEX(Project_Tracker!$T$2:$T$101,INT((ROW()-6)/17)+1))</f>
        <v/>
      </c>
      <c r="E881" s="18">
        <f t="shared" si="65"/>
        <v>9</v>
      </c>
      <c r="F881" s="23" t="str">
        <f>IF($A881="","",INDEX('Logic &amp; Lists'!$I$4:$I$20,$E881))</f>
        <v/>
      </c>
      <c r="G881" s="18" t="str">
        <f>IF($A881="","",INDEX('Logic &amp; Lists'!$J$4:$J$20,$E881))</f>
        <v/>
      </c>
      <c r="H881" s="6" t="str">
        <f t="shared" si="66"/>
        <v/>
      </c>
      <c r="I881" s="18" t="str">
        <f t="shared" ca="1" si="67"/>
        <v/>
      </c>
      <c r="J881" s="5" t="str">
        <f t="shared" si="68"/>
        <v/>
      </c>
      <c r="K881" s="25"/>
      <c r="L881" s="5" t="str">
        <f t="shared" si="69"/>
        <v/>
      </c>
      <c r="M881" s="7"/>
      <c r="N881" s="7"/>
      <c r="O881" s="7"/>
      <c r="P881" s="20" t="str">
        <f>IF($A881="","",INDEX(Project_Tracker!$I$2:$I$101,INT((ROW()-6)/17)+1))</f>
        <v/>
      </c>
      <c r="Q881" s="20" t="str">
        <f>IF($A881="","",INDEX(Project_Tracker!$K$2:$K$101,INT((ROW()-6)/17)+1))</f>
        <v/>
      </c>
    </row>
    <row r="882" spans="1:17" x14ac:dyDescent="0.2">
      <c r="A882" s="20" t="str">
        <f>IF(INDEX(Project_Tracker!$AL$2:$AL$101,INT((ROW()-6)/17)+1)="","",INDEX(Project_Tracker!$AL$2:$AL$101,INT((ROW()-6)/17)+1))</f>
        <v/>
      </c>
      <c r="B882" s="21" t="str">
        <f>IF($A882="","",INDEX(Project_Tracker!$AM$2:$AM$101,INT((ROW()-6)/17)+1))</f>
        <v/>
      </c>
      <c r="C882" s="20" t="str">
        <f>IF($A882="","",INDEX(Project_Tracker!$C$2:$C$101,INT((ROW()-6)/17)+1))</f>
        <v/>
      </c>
      <c r="D882" s="6" t="str">
        <f>IF($A882="","",INDEX(Project_Tracker!$T$2:$T$101,INT((ROW()-6)/17)+1))</f>
        <v/>
      </c>
      <c r="E882" s="18">
        <f t="shared" si="65"/>
        <v>10</v>
      </c>
      <c r="F882" s="23" t="str">
        <f>IF($A882="","",INDEX('Logic &amp; Lists'!$I$4:$I$20,$E882))</f>
        <v/>
      </c>
      <c r="G882" s="18" t="str">
        <f>IF($A882="","",INDEX('Logic &amp; Lists'!$J$4:$J$20,$E882))</f>
        <v/>
      </c>
      <c r="H882" s="6" t="str">
        <f t="shared" si="66"/>
        <v/>
      </c>
      <c r="I882" s="18" t="str">
        <f t="shared" ca="1" si="67"/>
        <v/>
      </c>
      <c r="J882" s="5" t="str">
        <f t="shared" si="68"/>
        <v/>
      </c>
      <c r="K882" s="25"/>
      <c r="L882" s="5" t="str">
        <f t="shared" si="69"/>
        <v/>
      </c>
      <c r="M882" s="7"/>
      <c r="N882" s="7"/>
      <c r="O882" s="7"/>
      <c r="P882" s="20" t="str">
        <f>IF($A882="","",INDEX(Project_Tracker!$I$2:$I$101,INT((ROW()-6)/17)+1))</f>
        <v/>
      </c>
      <c r="Q882" s="20" t="str">
        <f>IF($A882="","",INDEX(Project_Tracker!$K$2:$K$101,INT((ROW()-6)/17)+1))</f>
        <v/>
      </c>
    </row>
    <row r="883" spans="1:17" x14ac:dyDescent="0.2">
      <c r="A883" s="20" t="str">
        <f>IF(INDEX(Project_Tracker!$AL$2:$AL$101,INT((ROW()-6)/17)+1)="","",INDEX(Project_Tracker!$AL$2:$AL$101,INT((ROW()-6)/17)+1))</f>
        <v/>
      </c>
      <c r="B883" s="21" t="str">
        <f>IF($A883="","",INDEX(Project_Tracker!$AM$2:$AM$101,INT((ROW()-6)/17)+1))</f>
        <v/>
      </c>
      <c r="C883" s="20" t="str">
        <f>IF($A883="","",INDEX(Project_Tracker!$C$2:$C$101,INT((ROW()-6)/17)+1))</f>
        <v/>
      </c>
      <c r="D883" s="6" t="str">
        <f>IF($A883="","",INDEX(Project_Tracker!$T$2:$T$101,INT((ROW()-6)/17)+1))</f>
        <v/>
      </c>
      <c r="E883" s="18">
        <f t="shared" si="65"/>
        <v>11</v>
      </c>
      <c r="F883" s="23" t="str">
        <f>IF($A883="","",INDEX('Logic &amp; Lists'!$I$4:$I$20,$E883))</f>
        <v/>
      </c>
      <c r="G883" s="18" t="str">
        <f>IF($A883="","",INDEX('Logic &amp; Lists'!$J$4:$J$20,$E883))</f>
        <v/>
      </c>
      <c r="H883" s="6" t="str">
        <f t="shared" si="66"/>
        <v/>
      </c>
      <c r="I883" s="18" t="str">
        <f t="shared" ca="1" si="67"/>
        <v/>
      </c>
      <c r="J883" s="5" t="str">
        <f t="shared" si="68"/>
        <v/>
      </c>
      <c r="K883" s="25"/>
      <c r="L883" s="5" t="str">
        <f t="shared" si="69"/>
        <v/>
      </c>
      <c r="M883" s="7"/>
      <c r="N883" s="7"/>
      <c r="O883" s="7"/>
      <c r="P883" s="20" t="str">
        <f>IF($A883="","",INDEX(Project_Tracker!$I$2:$I$101,INT((ROW()-6)/17)+1))</f>
        <v/>
      </c>
      <c r="Q883" s="20" t="str">
        <f>IF($A883="","",INDEX(Project_Tracker!$K$2:$K$101,INT((ROW()-6)/17)+1))</f>
        <v/>
      </c>
    </row>
    <row r="884" spans="1:17" x14ac:dyDescent="0.2">
      <c r="A884" s="20" t="str">
        <f>IF(INDEX(Project_Tracker!$AL$2:$AL$101,INT((ROW()-6)/17)+1)="","",INDEX(Project_Tracker!$AL$2:$AL$101,INT((ROW()-6)/17)+1))</f>
        <v/>
      </c>
      <c r="B884" s="21" t="str">
        <f>IF($A884="","",INDEX(Project_Tracker!$AM$2:$AM$101,INT((ROW()-6)/17)+1))</f>
        <v/>
      </c>
      <c r="C884" s="20" t="str">
        <f>IF($A884="","",INDEX(Project_Tracker!$C$2:$C$101,INT((ROW()-6)/17)+1))</f>
        <v/>
      </c>
      <c r="D884" s="6" t="str">
        <f>IF($A884="","",INDEX(Project_Tracker!$T$2:$T$101,INT((ROW()-6)/17)+1))</f>
        <v/>
      </c>
      <c r="E884" s="18">
        <f t="shared" si="65"/>
        <v>12</v>
      </c>
      <c r="F884" s="23" t="str">
        <f>IF($A884="","",INDEX('Logic &amp; Lists'!$I$4:$I$20,$E884))</f>
        <v/>
      </c>
      <c r="G884" s="18" t="str">
        <f>IF($A884="","",INDEX('Logic &amp; Lists'!$J$4:$J$20,$E884))</f>
        <v/>
      </c>
      <c r="H884" s="6" t="str">
        <f t="shared" si="66"/>
        <v/>
      </c>
      <c r="I884" s="18" t="str">
        <f t="shared" ca="1" si="67"/>
        <v/>
      </c>
      <c r="J884" s="5" t="str">
        <f t="shared" si="68"/>
        <v/>
      </c>
      <c r="K884" s="25"/>
      <c r="L884" s="5" t="str">
        <f t="shared" si="69"/>
        <v/>
      </c>
      <c r="M884" s="7"/>
      <c r="N884" s="7"/>
      <c r="O884" s="7"/>
      <c r="P884" s="20" t="str">
        <f>IF($A884="","",INDEX(Project_Tracker!$I$2:$I$101,INT((ROW()-6)/17)+1))</f>
        <v/>
      </c>
      <c r="Q884" s="20" t="str">
        <f>IF($A884="","",INDEX(Project_Tracker!$K$2:$K$101,INT((ROW()-6)/17)+1))</f>
        <v/>
      </c>
    </row>
    <row r="885" spans="1:17" x14ac:dyDescent="0.2">
      <c r="A885" s="20" t="str">
        <f>IF(INDEX(Project_Tracker!$AL$2:$AL$101,INT((ROW()-6)/17)+1)="","",INDEX(Project_Tracker!$AL$2:$AL$101,INT((ROW()-6)/17)+1))</f>
        <v/>
      </c>
      <c r="B885" s="21" t="str">
        <f>IF($A885="","",INDEX(Project_Tracker!$AM$2:$AM$101,INT((ROW()-6)/17)+1))</f>
        <v/>
      </c>
      <c r="C885" s="20" t="str">
        <f>IF($A885="","",INDEX(Project_Tracker!$C$2:$C$101,INT((ROW()-6)/17)+1))</f>
        <v/>
      </c>
      <c r="D885" s="6" t="str">
        <f>IF($A885="","",INDEX(Project_Tracker!$T$2:$T$101,INT((ROW()-6)/17)+1))</f>
        <v/>
      </c>
      <c r="E885" s="18">
        <f t="shared" si="65"/>
        <v>13</v>
      </c>
      <c r="F885" s="23" t="str">
        <f>IF($A885="","",INDEX('Logic &amp; Lists'!$I$4:$I$20,$E885))</f>
        <v/>
      </c>
      <c r="G885" s="18" t="str">
        <f>IF($A885="","",INDEX('Logic &amp; Lists'!$J$4:$J$20,$E885))</f>
        <v/>
      </c>
      <c r="H885" s="6" t="str">
        <f t="shared" si="66"/>
        <v/>
      </c>
      <c r="I885" s="18" t="str">
        <f t="shared" ca="1" si="67"/>
        <v/>
      </c>
      <c r="J885" s="5" t="str">
        <f t="shared" si="68"/>
        <v/>
      </c>
      <c r="K885" s="25"/>
      <c r="L885" s="5" t="str">
        <f t="shared" si="69"/>
        <v/>
      </c>
      <c r="M885" s="7"/>
      <c r="N885" s="7"/>
      <c r="O885" s="7"/>
      <c r="P885" s="20" t="str">
        <f>IF($A885="","",INDEX(Project_Tracker!$I$2:$I$101,INT((ROW()-6)/17)+1))</f>
        <v/>
      </c>
      <c r="Q885" s="20" t="str">
        <f>IF($A885="","",INDEX(Project_Tracker!$K$2:$K$101,INT((ROW()-6)/17)+1))</f>
        <v/>
      </c>
    </row>
    <row r="886" spans="1:17" x14ac:dyDescent="0.2">
      <c r="A886" s="20" t="str">
        <f>IF(INDEX(Project_Tracker!$AL$2:$AL$101,INT((ROW()-6)/17)+1)="","",INDEX(Project_Tracker!$AL$2:$AL$101,INT((ROW()-6)/17)+1))</f>
        <v/>
      </c>
      <c r="B886" s="21" t="str">
        <f>IF($A886="","",INDEX(Project_Tracker!$AM$2:$AM$101,INT((ROW()-6)/17)+1))</f>
        <v/>
      </c>
      <c r="C886" s="20" t="str">
        <f>IF($A886="","",INDEX(Project_Tracker!$C$2:$C$101,INT((ROW()-6)/17)+1))</f>
        <v/>
      </c>
      <c r="D886" s="6" t="str">
        <f>IF($A886="","",INDEX(Project_Tracker!$T$2:$T$101,INT((ROW()-6)/17)+1))</f>
        <v/>
      </c>
      <c r="E886" s="18">
        <f t="shared" si="65"/>
        <v>14</v>
      </c>
      <c r="F886" s="23" t="str">
        <f>IF($A886="","",INDEX('Logic &amp; Lists'!$I$4:$I$20,$E886))</f>
        <v/>
      </c>
      <c r="G886" s="18" t="str">
        <f>IF($A886="","",INDEX('Logic &amp; Lists'!$J$4:$J$20,$E886))</f>
        <v/>
      </c>
      <c r="H886" s="6" t="str">
        <f t="shared" si="66"/>
        <v/>
      </c>
      <c r="I886" s="18" t="str">
        <f t="shared" ca="1" si="67"/>
        <v/>
      </c>
      <c r="J886" s="5" t="str">
        <f t="shared" si="68"/>
        <v/>
      </c>
      <c r="K886" s="25"/>
      <c r="L886" s="5" t="str">
        <f t="shared" si="69"/>
        <v/>
      </c>
      <c r="M886" s="7"/>
      <c r="N886" s="7"/>
      <c r="O886" s="7"/>
      <c r="P886" s="20" t="str">
        <f>IF($A886="","",INDEX(Project_Tracker!$I$2:$I$101,INT((ROW()-6)/17)+1))</f>
        <v/>
      </c>
      <c r="Q886" s="20" t="str">
        <f>IF($A886="","",INDEX(Project_Tracker!$K$2:$K$101,INT((ROW()-6)/17)+1))</f>
        <v/>
      </c>
    </row>
    <row r="887" spans="1:17" x14ac:dyDescent="0.2">
      <c r="A887" s="20" t="str">
        <f>IF(INDEX(Project_Tracker!$AL$2:$AL$101,INT((ROW()-6)/17)+1)="","",INDEX(Project_Tracker!$AL$2:$AL$101,INT((ROW()-6)/17)+1))</f>
        <v/>
      </c>
      <c r="B887" s="21" t="str">
        <f>IF($A887="","",INDEX(Project_Tracker!$AM$2:$AM$101,INT((ROW()-6)/17)+1))</f>
        <v/>
      </c>
      <c r="C887" s="20" t="str">
        <f>IF($A887="","",INDEX(Project_Tracker!$C$2:$C$101,INT((ROW()-6)/17)+1))</f>
        <v/>
      </c>
      <c r="D887" s="6" t="str">
        <f>IF($A887="","",INDEX(Project_Tracker!$T$2:$T$101,INT((ROW()-6)/17)+1))</f>
        <v/>
      </c>
      <c r="E887" s="18">
        <f t="shared" si="65"/>
        <v>15</v>
      </c>
      <c r="F887" s="23" t="str">
        <f>IF($A887="","",INDEX('Logic &amp; Lists'!$I$4:$I$20,$E887))</f>
        <v/>
      </c>
      <c r="G887" s="18" t="str">
        <f>IF($A887="","",INDEX('Logic &amp; Lists'!$J$4:$J$20,$E887))</f>
        <v/>
      </c>
      <c r="H887" s="6" t="str">
        <f t="shared" si="66"/>
        <v/>
      </c>
      <c r="I887" s="18" t="str">
        <f t="shared" ca="1" si="67"/>
        <v/>
      </c>
      <c r="J887" s="5" t="str">
        <f t="shared" si="68"/>
        <v/>
      </c>
      <c r="K887" s="25"/>
      <c r="L887" s="5" t="str">
        <f t="shared" si="69"/>
        <v/>
      </c>
      <c r="M887" s="7"/>
      <c r="N887" s="7"/>
      <c r="O887" s="7"/>
      <c r="P887" s="20" t="str">
        <f>IF($A887="","",INDEX(Project_Tracker!$I$2:$I$101,INT((ROW()-6)/17)+1))</f>
        <v/>
      </c>
      <c r="Q887" s="20" t="str">
        <f>IF($A887="","",INDEX(Project_Tracker!$K$2:$K$101,INT((ROW()-6)/17)+1))</f>
        <v/>
      </c>
    </row>
    <row r="888" spans="1:17" x14ac:dyDescent="0.2">
      <c r="A888" s="20" t="str">
        <f>IF(INDEX(Project_Tracker!$AL$2:$AL$101,INT((ROW()-6)/17)+1)="","",INDEX(Project_Tracker!$AL$2:$AL$101,INT((ROW()-6)/17)+1))</f>
        <v/>
      </c>
      <c r="B888" s="21" t="str">
        <f>IF($A888="","",INDEX(Project_Tracker!$AM$2:$AM$101,INT((ROW()-6)/17)+1))</f>
        <v/>
      </c>
      <c r="C888" s="20" t="str">
        <f>IF($A888="","",INDEX(Project_Tracker!$C$2:$C$101,INT((ROW()-6)/17)+1))</f>
        <v/>
      </c>
      <c r="D888" s="6" t="str">
        <f>IF($A888="","",INDEX(Project_Tracker!$T$2:$T$101,INT((ROW()-6)/17)+1))</f>
        <v/>
      </c>
      <c r="E888" s="18">
        <f t="shared" si="65"/>
        <v>16</v>
      </c>
      <c r="F888" s="23" t="str">
        <f>IF($A888="","",INDEX('Logic &amp; Lists'!$I$4:$I$20,$E888))</f>
        <v/>
      </c>
      <c r="G888" s="18" t="str">
        <f>IF($A888="","",INDEX('Logic &amp; Lists'!$J$4:$J$20,$E888))</f>
        <v/>
      </c>
      <c r="H888" s="6" t="str">
        <f t="shared" si="66"/>
        <v/>
      </c>
      <c r="I888" s="18" t="str">
        <f t="shared" ca="1" si="67"/>
        <v/>
      </c>
      <c r="J888" s="5" t="str">
        <f t="shared" si="68"/>
        <v/>
      </c>
      <c r="K888" s="25"/>
      <c r="L888" s="5" t="str">
        <f t="shared" si="69"/>
        <v/>
      </c>
      <c r="M888" s="7"/>
      <c r="N888" s="7"/>
      <c r="O888" s="7"/>
      <c r="P888" s="20" t="str">
        <f>IF($A888="","",INDEX(Project_Tracker!$I$2:$I$101,INT((ROW()-6)/17)+1))</f>
        <v/>
      </c>
      <c r="Q888" s="20" t="str">
        <f>IF($A888="","",INDEX(Project_Tracker!$K$2:$K$101,INT((ROW()-6)/17)+1))</f>
        <v/>
      </c>
    </row>
    <row r="889" spans="1:17" x14ac:dyDescent="0.2">
      <c r="A889" s="20" t="str">
        <f>IF(INDEX(Project_Tracker!$AL$2:$AL$101,INT((ROW()-6)/17)+1)="","",INDEX(Project_Tracker!$AL$2:$AL$101,INT((ROW()-6)/17)+1))</f>
        <v/>
      </c>
      <c r="B889" s="21" t="str">
        <f>IF($A889="","",INDEX(Project_Tracker!$AM$2:$AM$101,INT((ROW()-6)/17)+1))</f>
        <v/>
      </c>
      <c r="C889" s="20" t="str">
        <f>IF($A889="","",INDEX(Project_Tracker!$C$2:$C$101,INT((ROW()-6)/17)+1))</f>
        <v/>
      </c>
      <c r="D889" s="6" t="str">
        <f>IF($A889="","",INDEX(Project_Tracker!$T$2:$T$101,INT((ROW()-6)/17)+1))</f>
        <v/>
      </c>
      <c r="E889" s="18">
        <f t="shared" si="65"/>
        <v>17</v>
      </c>
      <c r="F889" s="23" t="str">
        <f>IF($A889="","",INDEX('Logic &amp; Lists'!$I$4:$I$20,$E889))</f>
        <v/>
      </c>
      <c r="G889" s="18" t="str">
        <f>IF($A889="","",INDEX('Logic &amp; Lists'!$J$4:$J$20,$E889))</f>
        <v/>
      </c>
      <c r="H889" s="6" t="str">
        <f t="shared" si="66"/>
        <v/>
      </c>
      <c r="I889" s="18" t="str">
        <f t="shared" ca="1" si="67"/>
        <v/>
      </c>
      <c r="J889" s="5" t="str">
        <f t="shared" si="68"/>
        <v/>
      </c>
      <c r="K889" s="25"/>
      <c r="L889" s="5" t="str">
        <f t="shared" si="69"/>
        <v/>
      </c>
      <c r="M889" s="7"/>
      <c r="N889" s="7"/>
      <c r="O889" s="7"/>
      <c r="P889" s="20" t="str">
        <f>IF($A889="","",INDEX(Project_Tracker!$I$2:$I$101,INT((ROW()-6)/17)+1))</f>
        <v/>
      </c>
      <c r="Q889" s="20" t="str">
        <f>IF($A889="","",INDEX(Project_Tracker!$K$2:$K$101,INT((ROW()-6)/17)+1))</f>
        <v/>
      </c>
    </row>
    <row r="890" spans="1:17" x14ac:dyDescent="0.2">
      <c r="A890" s="20" t="str">
        <f>IF(INDEX(Project_Tracker!$AL$2:$AL$101,INT((ROW()-6)/17)+1)="","",INDEX(Project_Tracker!$AL$2:$AL$101,INT((ROW()-6)/17)+1))</f>
        <v/>
      </c>
      <c r="B890" s="21" t="str">
        <f>IF($A890="","",INDEX(Project_Tracker!$AM$2:$AM$101,INT((ROW()-6)/17)+1))</f>
        <v/>
      </c>
      <c r="C890" s="20" t="str">
        <f>IF($A890="","",INDEX(Project_Tracker!$C$2:$C$101,INT((ROW()-6)/17)+1))</f>
        <v/>
      </c>
      <c r="D890" s="6" t="str">
        <f>IF($A890="","",INDEX(Project_Tracker!$T$2:$T$101,INT((ROW()-6)/17)+1))</f>
        <v/>
      </c>
      <c r="E890" s="18">
        <f t="shared" si="65"/>
        <v>1</v>
      </c>
      <c r="F890" s="23" t="str">
        <f>IF($A890="","",INDEX('Logic &amp; Lists'!$I$4:$I$20,$E890))</f>
        <v/>
      </c>
      <c r="G890" s="18" t="str">
        <f>IF($A890="","",INDEX('Logic &amp; Lists'!$J$4:$J$20,$E890))</f>
        <v/>
      </c>
      <c r="H890" s="6" t="str">
        <f t="shared" si="66"/>
        <v/>
      </c>
      <c r="I890" s="18" t="str">
        <f t="shared" ca="1" si="67"/>
        <v/>
      </c>
      <c r="J890" s="5" t="str">
        <f t="shared" si="68"/>
        <v/>
      </c>
      <c r="K890" s="25"/>
      <c r="L890" s="5" t="str">
        <f t="shared" si="69"/>
        <v/>
      </c>
      <c r="M890" s="7"/>
      <c r="N890" s="7"/>
      <c r="O890" s="7"/>
      <c r="P890" s="20" t="str">
        <f>IF($A890="","",INDEX(Project_Tracker!$I$2:$I$101,INT((ROW()-6)/17)+1))</f>
        <v/>
      </c>
      <c r="Q890" s="20" t="str">
        <f>IF($A890="","",INDEX(Project_Tracker!$K$2:$K$101,INT((ROW()-6)/17)+1))</f>
        <v/>
      </c>
    </row>
    <row r="891" spans="1:17" x14ac:dyDescent="0.2">
      <c r="A891" s="20" t="str">
        <f>IF(INDEX(Project_Tracker!$AL$2:$AL$101,INT((ROW()-6)/17)+1)="","",INDEX(Project_Tracker!$AL$2:$AL$101,INT((ROW()-6)/17)+1))</f>
        <v/>
      </c>
      <c r="B891" s="21" t="str">
        <f>IF($A891="","",INDEX(Project_Tracker!$AM$2:$AM$101,INT((ROW()-6)/17)+1))</f>
        <v/>
      </c>
      <c r="C891" s="20" t="str">
        <f>IF($A891="","",INDEX(Project_Tracker!$C$2:$C$101,INT((ROW()-6)/17)+1))</f>
        <v/>
      </c>
      <c r="D891" s="6" t="str">
        <f>IF($A891="","",INDEX(Project_Tracker!$T$2:$T$101,INT((ROW()-6)/17)+1))</f>
        <v/>
      </c>
      <c r="E891" s="18">
        <f t="shared" si="65"/>
        <v>2</v>
      </c>
      <c r="F891" s="23" t="str">
        <f>IF($A891="","",INDEX('Logic &amp; Lists'!$I$4:$I$20,$E891))</f>
        <v/>
      </c>
      <c r="G891" s="18" t="str">
        <f>IF($A891="","",INDEX('Logic &amp; Lists'!$J$4:$J$20,$E891))</f>
        <v/>
      </c>
      <c r="H891" s="6" t="str">
        <f t="shared" si="66"/>
        <v/>
      </c>
      <c r="I891" s="18" t="str">
        <f t="shared" ca="1" si="67"/>
        <v/>
      </c>
      <c r="J891" s="5" t="str">
        <f t="shared" si="68"/>
        <v/>
      </c>
      <c r="K891" s="25"/>
      <c r="L891" s="5" t="str">
        <f t="shared" si="69"/>
        <v/>
      </c>
      <c r="M891" s="7"/>
      <c r="N891" s="7"/>
      <c r="O891" s="7"/>
      <c r="P891" s="20" t="str">
        <f>IF($A891="","",INDEX(Project_Tracker!$I$2:$I$101,INT((ROW()-6)/17)+1))</f>
        <v/>
      </c>
      <c r="Q891" s="20" t="str">
        <f>IF($A891="","",INDEX(Project_Tracker!$K$2:$K$101,INT((ROW()-6)/17)+1))</f>
        <v/>
      </c>
    </row>
    <row r="892" spans="1:17" x14ac:dyDescent="0.2">
      <c r="A892" s="20" t="str">
        <f>IF(INDEX(Project_Tracker!$AL$2:$AL$101,INT((ROW()-6)/17)+1)="","",INDEX(Project_Tracker!$AL$2:$AL$101,INT((ROW()-6)/17)+1))</f>
        <v/>
      </c>
      <c r="B892" s="21" t="str">
        <f>IF($A892="","",INDEX(Project_Tracker!$AM$2:$AM$101,INT((ROW()-6)/17)+1))</f>
        <v/>
      </c>
      <c r="C892" s="20" t="str">
        <f>IF($A892="","",INDEX(Project_Tracker!$C$2:$C$101,INT((ROW()-6)/17)+1))</f>
        <v/>
      </c>
      <c r="D892" s="6" t="str">
        <f>IF($A892="","",INDEX(Project_Tracker!$T$2:$T$101,INT((ROW()-6)/17)+1))</f>
        <v/>
      </c>
      <c r="E892" s="18">
        <f t="shared" si="65"/>
        <v>3</v>
      </c>
      <c r="F892" s="23" t="str">
        <f>IF($A892="","",INDEX('Logic &amp; Lists'!$I$4:$I$20,$E892))</f>
        <v/>
      </c>
      <c r="G892" s="18" t="str">
        <f>IF($A892="","",INDEX('Logic &amp; Lists'!$J$4:$J$20,$E892))</f>
        <v/>
      </c>
      <c r="H892" s="6" t="str">
        <f t="shared" si="66"/>
        <v/>
      </c>
      <c r="I892" s="18" t="str">
        <f t="shared" ca="1" si="67"/>
        <v/>
      </c>
      <c r="J892" s="5" t="str">
        <f t="shared" si="68"/>
        <v/>
      </c>
      <c r="K892" s="25"/>
      <c r="L892" s="5" t="str">
        <f t="shared" si="69"/>
        <v/>
      </c>
      <c r="M892" s="7"/>
      <c r="N892" s="7"/>
      <c r="O892" s="7"/>
      <c r="P892" s="20" t="str">
        <f>IF($A892="","",INDEX(Project_Tracker!$I$2:$I$101,INT((ROW()-6)/17)+1))</f>
        <v/>
      </c>
      <c r="Q892" s="20" t="str">
        <f>IF($A892="","",INDEX(Project_Tracker!$K$2:$K$101,INT((ROW()-6)/17)+1))</f>
        <v/>
      </c>
    </row>
    <row r="893" spans="1:17" x14ac:dyDescent="0.2">
      <c r="A893" s="20" t="str">
        <f>IF(INDEX(Project_Tracker!$AL$2:$AL$101,INT((ROW()-6)/17)+1)="","",INDEX(Project_Tracker!$AL$2:$AL$101,INT((ROW()-6)/17)+1))</f>
        <v/>
      </c>
      <c r="B893" s="21" t="str">
        <f>IF($A893="","",INDEX(Project_Tracker!$AM$2:$AM$101,INT((ROW()-6)/17)+1))</f>
        <v/>
      </c>
      <c r="C893" s="20" t="str">
        <f>IF($A893="","",INDEX(Project_Tracker!$C$2:$C$101,INT((ROW()-6)/17)+1))</f>
        <v/>
      </c>
      <c r="D893" s="6" t="str">
        <f>IF($A893="","",INDEX(Project_Tracker!$T$2:$T$101,INT((ROW()-6)/17)+1))</f>
        <v/>
      </c>
      <c r="E893" s="18">
        <f t="shared" si="65"/>
        <v>4</v>
      </c>
      <c r="F893" s="23" t="str">
        <f>IF($A893="","",INDEX('Logic &amp; Lists'!$I$4:$I$20,$E893))</f>
        <v/>
      </c>
      <c r="G893" s="18" t="str">
        <f>IF($A893="","",INDEX('Logic &amp; Lists'!$J$4:$J$20,$E893))</f>
        <v/>
      </c>
      <c r="H893" s="6" t="str">
        <f t="shared" si="66"/>
        <v/>
      </c>
      <c r="I893" s="18" t="str">
        <f t="shared" ca="1" si="67"/>
        <v/>
      </c>
      <c r="J893" s="5" t="str">
        <f t="shared" si="68"/>
        <v/>
      </c>
      <c r="K893" s="25"/>
      <c r="L893" s="5" t="str">
        <f t="shared" si="69"/>
        <v/>
      </c>
      <c r="M893" s="7"/>
      <c r="N893" s="7"/>
      <c r="O893" s="7"/>
      <c r="P893" s="20" t="str">
        <f>IF($A893="","",INDEX(Project_Tracker!$I$2:$I$101,INT((ROW()-6)/17)+1))</f>
        <v/>
      </c>
      <c r="Q893" s="20" t="str">
        <f>IF($A893="","",INDEX(Project_Tracker!$K$2:$K$101,INT((ROW()-6)/17)+1))</f>
        <v/>
      </c>
    </row>
    <row r="894" spans="1:17" x14ac:dyDescent="0.2">
      <c r="A894" s="20" t="str">
        <f>IF(INDEX(Project_Tracker!$AL$2:$AL$101,INT((ROW()-6)/17)+1)="","",INDEX(Project_Tracker!$AL$2:$AL$101,INT((ROW()-6)/17)+1))</f>
        <v/>
      </c>
      <c r="B894" s="21" t="str">
        <f>IF($A894="","",INDEX(Project_Tracker!$AM$2:$AM$101,INT((ROW()-6)/17)+1))</f>
        <v/>
      </c>
      <c r="C894" s="20" t="str">
        <f>IF($A894="","",INDEX(Project_Tracker!$C$2:$C$101,INT((ROW()-6)/17)+1))</f>
        <v/>
      </c>
      <c r="D894" s="6" t="str">
        <f>IF($A894="","",INDEX(Project_Tracker!$T$2:$T$101,INT((ROW()-6)/17)+1))</f>
        <v/>
      </c>
      <c r="E894" s="18">
        <f t="shared" si="65"/>
        <v>5</v>
      </c>
      <c r="F894" s="23" t="str">
        <f>IF($A894="","",INDEX('Logic &amp; Lists'!$I$4:$I$20,$E894))</f>
        <v/>
      </c>
      <c r="G894" s="18" t="str">
        <f>IF($A894="","",INDEX('Logic &amp; Lists'!$J$4:$J$20,$E894))</f>
        <v/>
      </c>
      <c r="H894" s="6" t="str">
        <f t="shared" si="66"/>
        <v/>
      </c>
      <c r="I894" s="18" t="str">
        <f t="shared" ca="1" si="67"/>
        <v/>
      </c>
      <c r="J894" s="5" t="str">
        <f t="shared" si="68"/>
        <v/>
      </c>
      <c r="K894" s="25"/>
      <c r="L894" s="5" t="str">
        <f t="shared" si="69"/>
        <v/>
      </c>
      <c r="M894" s="7"/>
      <c r="N894" s="7"/>
      <c r="O894" s="7"/>
      <c r="P894" s="20" t="str">
        <f>IF($A894="","",INDEX(Project_Tracker!$I$2:$I$101,INT((ROW()-6)/17)+1))</f>
        <v/>
      </c>
      <c r="Q894" s="20" t="str">
        <f>IF($A894="","",INDEX(Project_Tracker!$K$2:$K$101,INT((ROW()-6)/17)+1))</f>
        <v/>
      </c>
    </row>
    <row r="895" spans="1:17" x14ac:dyDescent="0.2">
      <c r="A895" s="20" t="str">
        <f>IF(INDEX(Project_Tracker!$AL$2:$AL$101,INT((ROW()-6)/17)+1)="","",INDEX(Project_Tracker!$AL$2:$AL$101,INT((ROW()-6)/17)+1))</f>
        <v/>
      </c>
      <c r="B895" s="21" t="str">
        <f>IF($A895="","",INDEX(Project_Tracker!$AM$2:$AM$101,INT((ROW()-6)/17)+1))</f>
        <v/>
      </c>
      <c r="C895" s="20" t="str">
        <f>IF($A895="","",INDEX(Project_Tracker!$C$2:$C$101,INT((ROW()-6)/17)+1))</f>
        <v/>
      </c>
      <c r="D895" s="6" t="str">
        <f>IF($A895="","",INDEX(Project_Tracker!$T$2:$T$101,INT((ROW()-6)/17)+1))</f>
        <v/>
      </c>
      <c r="E895" s="18">
        <f t="shared" si="65"/>
        <v>6</v>
      </c>
      <c r="F895" s="23" t="str">
        <f>IF($A895="","",INDEX('Logic &amp; Lists'!$I$4:$I$20,$E895))</f>
        <v/>
      </c>
      <c r="G895" s="18" t="str">
        <f>IF($A895="","",INDEX('Logic &amp; Lists'!$J$4:$J$20,$E895))</f>
        <v/>
      </c>
      <c r="H895" s="6" t="str">
        <f t="shared" si="66"/>
        <v/>
      </c>
      <c r="I895" s="18" t="str">
        <f t="shared" ca="1" si="67"/>
        <v/>
      </c>
      <c r="J895" s="5" t="str">
        <f t="shared" si="68"/>
        <v/>
      </c>
      <c r="K895" s="25"/>
      <c r="L895" s="5" t="str">
        <f t="shared" si="69"/>
        <v/>
      </c>
      <c r="M895" s="7"/>
      <c r="N895" s="7"/>
      <c r="O895" s="7"/>
      <c r="P895" s="20" t="str">
        <f>IF($A895="","",INDEX(Project_Tracker!$I$2:$I$101,INT((ROW()-6)/17)+1))</f>
        <v/>
      </c>
      <c r="Q895" s="20" t="str">
        <f>IF($A895="","",INDEX(Project_Tracker!$K$2:$K$101,INT((ROW()-6)/17)+1))</f>
        <v/>
      </c>
    </row>
    <row r="896" spans="1:17" x14ac:dyDescent="0.2">
      <c r="A896" s="20" t="str">
        <f>IF(INDEX(Project_Tracker!$AL$2:$AL$101,INT((ROW()-6)/17)+1)="","",INDEX(Project_Tracker!$AL$2:$AL$101,INT((ROW()-6)/17)+1))</f>
        <v/>
      </c>
      <c r="B896" s="21" t="str">
        <f>IF($A896="","",INDEX(Project_Tracker!$AM$2:$AM$101,INT((ROW()-6)/17)+1))</f>
        <v/>
      </c>
      <c r="C896" s="20" t="str">
        <f>IF($A896="","",INDEX(Project_Tracker!$C$2:$C$101,INT((ROW()-6)/17)+1))</f>
        <v/>
      </c>
      <c r="D896" s="6" t="str">
        <f>IF($A896="","",INDEX(Project_Tracker!$T$2:$T$101,INT((ROW()-6)/17)+1))</f>
        <v/>
      </c>
      <c r="E896" s="18">
        <f t="shared" si="65"/>
        <v>7</v>
      </c>
      <c r="F896" s="23" t="str">
        <f>IF($A896="","",INDEX('Logic &amp; Lists'!$I$4:$I$20,$E896))</f>
        <v/>
      </c>
      <c r="G896" s="18" t="str">
        <f>IF($A896="","",INDEX('Logic &amp; Lists'!$J$4:$J$20,$E896))</f>
        <v/>
      </c>
      <c r="H896" s="6" t="str">
        <f t="shared" si="66"/>
        <v/>
      </c>
      <c r="I896" s="18" t="str">
        <f t="shared" ca="1" si="67"/>
        <v/>
      </c>
      <c r="J896" s="5" t="str">
        <f t="shared" si="68"/>
        <v/>
      </c>
      <c r="K896" s="25"/>
      <c r="L896" s="5" t="str">
        <f t="shared" si="69"/>
        <v/>
      </c>
      <c r="M896" s="7"/>
      <c r="N896" s="7"/>
      <c r="O896" s="7"/>
      <c r="P896" s="20" t="str">
        <f>IF($A896="","",INDEX(Project_Tracker!$I$2:$I$101,INT((ROW()-6)/17)+1))</f>
        <v/>
      </c>
      <c r="Q896" s="20" t="str">
        <f>IF($A896="","",INDEX(Project_Tracker!$K$2:$K$101,INT((ROW()-6)/17)+1))</f>
        <v/>
      </c>
    </row>
    <row r="897" spans="1:17" x14ac:dyDescent="0.2">
      <c r="A897" s="20" t="str">
        <f>IF(INDEX(Project_Tracker!$AL$2:$AL$101,INT((ROW()-6)/17)+1)="","",INDEX(Project_Tracker!$AL$2:$AL$101,INT((ROW()-6)/17)+1))</f>
        <v/>
      </c>
      <c r="B897" s="21" t="str">
        <f>IF($A897="","",INDEX(Project_Tracker!$AM$2:$AM$101,INT((ROW()-6)/17)+1))</f>
        <v/>
      </c>
      <c r="C897" s="20" t="str">
        <f>IF($A897="","",INDEX(Project_Tracker!$C$2:$C$101,INT((ROW()-6)/17)+1))</f>
        <v/>
      </c>
      <c r="D897" s="6" t="str">
        <f>IF($A897="","",INDEX(Project_Tracker!$T$2:$T$101,INT((ROW()-6)/17)+1))</f>
        <v/>
      </c>
      <c r="E897" s="18">
        <f t="shared" si="65"/>
        <v>8</v>
      </c>
      <c r="F897" s="23" t="str">
        <f>IF($A897="","",INDEX('Logic &amp; Lists'!$I$4:$I$20,$E897))</f>
        <v/>
      </c>
      <c r="G897" s="18" t="str">
        <f>IF($A897="","",INDEX('Logic &amp; Lists'!$J$4:$J$20,$E897))</f>
        <v/>
      </c>
      <c r="H897" s="6" t="str">
        <f t="shared" si="66"/>
        <v/>
      </c>
      <c r="I897" s="18" t="str">
        <f t="shared" ca="1" si="67"/>
        <v/>
      </c>
      <c r="J897" s="5" t="str">
        <f t="shared" si="68"/>
        <v/>
      </c>
      <c r="K897" s="25"/>
      <c r="L897" s="5" t="str">
        <f t="shared" si="69"/>
        <v/>
      </c>
      <c r="M897" s="7"/>
      <c r="N897" s="7"/>
      <c r="O897" s="7"/>
      <c r="P897" s="20" t="str">
        <f>IF($A897="","",INDEX(Project_Tracker!$I$2:$I$101,INT((ROW()-6)/17)+1))</f>
        <v/>
      </c>
      <c r="Q897" s="20" t="str">
        <f>IF($A897="","",INDEX(Project_Tracker!$K$2:$K$101,INT((ROW()-6)/17)+1))</f>
        <v/>
      </c>
    </row>
    <row r="898" spans="1:17" x14ac:dyDescent="0.2">
      <c r="A898" s="20" t="str">
        <f>IF(INDEX(Project_Tracker!$AL$2:$AL$101,INT((ROW()-6)/17)+1)="","",INDEX(Project_Tracker!$AL$2:$AL$101,INT((ROW()-6)/17)+1))</f>
        <v/>
      </c>
      <c r="B898" s="21" t="str">
        <f>IF($A898="","",INDEX(Project_Tracker!$AM$2:$AM$101,INT((ROW()-6)/17)+1))</f>
        <v/>
      </c>
      <c r="C898" s="20" t="str">
        <f>IF($A898="","",INDEX(Project_Tracker!$C$2:$C$101,INT((ROW()-6)/17)+1))</f>
        <v/>
      </c>
      <c r="D898" s="6" t="str">
        <f>IF($A898="","",INDEX(Project_Tracker!$T$2:$T$101,INT((ROW()-6)/17)+1))</f>
        <v/>
      </c>
      <c r="E898" s="18">
        <f t="shared" si="65"/>
        <v>9</v>
      </c>
      <c r="F898" s="23" t="str">
        <f>IF($A898="","",INDEX('Logic &amp; Lists'!$I$4:$I$20,$E898))</f>
        <v/>
      </c>
      <c r="G898" s="18" t="str">
        <f>IF($A898="","",INDEX('Logic &amp; Lists'!$J$4:$J$20,$E898))</f>
        <v/>
      </c>
      <c r="H898" s="6" t="str">
        <f t="shared" si="66"/>
        <v/>
      </c>
      <c r="I898" s="18" t="str">
        <f t="shared" ca="1" si="67"/>
        <v/>
      </c>
      <c r="J898" s="5" t="str">
        <f t="shared" si="68"/>
        <v/>
      </c>
      <c r="K898" s="25"/>
      <c r="L898" s="5" t="str">
        <f t="shared" si="69"/>
        <v/>
      </c>
      <c r="M898" s="7"/>
      <c r="N898" s="7"/>
      <c r="O898" s="7"/>
      <c r="P898" s="20" t="str">
        <f>IF($A898="","",INDEX(Project_Tracker!$I$2:$I$101,INT((ROW()-6)/17)+1))</f>
        <v/>
      </c>
      <c r="Q898" s="20" t="str">
        <f>IF($A898="","",INDEX(Project_Tracker!$K$2:$K$101,INT((ROW()-6)/17)+1))</f>
        <v/>
      </c>
    </row>
    <row r="899" spans="1:17" x14ac:dyDescent="0.2">
      <c r="A899" s="20" t="str">
        <f>IF(INDEX(Project_Tracker!$AL$2:$AL$101,INT((ROW()-6)/17)+1)="","",INDEX(Project_Tracker!$AL$2:$AL$101,INT((ROW()-6)/17)+1))</f>
        <v/>
      </c>
      <c r="B899" s="21" t="str">
        <f>IF($A899="","",INDEX(Project_Tracker!$AM$2:$AM$101,INT((ROW()-6)/17)+1))</f>
        <v/>
      </c>
      <c r="C899" s="20" t="str">
        <f>IF($A899="","",INDEX(Project_Tracker!$C$2:$C$101,INT((ROW()-6)/17)+1))</f>
        <v/>
      </c>
      <c r="D899" s="6" t="str">
        <f>IF($A899="","",INDEX(Project_Tracker!$T$2:$T$101,INT((ROW()-6)/17)+1))</f>
        <v/>
      </c>
      <c r="E899" s="18">
        <f t="shared" si="65"/>
        <v>10</v>
      </c>
      <c r="F899" s="23" t="str">
        <f>IF($A899="","",INDEX('Logic &amp; Lists'!$I$4:$I$20,$E899))</f>
        <v/>
      </c>
      <c r="G899" s="18" t="str">
        <f>IF($A899="","",INDEX('Logic &amp; Lists'!$J$4:$J$20,$E899))</f>
        <v/>
      </c>
      <c r="H899" s="6" t="str">
        <f t="shared" si="66"/>
        <v/>
      </c>
      <c r="I899" s="18" t="str">
        <f t="shared" ca="1" si="67"/>
        <v/>
      </c>
      <c r="J899" s="5" t="str">
        <f t="shared" si="68"/>
        <v/>
      </c>
      <c r="K899" s="25"/>
      <c r="L899" s="5" t="str">
        <f t="shared" si="69"/>
        <v/>
      </c>
      <c r="M899" s="7"/>
      <c r="N899" s="7"/>
      <c r="O899" s="7"/>
      <c r="P899" s="20" t="str">
        <f>IF($A899="","",INDEX(Project_Tracker!$I$2:$I$101,INT((ROW()-6)/17)+1))</f>
        <v/>
      </c>
      <c r="Q899" s="20" t="str">
        <f>IF($A899="","",INDEX(Project_Tracker!$K$2:$K$101,INT((ROW()-6)/17)+1))</f>
        <v/>
      </c>
    </row>
    <row r="900" spans="1:17" x14ac:dyDescent="0.2">
      <c r="A900" s="20" t="str">
        <f>IF(INDEX(Project_Tracker!$AL$2:$AL$101,INT((ROW()-6)/17)+1)="","",INDEX(Project_Tracker!$AL$2:$AL$101,INT((ROW()-6)/17)+1))</f>
        <v/>
      </c>
      <c r="B900" s="21" t="str">
        <f>IF($A900="","",INDEX(Project_Tracker!$AM$2:$AM$101,INT((ROW()-6)/17)+1))</f>
        <v/>
      </c>
      <c r="C900" s="20" t="str">
        <f>IF($A900="","",INDEX(Project_Tracker!$C$2:$C$101,INT((ROW()-6)/17)+1))</f>
        <v/>
      </c>
      <c r="D900" s="6" t="str">
        <f>IF($A900="","",INDEX(Project_Tracker!$T$2:$T$101,INT((ROW()-6)/17)+1))</f>
        <v/>
      </c>
      <c r="E900" s="18">
        <f t="shared" si="65"/>
        <v>11</v>
      </c>
      <c r="F900" s="23" t="str">
        <f>IF($A900="","",INDEX('Logic &amp; Lists'!$I$4:$I$20,$E900))</f>
        <v/>
      </c>
      <c r="G900" s="18" t="str">
        <f>IF($A900="","",INDEX('Logic &amp; Lists'!$J$4:$J$20,$E900))</f>
        <v/>
      </c>
      <c r="H900" s="6" t="str">
        <f t="shared" si="66"/>
        <v/>
      </c>
      <c r="I900" s="18" t="str">
        <f t="shared" ca="1" si="67"/>
        <v/>
      </c>
      <c r="J900" s="5" t="str">
        <f t="shared" si="68"/>
        <v/>
      </c>
      <c r="K900" s="25"/>
      <c r="L900" s="5" t="str">
        <f t="shared" si="69"/>
        <v/>
      </c>
      <c r="M900" s="7"/>
      <c r="N900" s="7"/>
      <c r="O900" s="7"/>
      <c r="P900" s="20" t="str">
        <f>IF($A900="","",INDEX(Project_Tracker!$I$2:$I$101,INT((ROW()-6)/17)+1))</f>
        <v/>
      </c>
      <c r="Q900" s="20" t="str">
        <f>IF($A900="","",INDEX(Project_Tracker!$K$2:$K$101,INT((ROW()-6)/17)+1))</f>
        <v/>
      </c>
    </row>
    <row r="901" spans="1:17" x14ac:dyDescent="0.2">
      <c r="A901" s="20" t="str">
        <f>IF(INDEX(Project_Tracker!$AL$2:$AL$101,INT((ROW()-6)/17)+1)="","",INDEX(Project_Tracker!$AL$2:$AL$101,INT((ROW()-6)/17)+1))</f>
        <v/>
      </c>
      <c r="B901" s="21" t="str">
        <f>IF($A901="","",INDEX(Project_Tracker!$AM$2:$AM$101,INT((ROW()-6)/17)+1))</f>
        <v/>
      </c>
      <c r="C901" s="20" t="str">
        <f>IF($A901="","",INDEX(Project_Tracker!$C$2:$C$101,INT((ROW()-6)/17)+1))</f>
        <v/>
      </c>
      <c r="D901" s="6" t="str">
        <f>IF($A901="","",INDEX(Project_Tracker!$T$2:$T$101,INT((ROW()-6)/17)+1))</f>
        <v/>
      </c>
      <c r="E901" s="18">
        <f t="shared" si="65"/>
        <v>12</v>
      </c>
      <c r="F901" s="23" t="str">
        <f>IF($A901="","",INDEX('Logic &amp; Lists'!$I$4:$I$20,$E901))</f>
        <v/>
      </c>
      <c r="G901" s="18" t="str">
        <f>IF($A901="","",INDEX('Logic &amp; Lists'!$J$4:$J$20,$E901))</f>
        <v/>
      </c>
      <c r="H901" s="6" t="str">
        <f t="shared" si="66"/>
        <v/>
      </c>
      <c r="I901" s="18" t="str">
        <f t="shared" ca="1" si="67"/>
        <v/>
      </c>
      <c r="J901" s="5" t="str">
        <f t="shared" si="68"/>
        <v/>
      </c>
      <c r="K901" s="25"/>
      <c r="L901" s="5" t="str">
        <f t="shared" si="69"/>
        <v/>
      </c>
      <c r="M901" s="7"/>
      <c r="N901" s="7"/>
      <c r="O901" s="7"/>
      <c r="P901" s="20" t="str">
        <f>IF($A901="","",INDEX(Project_Tracker!$I$2:$I$101,INT((ROW()-6)/17)+1))</f>
        <v/>
      </c>
      <c r="Q901" s="20" t="str">
        <f>IF($A901="","",INDEX(Project_Tracker!$K$2:$K$101,INT((ROW()-6)/17)+1))</f>
        <v/>
      </c>
    </row>
    <row r="902" spans="1:17" x14ac:dyDescent="0.2">
      <c r="A902" s="20" t="str">
        <f>IF(INDEX(Project_Tracker!$AL$2:$AL$101,INT((ROW()-6)/17)+1)="","",INDEX(Project_Tracker!$AL$2:$AL$101,INT((ROW()-6)/17)+1))</f>
        <v/>
      </c>
      <c r="B902" s="21" t="str">
        <f>IF($A902="","",INDEX(Project_Tracker!$AM$2:$AM$101,INT((ROW()-6)/17)+1))</f>
        <v/>
      </c>
      <c r="C902" s="20" t="str">
        <f>IF($A902="","",INDEX(Project_Tracker!$C$2:$C$101,INT((ROW()-6)/17)+1))</f>
        <v/>
      </c>
      <c r="D902" s="6" t="str">
        <f>IF($A902="","",INDEX(Project_Tracker!$T$2:$T$101,INT((ROW()-6)/17)+1))</f>
        <v/>
      </c>
      <c r="E902" s="18">
        <f t="shared" ref="E902:E965" si="70">MOD(ROW()-6,17)+1</f>
        <v>13</v>
      </c>
      <c r="F902" s="23" t="str">
        <f>IF($A902="","",INDEX('Logic &amp; Lists'!$I$4:$I$20,$E902))</f>
        <v/>
      </c>
      <c r="G902" s="18" t="str">
        <f>IF($A902="","",INDEX('Logic &amp; Lists'!$J$4:$J$20,$E902))</f>
        <v/>
      </c>
      <c r="H902" s="6" t="str">
        <f t="shared" ref="H902:H965" si="71">IF($D902="","",$D902-$G902)</f>
        <v/>
      </c>
      <c r="I902" s="18" t="str">
        <f t="shared" ref="I902:I965" ca="1" si="72">IF($H902="","",$H902-TODAY())</f>
        <v/>
      </c>
      <c r="J902" s="5" t="str">
        <f t="shared" ref="J902:J965" si="73">IF($A902="","",IF($K902&lt;&gt;"","ORDERED",IF($I902&lt;0,"OVERDUE",IF($I902&lt;=7,"URGENT",IF($I902&lt;=14,"PREPARE","OK")))))</f>
        <v/>
      </c>
      <c r="K902" s="25"/>
      <c r="L902" s="5" t="str">
        <f t="shared" ref="L902:L965" si="74">IF($A902="","",IF($K902="",$J902,IF($K902&lt;=$H902,"Ordered On Time","Ordered Late")))</f>
        <v/>
      </c>
      <c r="M902" s="7"/>
      <c r="N902" s="7"/>
      <c r="O902" s="7"/>
      <c r="P902" s="20" t="str">
        <f>IF($A902="","",INDEX(Project_Tracker!$I$2:$I$101,INT((ROW()-6)/17)+1))</f>
        <v/>
      </c>
      <c r="Q902" s="20" t="str">
        <f>IF($A902="","",INDEX(Project_Tracker!$K$2:$K$101,INT((ROW()-6)/17)+1))</f>
        <v/>
      </c>
    </row>
    <row r="903" spans="1:17" x14ac:dyDescent="0.2">
      <c r="A903" s="20" t="str">
        <f>IF(INDEX(Project_Tracker!$AL$2:$AL$101,INT((ROW()-6)/17)+1)="","",INDEX(Project_Tracker!$AL$2:$AL$101,INT((ROW()-6)/17)+1))</f>
        <v/>
      </c>
      <c r="B903" s="21" t="str">
        <f>IF($A903="","",INDEX(Project_Tracker!$AM$2:$AM$101,INT((ROW()-6)/17)+1))</f>
        <v/>
      </c>
      <c r="C903" s="20" t="str">
        <f>IF($A903="","",INDEX(Project_Tracker!$C$2:$C$101,INT((ROW()-6)/17)+1))</f>
        <v/>
      </c>
      <c r="D903" s="6" t="str">
        <f>IF($A903="","",INDEX(Project_Tracker!$T$2:$T$101,INT((ROW()-6)/17)+1))</f>
        <v/>
      </c>
      <c r="E903" s="18">
        <f t="shared" si="70"/>
        <v>14</v>
      </c>
      <c r="F903" s="23" t="str">
        <f>IF($A903="","",INDEX('Logic &amp; Lists'!$I$4:$I$20,$E903))</f>
        <v/>
      </c>
      <c r="G903" s="18" t="str">
        <f>IF($A903="","",INDEX('Logic &amp; Lists'!$J$4:$J$20,$E903))</f>
        <v/>
      </c>
      <c r="H903" s="6" t="str">
        <f t="shared" si="71"/>
        <v/>
      </c>
      <c r="I903" s="18" t="str">
        <f t="shared" ca="1" si="72"/>
        <v/>
      </c>
      <c r="J903" s="5" t="str">
        <f t="shared" si="73"/>
        <v/>
      </c>
      <c r="K903" s="25"/>
      <c r="L903" s="5" t="str">
        <f t="shared" si="74"/>
        <v/>
      </c>
      <c r="M903" s="7"/>
      <c r="N903" s="7"/>
      <c r="O903" s="7"/>
      <c r="P903" s="20" t="str">
        <f>IF($A903="","",INDEX(Project_Tracker!$I$2:$I$101,INT((ROW()-6)/17)+1))</f>
        <v/>
      </c>
      <c r="Q903" s="20" t="str">
        <f>IF($A903="","",INDEX(Project_Tracker!$K$2:$K$101,INT((ROW()-6)/17)+1))</f>
        <v/>
      </c>
    </row>
    <row r="904" spans="1:17" x14ac:dyDescent="0.2">
      <c r="A904" s="20" t="str">
        <f>IF(INDEX(Project_Tracker!$AL$2:$AL$101,INT((ROW()-6)/17)+1)="","",INDEX(Project_Tracker!$AL$2:$AL$101,INT((ROW()-6)/17)+1))</f>
        <v/>
      </c>
      <c r="B904" s="21" t="str">
        <f>IF($A904="","",INDEX(Project_Tracker!$AM$2:$AM$101,INT((ROW()-6)/17)+1))</f>
        <v/>
      </c>
      <c r="C904" s="20" t="str">
        <f>IF($A904="","",INDEX(Project_Tracker!$C$2:$C$101,INT((ROW()-6)/17)+1))</f>
        <v/>
      </c>
      <c r="D904" s="6" t="str">
        <f>IF($A904="","",INDEX(Project_Tracker!$T$2:$T$101,INT((ROW()-6)/17)+1))</f>
        <v/>
      </c>
      <c r="E904" s="18">
        <f t="shared" si="70"/>
        <v>15</v>
      </c>
      <c r="F904" s="23" t="str">
        <f>IF($A904="","",INDEX('Logic &amp; Lists'!$I$4:$I$20,$E904))</f>
        <v/>
      </c>
      <c r="G904" s="18" t="str">
        <f>IF($A904="","",INDEX('Logic &amp; Lists'!$J$4:$J$20,$E904))</f>
        <v/>
      </c>
      <c r="H904" s="6" t="str">
        <f t="shared" si="71"/>
        <v/>
      </c>
      <c r="I904" s="18" t="str">
        <f t="shared" ca="1" si="72"/>
        <v/>
      </c>
      <c r="J904" s="5" t="str">
        <f t="shared" si="73"/>
        <v/>
      </c>
      <c r="K904" s="25"/>
      <c r="L904" s="5" t="str">
        <f t="shared" si="74"/>
        <v/>
      </c>
      <c r="M904" s="7"/>
      <c r="N904" s="7"/>
      <c r="O904" s="7"/>
      <c r="P904" s="20" t="str">
        <f>IF($A904="","",INDEX(Project_Tracker!$I$2:$I$101,INT((ROW()-6)/17)+1))</f>
        <v/>
      </c>
      <c r="Q904" s="20" t="str">
        <f>IF($A904="","",INDEX(Project_Tracker!$K$2:$K$101,INT((ROW()-6)/17)+1))</f>
        <v/>
      </c>
    </row>
    <row r="905" spans="1:17" x14ac:dyDescent="0.2">
      <c r="A905" s="20" t="str">
        <f>IF(INDEX(Project_Tracker!$AL$2:$AL$101,INT((ROW()-6)/17)+1)="","",INDEX(Project_Tracker!$AL$2:$AL$101,INT((ROW()-6)/17)+1))</f>
        <v/>
      </c>
      <c r="B905" s="21" t="str">
        <f>IF($A905="","",INDEX(Project_Tracker!$AM$2:$AM$101,INT((ROW()-6)/17)+1))</f>
        <v/>
      </c>
      <c r="C905" s="20" t="str">
        <f>IF($A905="","",INDEX(Project_Tracker!$C$2:$C$101,INT((ROW()-6)/17)+1))</f>
        <v/>
      </c>
      <c r="D905" s="6" t="str">
        <f>IF($A905="","",INDEX(Project_Tracker!$T$2:$T$101,INT((ROW()-6)/17)+1))</f>
        <v/>
      </c>
      <c r="E905" s="18">
        <f t="shared" si="70"/>
        <v>16</v>
      </c>
      <c r="F905" s="23" t="str">
        <f>IF($A905="","",INDEX('Logic &amp; Lists'!$I$4:$I$20,$E905))</f>
        <v/>
      </c>
      <c r="G905" s="18" t="str">
        <f>IF($A905="","",INDEX('Logic &amp; Lists'!$J$4:$J$20,$E905))</f>
        <v/>
      </c>
      <c r="H905" s="6" t="str">
        <f t="shared" si="71"/>
        <v/>
      </c>
      <c r="I905" s="18" t="str">
        <f t="shared" ca="1" si="72"/>
        <v/>
      </c>
      <c r="J905" s="5" t="str">
        <f t="shared" si="73"/>
        <v/>
      </c>
      <c r="K905" s="25"/>
      <c r="L905" s="5" t="str">
        <f t="shared" si="74"/>
        <v/>
      </c>
      <c r="M905" s="7"/>
      <c r="N905" s="7"/>
      <c r="O905" s="7"/>
      <c r="P905" s="20" t="str">
        <f>IF($A905="","",INDEX(Project_Tracker!$I$2:$I$101,INT((ROW()-6)/17)+1))</f>
        <v/>
      </c>
      <c r="Q905" s="20" t="str">
        <f>IF($A905="","",INDEX(Project_Tracker!$K$2:$K$101,INT((ROW()-6)/17)+1))</f>
        <v/>
      </c>
    </row>
    <row r="906" spans="1:17" x14ac:dyDescent="0.2">
      <c r="A906" s="20" t="str">
        <f>IF(INDEX(Project_Tracker!$AL$2:$AL$101,INT((ROW()-6)/17)+1)="","",INDEX(Project_Tracker!$AL$2:$AL$101,INT((ROW()-6)/17)+1))</f>
        <v/>
      </c>
      <c r="B906" s="21" t="str">
        <f>IF($A906="","",INDEX(Project_Tracker!$AM$2:$AM$101,INT((ROW()-6)/17)+1))</f>
        <v/>
      </c>
      <c r="C906" s="20" t="str">
        <f>IF($A906="","",INDEX(Project_Tracker!$C$2:$C$101,INT((ROW()-6)/17)+1))</f>
        <v/>
      </c>
      <c r="D906" s="6" t="str">
        <f>IF($A906="","",INDEX(Project_Tracker!$T$2:$T$101,INT((ROW()-6)/17)+1))</f>
        <v/>
      </c>
      <c r="E906" s="18">
        <f t="shared" si="70"/>
        <v>17</v>
      </c>
      <c r="F906" s="23" t="str">
        <f>IF($A906="","",INDEX('Logic &amp; Lists'!$I$4:$I$20,$E906))</f>
        <v/>
      </c>
      <c r="G906" s="18" t="str">
        <f>IF($A906="","",INDEX('Logic &amp; Lists'!$J$4:$J$20,$E906))</f>
        <v/>
      </c>
      <c r="H906" s="6" t="str">
        <f t="shared" si="71"/>
        <v/>
      </c>
      <c r="I906" s="18" t="str">
        <f t="shared" ca="1" si="72"/>
        <v/>
      </c>
      <c r="J906" s="5" t="str">
        <f t="shared" si="73"/>
        <v/>
      </c>
      <c r="K906" s="25"/>
      <c r="L906" s="5" t="str">
        <f t="shared" si="74"/>
        <v/>
      </c>
      <c r="M906" s="7"/>
      <c r="N906" s="7"/>
      <c r="O906" s="7"/>
      <c r="P906" s="20" t="str">
        <f>IF($A906="","",INDEX(Project_Tracker!$I$2:$I$101,INT((ROW()-6)/17)+1))</f>
        <v/>
      </c>
      <c r="Q906" s="20" t="str">
        <f>IF($A906="","",INDEX(Project_Tracker!$K$2:$K$101,INT((ROW()-6)/17)+1))</f>
        <v/>
      </c>
    </row>
    <row r="907" spans="1:17" x14ac:dyDescent="0.2">
      <c r="A907" s="20" t="str">
        <f>IF(INDEX(Project_Tracker!$AL$2:$AL$101,INT((ROW()-6)/17)+1)="","",INDEX(Project_Tracker!$AL$2:$AL$101,INT((ROW()-6)/17)+1))</f>
        <v/>
      </c>
      <c r="B907" s="21" t="str">
        <f>IF($A907="","",INDEX(Project_Tracker!$AM$2:$AM$101,INT((ROW()-6)/17)+1))</f>
        <v/>
      </c>
      <c r="C907" s="20" t="str">
        <f>IF($A907="","",INDEX(Project_Tracker!$C$2:$C$101,INT((ROW()-6)/17)+1))</f>
        <v/>
      </c>
      <c r="D907" s="6" t="str">
        <f>IF($A907="","",INDEX(Project_Tracker!$T$2:$T$101,INT((ROW()-6)/17)+1))</f>
        <v/>
      </c>
      <c r="E907" s="18">
        <f t="shared" si="70"/>
        <v>1</v>
      </c>
      <c r="F907" s="23" t="str">
        <f>IF($A907="","",INDEX('Logic &amp; Lists'!$I$4:$I$20,$E907))</f>
        <v/>
      </c>
      <c r="G907" s="18" t="str">
        <f>IF($A907="","",INDEX('Logic &amp; Lists'!$J$4:$J$20,$E907))</f>
        <v/>
      </c>
      <c r="H907" s="6" t="str">
        <f t="shared" si="71"/>
        <v/>
      </c>
      <c r="I907" s="18" t="str">
        <f t="shared" ca="1" si="72"/>
        <v/>
      </c>
      <c r="J907" s="5" t="str">
        <f t="shared" si="73"/>
        <v/>
      </c>
      <c r="K907" s="25"/>
      <c r="L907" s="5" t="str">
        <f t="shared" si="74"/>
        <v/>
      </c>
      <c r="M907" s="7"/>
      <c r="N907" s="7"/>
      <c r="O907" s="7"/>
      <c r="P907" s="20" t="str">
        <f>IF($A907="","",INDEX(Project_Tracker!$I$2:$I$101,INT((ROW()-6)/17)+1))</f>
        <v/>
      </c>
      <c r="Q907" s="20" t="str">
        <f>IF($A907="","",INDEX(Project_Tracker!$K$2:$K$101,INT((ROW()-6)/17)+1))</f>
        <v/>
      </c>
    </row>
    <row r="908" spans="1:17" x14ac:dyDescent="0.2">
      <c r="A908" s="20" t="str">
        <f>IF(INDEX(Project_Tracker!$AL$2:$AL$101,INT((ROW()-6)/17)+1)="","",INDEX(Project_Tracker!$AL$2:$AL$101,INT((ROW()-6)/17)+1))</f>
        <v/>
      </c>
      <c r="B908" s="21" t="str">
        <f>IF($A908="","",INDEX(Project_Tracker!$AM$2:$AM$101,INT((ROW()-6)/17)+1))</f>
        <v/>
      </c>
      <c r="C908" s="20" t="str">
        <f>IF($A908="","",INDEX(Project_Tracker!$C$2:$C$101,INT((ROW()-6)/17)+1))</f>
        <v/>
      </c>
      <c r="D908" s="6" t="str">
        <f>IF($A908="","",INDEX(Project_Tracker!$T$2:$T$101,INT((ROW()-6)/17)+1))</f>
        <v/>
      </c>
      <c r="E908" s="18">
        <f t="shared" si="70"/>
        <v>2</v>
      </c>
      <c r="F908" s="23" t="str">
        <f>IF($A908="","",INDEX('Logic &amp; Lists'!$I$4:$I$20,$E908))</f>
        <v/>
      </c>
      <c r="G908" s="18" t="str">
        <f>IF($A908="","",INDEX('Logic &amp; Lists'!$J$4:$J$20,$E908))</f>
        <v/>
      </c>
      <c r="H908" s="6" t="str">
        <f t="shared" si="71"/>
        <v/>
      </c>
      <c r="I908" s="18" t="str">
        <f t="shared" ca="1" si="72"/>
        <v/>
      </c>
      <c r="J908" s="5" t="str">
        <f t="shared" si="73"/>
        <v/>
      </c>
      <c r="K908" s="25"/>
      <c r="L908" s="5" t="str">
        <f t="shared" si="74"/>
        <v/>
      </c>
      <c r="M908" s="7"/>
      <c r="N908" s="7"/>
      <c r="O908" s="7"/>
      <c r="P908" s="20" t="str">
        <f>IF($A908="","",INDEX(Project_Tracker!$I$2:$I$101,INT((ROW()-6)/17)+1))</f>
        <v/>
      </c>
      <c r="Q908" s="20" t="str">
        <f>IF($A908="","",INDEX(Project_Tracker!$K$2:$K$101,INT((ROW()-6)/17)+1))</f>
        <v/>
      </c>
    </row>
    <row r="909" spans="1:17" x14ac:dyDescent="0.2">
      <c r="A909" s="20" t="str">
        <f>IF(INDEX(Project_Tracker!$AL$2:$AL$101,INT((ROW()-6)/17)+1)="","",INDEX(Project_Tracker!$AL$2:$AL$101,INT((ROW()-6)/17)+1))</f>
        <v/>
      </c>
      <c r="B909" s="21" t="str">
        <f>IF($A909="","",INDEX(Project_Tracker!$AM$2:$AM$101,INT((ROW()-6)/17)+1))</f>
        <v/>
      </c>
      <c r="C909" s="20" t="str">
        <f>IF($A909="","",INDEX(Project_Tracker!$C$2:$C$101,INT((ROW()-6)/17)+1))</f>
        <v/>
      </c>
      <c r="D909" s="6" t="str">
        <f>IF($A909="","",INDEX(Project_Tracker!$T$2:$T$101,INT((ROW()-6)/17)+1))</f>
        <v/>
      </c>
      <c r="E909" s="18">
        <f t="shared" si="70"/>
        <v>3</v>
      </c>
      <c r="F909" s="23" t="str">
        <f>IF($A909="","",INDEX('Logic &amp; Lists'!$I$4:$I$20,$E909))</f>
        <v/>
      </c>
      <c r="G909" s="18" t="str">
        <f>IF($A909="","",INDEX('Logic &amp; Lists'!$J$4:$J$20,$E909))</f>
        <v/>
      </c>
      <c r="H909" s="6" t="str">
        <f t="shared" si="71"/>
        <v/>
      </c>
      <c r="I909" s="18" t="str">
        <f t="shared" ca="1" si="72"/>
        <v/>
      </c>
      <c r="J909" s="5" t="str">
        <f t="shared" si="73"/>
        <v/>
      </c>
      <c r="K909" s="25"/>
      <c r="L909" s="5" t="str">
        <f t="shared" si="74"/>
        <v/>
      </c>
      <c r="M909" s="7"/>
      <c r="N909" s="7"/>
      <c r="O909" s="7"/>
      <c r="P909" s="20" t="str">
        <f>IF($A909="","",INDEX(Project_Tracker!$I$2:$I$101,INT((ROW()-6)/17)+1))</f>
        <v/>
      </c>
      <c r="Q909" s="20" t="str">
        <f>IF($A909="","",INDEX(Project_Tracker!$K$2:$K$101,INT((ROW()-6)/17)+1))</f>
        <v/>
      </c>
    </row>
    <row r="910" spans="1:17" x14ac:dyDescent="0.2">
      <c r="A910" s="20" t="str">
        <f>IF(INDEX(Project_Tracker!$AL$2:$AL$101,INT((ROW()-6)/17)+1)="","",INDEX(Project_Tracker!$AL$2:$AL$101,INT((ROW()-6)/17)+1))</f>
        <v/>
      </c>
      <c r="B910" s="21" t="str">
        <f>IF($A910="","",INDEX(Project_Tracker!$AM$2:$AM$101,INT((ROW()-6)/17)+1))</f>
        <v/>
      </c>
      <c r="C910" s="20" t="str">
        <f>IF($A910="","",INDEX(Project_Tracker!$C$2:$C$101,INT((ROW()-6)/17)+1))</f>
        <v/>
      </c>
      <c r="D910" s="6" t="str">
        <f>IF($A910="","",INDEX(Project_Tracker!$T$2:$T$101,INT((ROW()-6)/17)+1))</f>
        <v/>
      </c>
      <c r="E910" s="18">
        <f t="shared" si="70"/>
        <v>4</v>
      </c>
      <c r="F910" s="23" t="str">
        <f>IF($A910="","",INDEX('Logic &amp; Lists'!$I$4:$I$20,$E910))</f>
        <v/>
      </c>
      <c r="G910" s="18" t="str">
        <f>IF($A910="","",INDEX('Logic &amp; Lists'!$J$4:$J$20,$E910))</f>
        <v/>
      </c>
      <c r="H910" s="6" t="str">
        <f t="shared" si="71"/>
        <v/>
      </c>
      <c r="I910" s="18" t="str">
        <f t="shared" ca="1" si="72"/>
        <v/>
      </c>
      <c r="J910" s="5" t="str">
        <f t="shared" si="73"/>
        <v/>
      </c>
      <c r="K910" s="25"/>
      <c r="L910" s="5" t="str">
        <f t="shared" si="74"/>
        <v/>
      </c>
      <c r="M910" s="7"/>
      <c r="N910" s="7"/>
      <c r="O910" s="7"/>
      <c r="P910" s="20" t="str">
        <f>IF($A910="","",INDEX(Project_Tracker!$I$2:$I$101,INT((ROW()-6)/17)+1))</f>
        <v/>
      </c>
      <c r="Q910" s="20" t="str">
        <f>IF($A910="","",INDEX(Project_Tracker!$K$2:$K$101,INT((ROW()-6)/17)+1))</f>
        <v/>
      </c>
    </row>
    <row r="911" spans="1:17" x14ac:dyDescent="0.2">
      <c r="A911" s="20" t="str">
        <f>IF(INDEX(Project_Tracker!$AL$2:$AL$101,INT((ROW()-6)/17)+1)="","",INDEX(Project_Tracker!$AL$2:$AL$101,INT((ROW()-6)/17)+1))</f>
        <v/>
      </c>
      <c r="B911" s="21" t="str">
        <f>IF($A911="","",INDEX(Project_Tracker!$AM$2:$AM$101,INT((ROW()-6)/17)+1))</f>
        <v/>
      </c>
      <c r="C911" s="20" t="str">
        <f>IF($A911="","",INDEX(Project_Tracker!$C$2:$C$101,INT((ROW()-6)/17)+1))</f>
        <v/>
      </c>
      <c r="D911" s="6" t="str">
        <f>IF($A911="","",INDEX(Project_Tracker!$T$2:$T$101,INT((ROW()-6)/17)+1))</f>
        <v/>
      </c>
      <c r="E911" s="18">
        <f t="shared" si="70"/>
        <v>5</v>
      </c>
      <c r="F911" s="23" t="str">
        <f>IF($A911="","",INDEX('Logic &amp; Lists'!$I$4:$I$20,$E911))</f>
        <v/>
      </c>
      <c r="G911" s="18" t="str">
        <f>IF($A911="","",INDEX('Logic &amp; Lists'!$J$4:$J$20,$E911))</f>
        <v/>
      </c>
      <c r="H911" s="6" t="str">
        <f t="shared" si="71"/>
        <v/>
      </c>
      <c r="I911" s="18" t="str">
        <f t="shared" ca="1" si="72"/>
        <v/>
      </c>
      <c r="J911" s="5" t="str">
        <f t="shared" si="73"/>
        <v/>
      </c>
      <c r="K911" s="25"/>
      <c r="L911" s="5" t="str">
        <f t="shared" si="74"/>
        <v/>
      </c>
      <c r="M911" s="7"/>
      <c r="N911" s="7"/>
      <c r="O911" s="7"/>
      <c r="P911" s="20" t="str">
        <f>IF($A911="","",INDEX(Project_Tracker!$I$2:$I$101,INT((ROW()-6)/17)+1))</f>
        <v/>
      </c>
      <c r="Q911" s="20" t="str">
        <f>IF($A911="","",INDEX(Project_Tracker!$K$2:$K$101,INT((ROW()-6)/17)+1))</f>
        <v/>
      </c>
    </row>
    <row r="912" spans="1:17" x14ac:dyDescent="0.2">
      <c r="A912" s="20" t="str">
        <f>IF(INDEX(Project_Tracker!$AL$2:$AL$101,INT((ROW()-6)/17)+1)="","",INDEX(Project_Tracker!$AL$2:$AL$101,INT((ROW()-6)/17)+1))</f>
        <v/>
      </c>
      <c r="B912" s="21" t="str">
        <f>IF($A912="","",INDEX(Project_Tracker!$AM$2:$AM$101,INT((ROW()-6)/17)+1))</f>
        <v/>
      </c>
      <c r="C912" s="20" t="str">
        <f>IF($A912="","",INDEX(Project_Tracker!$C$2:$C$101,INT((ROW()-6)/17)+1))</f>
        <v/>
      </c>
      <c r="D912" s="6" t="str">
        <f>IF($A912="","",INDEX(Project_Tracker!$T$2:$T$101,INT((ROW()-6)/17)+1))</f>
        <v/>
      </c>
      <c r="E912" s="18">
        <f t="shared" si="70"/>
        <v>6</v>
      </c>
      <c r="F912" s="23" t="str">
        <f>IF($A912="","",INDEX('Logic &amp; Lists'!$I$4:$I$20,$E912))</f>
        <v/>
      </c>
      <c r="G912" s="18" t="str">
        <f>IF($A912="","",INDEX('Logic &amp; Lists'!$J$4:$J$20,$E912))</f>
        <v/>
      </c>
      <c r="H912" s="6" t="str">
        <f t="shared" si="71"/>
        <v/>
      </c>
      <c r="I912" s="18" t="str">
        <f t="shared" ca="1" si="72"/>
        <v/>
      </c>
      <c r="J912" s="5" t="str">
        <f t="shared" si="73"/>
        <v/>
      </c>
      <c r="K912" s="25"/>
      <c r="L912" s="5" t="str">
        <f t="shared" si="74"/>
        <v/>
      </c>
      <c r="M912" s="7"/>
      <c r="N912" s="7"/>
      <c r="O912" s="7"/>
      <c r="P912" s="20" t="str">
        <f>IF($A912="","",INDEX(Project_Tracker!$I$2:$I$101,INT((ROW()-6)/17)+1))</f>
        <v/>
      </c>
      <c r="Q912" s="20" t="str">
        <f>IF($A912="","",INDEX(Project_Tracker!$K$2:$K$101,INT((ROW()-6)/17)+1))</f>
        <v/>
      </c>
    </row>
    <row r="913" spans="1:17" x14ac:dyDescent="0.2">
      <c r="A913" s="20" t="str">
        <f>IF(INDEX(Project_Tracker!$AL$2:$AL$101,INT((ROW()-6)/17)+1)="","",INDEX(Project_Tracker!$AL$2:$AL$101,INT((ROW()-6)/17)+1))</f>
        <v/>
      </c>
      <c r="B913" s="21" t="str">
        <f>IF($A913="","",INDEX(Project_Tracker!$AM$2:$AM$101,INT((ROW()-6)/17)+1))</f>
        <v/>
      </c>
      <c r="C913" s="20" t="str">
        <f>IF($A913="","",INDEX(Project_Tracker!$C$2:$C$101,INT((ROW()-6)/17)+1))</f>
        <v/>
      </c>
      <c r="D913" s="6" t="str">
        <f>IF($A913="","",INDEX(Project_Tracker!$T$2:$T$101,INT((ROW()-6)/17)+1))</f>
        <v/>
      </c>
      <c r="E913" s="18">
        <f t="shared" si="70"/>
        <v>7</v>
      </c>
      <c r="F913" s="23" t="str">
        <f>IF($A913="","",INDEX('Logic &amp; Lists'!$I$4:$I$20,$E913))</f>
        <v/>
      </c>
      <c r="G913" s="18" t="str">
        <f>IF($A913="","",INDEX('Logic &amp; Lists'!$J$4:$J$20,$E913))</f>
        <v/>
      </c>
      <c r="H913" s="6" t="str">
        <f t="shared" si="71"/>
        <v/>
      </c>
      <c r="I913" s="18" t="str">
        <f t="shared" ca="1" si="72"/>
        <v/>
      </c>
      <c r="J913" s="5" t="str">
        <f t="shared" si="73"/>
        <v/>
      </c>
      <c r="K913" s="25"/>
      <c r="L913" s="5" t="str">
        <f t="shared" si="74"/>
        <v/>
      </c>
      <c r="M913" s="7"/>
      <c r="N913" s="7"/>
      <c r="O913" s="7"/>
      <c r="P913" s="20" t="str">
        <f>IF($A913="","",INDEX(Project_Tracker!$I$2:$I$101,INT((ROW()-6)/17)+1))</f>
        <v/>
      </c>
      <c r="Q913" s="20" t="str">
        <f>IF($A913="","",INDEX(Project_Tracker!$K$2:$K$101,INT((ROW()-6)/17)+1))</f>
        <v/>
      </c>
    </row>
    <row r="914" spans="1:17" x14ac:dyDescent="0.2">
      <c r="A914" s="20" t="str">
        <f>IF(INDEX(Project_Tracker!$AL$2:$AL$101,INT((ROW()-6)/17)+1)="","",INDEX(Project_Tracker!$AL$2:$AL$101,INT((ROW()-6)/17)+1))</f>
        <v/>
      </c>
      <c r="B914" s="21" t="str">
        <f>IF($A914="","",INDEX(Project_Tracker!$AM$2:$AM$101,INT((ROW()-6)/17)+1))</f>
        <v/>
      </c>
      <c r="C914" s="20" t="str">
        <f>IF($A914="","",INDEX(Project_Tracker!$C$2:$C$101,INT((ROW()-6)/17)+1))</f>
        <v/>
      </c>
      <c r="D914" s="6" t="str">
        <f>IF($A914="","",INDEX(Project_Tracker!$T$2:$T$101,INT((ROW()-6)/17)+1))</f>
        <v/>
      </c>
      <c r="E914" s="18">
        <f t="shared" si="70"/>
        <v>8</v>
      </c>
      <c r="F914" s="23" t="str">
        <f>IF($A914="","",INDEX('Logic &amp; Lists'!$I$4:$I$20,$E914))</f>
        <v/>
      </c>
      <c r="G914" s="18" t="str">
        <f>IF($A914="","",INDEX('Logic &amp; Lists'!$J$4:$J$20,$E914))</f>
        <v/>
      </c>
      <c r="H914" s="6" t="str">
        <f t="shared" si="71"/>
        <v/>
      </c>
      <c r="I914" s="18" t="str">
        <f t="shared" ca="1" si="72"/>
        <v/>
      </c>
      <c r="J914" s="5" t="str">
        <f t="shared" si="73"/>
        <v/>
      </c>
      <c r="K914" s="25"/>
      <c r="L914" s="5" t="str">
        <f t="shared" si="74"/>
        <v/>
      </c>
      <c r="M914" s="7"/>
      <c r="N914" s="7"/>
      <c r="O914" s="7"/>
      <c r="P914" s="20" t="str">
        <f>IF($A914="","",INDEX(Project_Tracker!$I$2:$I$101,INT((ROW()-6)/17)+1))</f>
        <v/>
      </c>
      <c r="Q914" s="20" t="str">
        <f>IF($A914="","",INDEX(Project_Tracker!$K$2:$K$101,INT((ROW()-6)/17)+1))</f>
        <v/>
      </c>
    </row>
    <row r="915" spans="1:17" x14ac:dyDescent="0.2">
      <c r="A915" s="20" t="str">
        <f>IF(INDEX(Project_Tracker!$AL$2:$AL$101,INT((ROW()-6)/17)+1)="","",INDEX(Project_Tracker!$AL$2:$AL$101,INT((ROW()-6)/17)+1))</f>
        <v/>
      </c>
      <c r="B915" s="21" t="str">
        <f>IF($A915="","",INDEX(Project_Tracker!$AM$2:$AM$101,INT((ROW()-6)/17)+1))</f>
        <v/>
      </c>
      <c r="C915" s="20" t="str">
        <f>IF($A915="","",INDEX(Project_Tracker!$C$2:$C$101,INT((ROW()-6)/17)+1))</f>
        <v/>
      </c>
      <c r="D915" s="6" t="str">
        <f>IF($A915="","",INDEX(Project_Tracker!$T$2:$T$101,INT((ROW()-6)/17)+1))</f>
        <v/>
      </c>
      <c r="E915" s="18">
        <f t="shared" si="70"/>
        <v>9</v>
      </c>
      <c r="F915" s="23" t="str">
        <f>IF($A915="","",INDEX('Logic &amp; Lists'!$I$4:$I$20,$E915))</f>
        <v/>
      </c>
      <c r="G915" s="18" t="str">
        <f>IF($A915="","",INDEX('Logic &amp; Lists'!$J$4:$J$20,$E915))</f>
        <v/>
      </c>
      <c r="H915" s="6" t="str">
        <f t="shared" si="71"/>
        <v/>
      </c>
      <c r="I915" s="18" t="str">
        <f t="shared" ca="1" si="72"/>
        <v/>
      </c>
      <c r="J915" s="5" t="str">
        <f t="shared" si="73"/>
        <v/>
      </c>
      <c r="K915" s="25"/>
      <c r="L915" s="5" t="str">
        <f t="shared" si="74"/>
        <v/>
      </c>
      <c r="M915" s="7"/>
      <c r="N915" s="7"/>
      <c r="O915" s="7"/>
      <c r="P915" s="20" t="str">
        <f>IF($A915="","",INDEX(Project_Tracker!$I$2:$I$101,INT((ROW()-6)/17)+1))</f>
        <v/>
      </c>
      <c r="Q915" s="20" t="str">
        <f>IF($A915="","",INDEX(Project_Tracker!$K$2:$K$101,INT((ROW()-6)/17)+1))</f>
        <v/>
      </c>
    </row>
    <row r="916" spans="1:17" x14ac:dyDescent="0.2">
      <c r="A916" s="20" t="str">
        <f>IF(INDEX(Project_Tracker!$AL$2:$AL$101,INT((ROW()-6)/17)+1)="","",INDEX(Project_Tracker!$AL$2:$AL$101,INT((ROW()-6)/17)+1))</f>
        <v/>
      </c>
      <c r="B916" s="21" t="str">
        <f>IF($A916="","",INDEX(Project_Tracker!$AM$2:$AM$101,INT((ROW()-6)/17)+1))</f>
        <v/>
      </c>
      <c r="C916" s="20" t="str">
        <f>IF($A916="","",INDEX(Project_Tracker!$C$2:$C$101,INT((ROW()-6)/17)+1))</f>
        <v/>
      </c>
      <c r="D916" s="6" t="str">
        <f>IF($A916="","",INDEX(Project_Tracker!$T$2:$T$101,INT((ROW()-6)/17)+1))</f>
        <v/>
      </c>
      <c r="E916" s="18">
        <f t="shared" si="70"/>
        <v>10</v>
      </c>
      <c r="F916" s="23" t="str">
        <f>IF($A916="","",INDEX('Logic &amp; Lists'!$I$4:$I$20,$E916))</f>
        <v/>
      </c>
      <c r="G916" s="18" t="str">
        <f>IF($A916="","",INDEX('Logic &amp; Lists'!$J$4:$J$20,$E916))</f>
        <v/>
      </c>
      <c r="H916" s="6" t="str">
        <f t="shared" si="71"/>
        <v/>
      </c>
      <c r="I916" s="18" t="str">
        <f t="shared" ca="1" si="72"/>
        <v/>
      </c>
      <c r="J916" s="5" t="str">
        <f t="shared" si="73"/>
        <v/>
      </c>
      <c r="K916" s="25"/>
      <c r="L916" s="5" t="str">
        <f t="shared" si="74"/>
        <v/>
      </c>
      <c r="M916" s="7"/>
      <c r="N916" s="7"/>
      <c r="O916" s="7"/>
      <c r="P916" s="20" t="str">
        <f>IF($A916="","",INDEX(Project_Tracker!$I$2:$I$101,INT((ROW()-6)/17)+1))</f>
        <v/>
      </c>
      <c r="Q916" s="20" t="str">
        <f>IF($A916="","",INDEX(Project_Tracker!$K$2:$K$101,INT((ROW()-6)/17)+1))</f>
        <v/>
      </c>
    </row>
    <row r="917" spans="1:17" x14ac:dyDescent="0.2">
      <c r="A917" s="20" t="str">
        <f>IF(INDEX(Project_Tracker!$AL$2:$AL$101,INT((ROW()-6)/17)+1)="","",INDEX(Project_Tracker!$AL$2:$AL$101,INT((ROW()-6)/17)+1))</f>
        <v/>
      </c>
      <c r="B917" s="21" t="str">
        <f>IF($A917="","",INDEX(Project_Tracker!$AM$2:$AM$101,INT((ROW()-6)/17)+1))</f>
        <v/>
      </c>
      <c r="C917" s="20" t="str">
        <f>IF($A917="","",INDEX(Project_Tracker!$C$2:$C$101,INT((ROW()-6)/17)+1))</f>
        <v/>
      </c>
      <c r="D917" s="6" t="str">
        <f>IF($A917="","",INDEX(Project_Tracker!$T$2:$T$101,INT((ROW()-6)/17)+1))</f>
        <v/>
      </c>
      <c r="E917" s="18">
        <f t="shared" si="70"/>
        <v>11</v>
      </c>
      <c r="F917" s="23" t="str">
        <f>IF($A917="","",INDEX('Logic &amp; Lists'!$I$4:$I$20,$E917))</f>
        <v/>
      </c>
      <c r="G917" s="18" t="str">
        <f>IF($A917="","",INDEX('Logic &amp; Lists'!$J$4:$J$20,$E917))</f>
        <v/>
      </c>
      <c r="H917" s="6" t="str">
        <f t="shared" si="71"/>
        <v/>
      </c>
      <c r="I917" s="18" t="str">
        <f t="shared" ca="1" si="72"/>
        <v/>
      </c>
      <c r="J917" s="5" t="str">
        <f t="shared" si="73"/>
        <v/>
      </c>
      <c r="K917" s="25"/>
      <c r="L917" s="5" t="str">
        <f t="shared" si="74"/>
        <v/>
      </c>
      <c r="M917" s="7"/>
      <c r="N917" s="7"/>
      <c r="O917" s="7"/>
      <c r="P917" s="20" t="str">
        <f>IF($A917="","",INDEX(Project_Tracker!$I$2:$I$101,INT((ROW()-6)/17)+1))</f>
        <v/>
      </c>
      <c r="Q917" s="20" t="str">
        <f>IF($A917="","",INDEX(Project_Tracker!$K$2:$K$101,INT((ROW()-6)/17)+1))</f>
        <v/>
      </c>
    </row>
    <row r="918" spans="1:17" x14ac:dyDescent="0.2">
      <c r="A918" s="20" t="str">
        <f>IF(INDEX(Project_Tracker!$AL$2:$AL$101,INT((ROW()-6)/17)+1)="","",INDEX(Project_Tracker!$AL$2:$AL$101,INT((ROW()-6)/17)+1))</f>
        <v/>
      </c>
      <c r="B918" s="21" t="str">
        <f>IF($A918="","",INDEX(Project_Tracker!$AM$2:$AM$101,INT((ROW()-6)/17)+1))</f>
        <v/>
      </c>
      <c r="C918" s="20" t="str">
        <f>IF($A918="","",INDEX(Project_Tracker!$C$2:$C$101,INT((ROW()-6)/17)+1))</f>
        <v/>
      </c>
      <c r="D918" s="6" t="str">
        <f>IF($A918="","",INDEX(Project_Tracker!$T$2:$T$101,INT((ROW()-6)/17)+1))</f>
        <v/>
      </c>
      <c r="E918" s="18">
        <f t="shared" si="70"/>
        <v>12</v>
      </c>
      <c r="F918" s="23" t="str">
        <f>IF($A918="","",INDEX('Logic &amp; Lists'!$I$4:$I$20,$E918))</f>
        <v/>
      </c>
      <c r="G918" s="18" t="str">
        <f>IF($A918="","",INDEX('Logic &amp; Lists'!$J$4:$J$20,$E918))</f>
        <v/>
      </c>
      <c r="H918" s="6" t="str">
        <f t="shared" si="71"/>
        <v/>
      </c>
      <c r="I918" s="18" t="str">
        <f t="shared" ca="1" si="72"/>
        <v/>
      </c>
      <c r="J918" s="5" t="str">
        <f t="shared" si="73"/>
        <v/>
      </c>
      <c r="K918" s="25"/>
      <c r="L918" s="5" t="str">
        <f t="shared" si="74"/>
        <v/>
      </c>
      <c r="M918" s="7"/>
      <c r="N918" s="7"/>
      <c r="O918" s="7"/>
      <c r="P918" s="20" t="str">
        <f>IF($A918="","",INDEX(Project_Tracker!$I$2:$I$101,INT((ROW()-6)/17)+1))</f>
        <v/>
      </c>
      <c r="Q918" s="20" t="str">
        <f>IF($A918="","",INDEX(Project_Tracker!$K$2:$K$101,INT((ROW()-6)/17)+1))</f>
        <v/>
      </c>
    </row>
    <row r="919" spans="1:17" x14ac:dyDescent="0.2">
      <c r="A919" s="20" t="str">
        <f>IF(INDEX(Project_Tracker!$AL$2:$AL$101,INT((ROW()-6)/17)+1)="","",INDEX(Project_Tracker!$AL$2:$AL$101,INT((ROW()-6)/17)+1))</f>
        <v/>
      </c>
      <c r="B919" s="21" t="str">
        <f>IF($A919="","",INDEX(Project_Tracker!$AM$2:$AM$101,INT((ROW()-6)/17)+1))</f>
        <v/>
      </c>
      <c r="C919" s="20" t="str">
        <f>IF($A919="","",INDEX(Project_Tracker!$C$2:$C$101,INT((ROW()-6)/17)+1))</f>
        <v/>
      </c>
      <c r="D919" s="6" t="str">
        <f>IF($A919="","",INDEX(Project_Tracker!$T$2:$T$101,INT((ROW()-6)/17)+1))</f>
        <v/>
      </c>
      <c r="E919" s="18">
        <f t="shared" si="70"/>
        <v>13</v>
      </c>
      <c r="F919" s="23" t="str">
        <f>IF($A919="","",INDEX('Logic &amp; Lists'!$I$4:$I$20,$E919))</f>
        <v/>
      </c>
      <c r="G919" s="18" t="str">
        <f>IF($A919="","",INDEX('Logic &amp; Lists'!$J$4:$J$20,$E919))</f>
        <v/>
      </c>
      <c r="H919" s="6" t="str">
        <f t="shared" si="71"/>
        <v/>
      </c>
      <c r="I919" s="18" t="str">
        <f t="shared" ca="1" si="72"/>
        <v/>
      </c>
      <c r="J919" s="5" t="str">
        <f t="shared" si="73"/>
        <v/>
      </c>
      <c r="K919" s="25"/>
      <c r="L919" s="5" t="str">
        <f t="shared" si="74"/>
        <v/>
      </c>
      <c r="M919" s="7"/>
      <c r="N919" s="7"/>
      <c r="O919" s="7"/>
      <c r="P919" s="20" t="str">
        <f>IF($A919="","",INDEX(Project_Tracker!$I$2:$I$101,INT((ROW()-6)/17)+1))</f>
        <v/>
      </c>
      <c r="Q919" s="20" t="str">
        <f>IF($A919="","",INDEX(Project_Tracker!$K$2:$K$101,INT((ROW()-6)/17)+1))</f>
        <v/>
      </c>
    </row>
    <row r="920" spans="1:17" x14ac:dyDescent="0.2">
      <c r="A920" s="20" t="str">
        <f>IF(INDEX(Project_Tracker!$AL$2:$AL$101,INT((ROW()-6)/17)+1)="","",INDEX(Project_Tracker!$AL$2:$AL$101,INT((ROW()-6)/17)+1))</f>
        <v/>
      </c>
      <c r="B920" s="21" t="str">
        <f>IF($A920="","",INDEX(Project_Tracker!$AM$2:$AM$101,INT((ROW()-6)/17)+1))</f>
        <v/>
      </c>
      <c r="C920" s="20" t="str">
        <f>IF($A920="","",INDEX(Project_Tracker!$C$2:$C$101,INT((ROW()-6)/17)+1))</f>
        <v/>
      </c>
      <c r="D920" s="6" t="str">
        <f>IF($A920="","",INDEX(Project_Tracker!$T$2:$T$101,INT((ROW()-6)/17)+1))</f>
        <v/>
      </c>
      <c r="E920" s="18">
        <f t="shared" si="70"/>
        <v>14</v>
      </c>
      <c r="F920" s="23" t="str">
        <f>IF($A920="","",INDEX('Logic &amp; Lists'!$I$4:$I$20,$E920))</f>
        <v/>
      </c>
      <c r="G920" s="18" t="str">
        <f>IF($A920="","",INDEX('Logic &amp; Lists'!$J$4:$J$20,$E920))</f>
        <v/>
      </c>
      <c r="H920" s="6" t="str">
        <f t="shared" si="71"/>
        <v/>
      </c>
      <c r="I920" s="18" t="str">
        <f t="shared" ca="1" si="72"/>
        <v/>
      </c>
      <c r="J920" s="5" t="str">
        <f t="shared" si="73"/>
        <v/>
      </c>
      <c r="K920" s="25"/>
      <c r="L920" s="5" t="str">
        <f t="shared" si="74"/>
        <v/>
      </c>
      <c r="M920" s="7"/>
      <c r="N920" s="7"/>
      <c r="O920" s="7"/>
      <c r="P920" s="20" t="str">
        <f>IF($A920="","",INDEX(Project_Tracker!$I$2:$I$101,INT((ROW()-6)/17)+1))</f>
        <v/>
      </c>
      <c r="Q920" s="20" t="str">
        <f>IF($A920="","",INDEX(Project_Tracker!$K$2:$K$101,INT((ROW()-6)/17)+1))</f>
        <v/>
      </c>
    </row>
    <row r="921" spans="1:17" x14ac:dyDescent="0.2">
      <c r="A921" s="20" t="str">
        <f>IF(INDEX(Project_Tracker!$AL$2:$AL$101,INT((ROW()-6)/17)+1)="","",INDEX(Project_Tracker!$AL$2:$AL$101,INT((ROW()-6)/17)+1))</f>
        <v/>
      </c>
      <c r="B921" s="21" t="str">
        <f>IF($A921="","",INDEX(Project_Tracker!$AM$2:$AM$101,INT((ROW()-6)/17)+1))</f>
        <v/>
      </c>
      <c r="C921" s="20" t="str">
        <f>IF($A921="","",INDEX(Project_Tracker!$C$2:$C$101,INT((ROW()-6)/17)+1))</f>
        <v/>
      </c>
      <c r="D921" s="6" t="str">
        <f>IF($A921="","",INDEX(Project_Tracker!$T$2:$T$101,INT((ROW()-6)/17)+1))</f>
        <v/>
      </c>
      <c r="E921" s="18">
        <f t="shared" si="70"/>
        <v>15</v>
      </c>
      <c r="F921" s="23" t="str">
        <f>IF($A921="","",INDEX('Logic &amp; Lists'!$I$4:$I$20,$E921))</f>
        <v/>
      </c>
      <c r="G921" s="18" t="str">
        <f>IF($A921="","",INDEX('Logic &amp; Lists'!$J$4:$J$20,$E921))</f>
        <v/>
      </c>
      <c r="H921" s="6" t="str">
        <f t="shared" si="71"/>
        <v/>
      </c>
      <c r="I921" s="18" t="str">
        <f t="shared" ca="1" si="72"/>
        <v/>
      </c>
      <c r="J921" s="5" t="str">
        <f t="shared" si="73"/>
        <v/>
      </c>
      <c r="K921" s="25"/>
      <c r="L921" s="5" t="str">
        <f t="shared" si="74"/>
        <v/>
      </c>
      <c r="M921" s="7"/>
      <c r="N921" s="7"/>
      <c r="O921" s="7"/>
      <c r="P921" s="20" t="str">
        <f>IF($A921="","",INDEX(Project_Tracker!$I$2:$I$101,INT((ROW()-6)/17)+1))</f>
        <v/>
      </c>
      <c r="Q921" s="20" t="str">
        <f>IF($A921="","",INDEX(Project_Tracker!$K$2:$K$101,INT((ROW()-6)/17)+1))</f>
        <v/>
      </c>
    </row>
    <row r="922" spans="1:17" x14ac:dyDescent="0.2">
      <c r="A922" s="20" t="str">
        <f>IF(INDEX(Project_Tracker!$AL$2:$AL$101,INT((ROW()-6)/17)+1)="","",INDEX(Project_Tracker!$AL$2:$AL$101,INT((ROW()-6)/17)+1))</f>
        <v/>
      </c>
      <c r="B922" s="21" t="str">
        <f>IF($A922="","",INDEX(Project_Tracker!$AM$2:$AM$101,INT((ROW()-6)/17)+1))</f>
        <v/>
      </c>
      <c r="C922" s="20" t="str">
        <f>IF($A922="","",INDEX(Project_Tracker!$C$2:$C$101,INT((ROW()-6)/17)+1))</f>
        <v/>
      </c>
      <c r="D922" s="6" t="str">
        <f>IF($A922="","",INDEX(Project_Tracker!$T$2:$T$101,INT((ROW()-6)/17)+1))</f>
        <v/>
      </c>
      <c r="E922" s="18">
        <f t="shared" si="70"/>
        <v>16</v>
      </c>
      <c r="F922" s="23" t="str">
        <f>IF($A922="","",INDEX('Logic &amp; Lists'!$I$4:$I$20,$E922))</f>
        <v/>
      </c>
      <c r="G922" s="18" t="str">
        <f>IF($A922="","",INDEX('Logic &amp; Lists'!$J$4:$J$20,$E922))</f>
        <v/>
      </c>
      <c r="H922" s="6" t="str">
        <f t="shared" si="71"/>
        <v/>
      </c>
      <c r="I922" s="18" t="str">
        <f t="shared" ca="1" si="72"/>
        <v/>
      </c>
      <c r="J922" s="5" t="str">
        <f t="shared" si="73"/>
        <v/>
      </c>
      <c r="K922" s="25"/>
      <c r="L922" s="5" t="str">
        <f t="shared" si="74"/>
        <v/>
      </c>
      <c r="M922" s="7"/>
      <c r="N922" s="7"/>
      <c r="O922" s="7"/>
      <c r="P922" s="20" t="str">
        <f>IF($A922="","",INDEX(Project_Tracker!$I$2:$I$101,INT((ROW()-6)/17)+1))</f>
        <v/>
      </c>
      <c r="Q922" s="20" t="str">
        <f>IF($A922="","",INDEX(Project_Tracker!$K$2:$K$101,INT((ROW()-6)/17)+1))</f>
        <v/>
      </c>
    </row>
    <row r="923" spans="1:17" x14ac:dyDescent="0.2">
      <c r="A923" s="20" t="str">
        <f>IF(INDEX(Project_Tracker!$AL$2:$AL$101,INT((ROW()-6)/17)+1)="","",INDEX(Project_Tracker!$AL$2:$AL$101,INT((ROW()-6)/17)+1))</f>
        <v/>
      </c>
      <c r="B923" s="21" t="str">
        <f>IF($A923="","",INDEX(Project_Tracker!$AM$2:$AM$101,INT((ROW()-6)/17)+1))</f>
        <v/>
      </c>
      <c r="C923" s="20" t="str">
        <f>IF($A923="","",INDEX(Project_Tracker!$C$2:$C$101,INT((ROW()-6)/17)+1))</f>
        <v/>
      </c>
      <c r="D923" s="6" t="str">
        <f>IF($A923="","",INDEX(Project_Tracker!$T$2:$T$101,INT((ROW()-6)/17)+1))</f>
        <v/>
      </c>
      <c r="E923" s="18">
        <f t="shared" si="70"/>
        <v>17</v>
      </c>
      <c r="F923" s="23" t="str">
        <f>IF($A923="","",INDEX('Logic &amp; Lists'!$I$4:$I$20,$E923))</f>
        <v/>
      </c>
      <c r="G923" s="18" t="str">
        <f>IF($A923="","",INDEX('Logic &amp; Lists'!$J$4:$J$20,$E923))</f>
        <v/>
      </c>
      <c r="H923" s="6" t="str">
        <f t="shared" si="71"/>
        <v/>
      </c>
      <c r="I923" s="18" t="str">
        <f t="shared" ca="1" si="72"/>
        <v/>
      </c>
      <c r="J923" s="5" t="str">
        <f t="shared" si="73"/>
        <v/>
      </c>
      <c r="K923" s="25"/>
      <c r="L923" s="5" t="str">
        <f t="shared" si="74"/>
        <v/>
      </c>
      <c r="M923" s="7"/>
      <c r="N923" s="7"/>
      <c r="O923" s="7"/>
      <c r="P923" s="20" t="str">
        <f>IF($A923="","",INDEX(Project_Tracker!$I$2:$I$101,INT((ROW()-6)/17)+1))</f>
        <v/>
      </c>
      <c r="Q923" s="20" t="str">
        <f>IF($A923="","",INDEX(Project_Tracker!$K$2:$K$101,INT((ROW()-6)/17)+1))</f>
        <v/>
      </c>
    </row>
    <row r="924" spans="1:17" x14ac:dyDescent="0.2">
      <c r="A924" s="20" t="str">
        <f>IF(INDEX(Project_Tracker!$AL$2:$AL$101,INT((ROW()-6)/17)+1)="","",INDEX(Project_Tracker!$AL$2:$AL$101,INT((ROW()-6)/17)+1))</f>
        <v/>
      </c>
      <c r="B924" s="21" t="str">
        <f>IF($A924="","",INDEX(Project_Tracker!$AM$2:$AM$101,INT((ROW()-6)/17)+1))</f>
        <v/>
      </c>
      <c r="C924" s="20" t="str">
        <f>IF($A924="","",INDEX(Project_Tracker!$C$2:$C$101,INT((ROW()-6)/17)+1))</f>
        <v/>
      </c>
      <c r="D924" s="6" t="str">
        <f>IF($A924="","",INDEX(Project_Tracker!$T$2:$T$101,INT((ROW()-6)/17)+1))</f>
        <v/>
      </c>
      <c r="E924" s="18">
        <f t="shared" si="70"/>
        <v>1</v>
      </c>
      <c r="F924" s="23" t="str">
        <f>IF($A924="","",INDEX('Logic &amp; Lists'!$I$4:$I$20,$E924))</f>
        <v/>
      </c>
      <c r="G924" s="18" t="str">
        <f>IF($A924="","",INDEX('Logic &amp; Lists'!$J$4:$J$20,$E924))</f>
        <v/>
      </c>
      <c r="H924" s="6" t="str">
        <f t="shared" si="71"/>
        <v/>
      </c>
      <c r="I924" s="18" t="str">
        <f t="shared" ca="1" si="72"/>
        <v/>
      </c>
      <c r="J924" s="5" t="str">
        <f t="shared" si="73"/>
        <v/>
      </c>
      <c r="K924" s="25"/>
      <c r="L924" s="5" t="str">
        <f t="shared" si="74"/>
        <v/>
      </c>
      <c r="M924" s="7"/>
      <c r="N924" s="7"/>
      <c r="O924" s="7"/>
      <c r="P924" s="20" t="str">
        <f>IF($A924="","",INDEX(Project_Tracker!$I$2:$I$101,INT((ROW()-6)/17)+1))</f>
        <v/>
      </c>
      <c r="Q924" s="20" t="str">
        <f>IF($A924="","",INDEX(Project_Tracker!$K$2:$K$101,INT((ROW()-6)/17)+1))</f>
        <v/>
      </c>
    </row>
    <row r="925" spans="1:17" x14ac:dyDescent="0.2">
      <c r="A925" s="20" t="str">
        <f>IF(INDEX(Project_Tracker!$AL$2:$AL$101,INT((ROW()-6)/17)+1)="","",INDEX(Project_Tracker!$AL$2:$AL$101,INT((ROW()-6)/17)+1))</f>
        <v/>
      </c>
      <c r="B925" s="21" t="str">
        <f>IF($A925="","",INDEX(Project_Tracker!$AM$2:$AM$101,INT((ROW()-6)/17)+1))</f>
        <v/>
      </c>
      <c r="C925" s="20" t="str">
        <f>IF($A925="","",INDEX(Project_Tracker!$C$2:$C$101,INT((ROW()-6)/17)+1))</f>
        <v/>
      </c>
      <c r="D925" s="6" t="str">
        <f>IF($A925="","",INDEX(Project_Tracker!$T$2:$T$101,INT((ROW()-6)/17)+1))</f>
        <v/>
      </c>
      <c r="E925" s="18">
        <f t="shared" si="70"/>
        <v>2</v>
      </c>
      <c r="F925" s="23" t="str">
        <f>IF($A925="","",INDEX('Logic &amp; Lists'!$I$4:$I$20,$E925))</f>
        <v/>
      </c>
      <c r="G925" s="18" t="str">
        <f>IF($A925="","",INDEX('Logic &amp; Lists'!$J$4:$J$20,$E925))</f>
        <v/>
      </c>
      <c r="H925" s="6" t="str">
        <f t="shared" si="71"/>
        <v/>
      </c>
      <c r="I925" s="18" t="str">
        <f t="shared" ca="1" si="72"/>
        <v/>
      </c>
      <c r="J925" s="5" t="str">
        <f t="shared" si="73"/>
        <v/>
      </c>
      <c r="K925" s="25"/>
      <c r="L925" s="5" t="str">
        <f t="shared" si="74"/>
        <v/>
      </c>
      <c r="M925" s="7"/>
      <c r="N925" s="7"/>
      <c r="O925" s="7"/>
      <c r="P925" s="20" t="str">
        <f>IF($A925="","",INDEX(Project_Tracker!$I$2:$I$101,INT((ROW()-6)/17)+1))</f>
        <v/>
      </c>
      <c r="Q925" s="20" t="str">
        <f>IF($A925="","",INDEX(Project_Tracker!$K$2:$K$101,INT((ROW()-6)/17)+1))</f>
        <v/>
      </c>
    </row>
    <row r="926" spans="1:17" x14ac:dyDescent="0.2">
      <c r="A926" s="20" t="str">
        <f>IF(INDEX(Project_Tracker!$AL$2:$AL$101,INT((ROW()-6)/17)+1)="","",INDEX(Project_Tracker!$AL$2:$AL$101,INT((ROW()-6)/17)+1))</f>
        <v/>
      </c>
      <c r="B926" s="21" t="str">
        <f>IF($A926="","",INDEX(Project_Tracker!$AM$2:$AM$101,INT((ROW()-6)/17)+1))</f>
        <v/>
      </c>
      <c r="C926" s="20" t="str">
        <f>IF($A926="","",INDEX(Project_Tracker!$C$2:$C$101,INT((ROW()-6)/17)+1))</f>
        <v/>
      </c>
      <c r="D926" s="6" t="str">
        <f>IF($A926="","",INDEX(Project_Tracker!$T$2:$T$101,INT((ROW()-6)/17)+1))</f>
        <v/>
      </c>
      <c r="E926" s="18">
        <f t="shared" si="70"/>
        <v>3</v>
      </c>
      <c r="F926" s="23" t="str">
        <f>IF($A926="","",INDEX('Logic &amp; Lists'!$I$4:$I$20,$E926))</f>
        <v/>
      </c>
      <c r="G926" s="18" t="str">
        <f>IF($A926="","",INDEX('Logic &amp; Lists'!$J$4:$J$20,$E926))</f>
        <v/>
      </c>
      <c r="H926" s="6" t="str">
        <f t="shared" si="71"/>
        <v/>
      </c>
      <c r="I926" s="18" t="str">
        <f t="shared" ca="1" si="72"/>
        <v/>
      </c>
      <c r="J926" s="5" t="str">
        <f t="shared" si="73"/>
        <v/>
      </c>
      <c r="K926" s="25"/>
      <c r="L926" s="5" t="str">
        <f t="shared" si="74"/>
        <v/>
      </c>
      <c r="M926" s="7"/>
      <c r="N926" s="7"/>
      <c r="O926" s="7"/>
      <c r="P926" s="20" t="str">
        <f>IF($A926="","",INDEX(Project_Tracker!$I$2:$I$101,INT((ROW()-6)/17)+1))</f>
        <v/>
      </c>
      <c r="Q926" s="20" t="str">
        <f>IF($A926="","",INDEX(Project_Tracker!$K$2:$K$101,INT((ROW()-6)/17)+1))</f>
        <v/>
      </c>
    </row>
    <row r="927" spans="1:17" x14ac:dyDescent="0.2">
      <c r="A927" s="20" t="str">
        <f>IF(INDEX(Project_Tracker!$AL$2:$AL$101,INT((ROW()-6)/17)+1)="","",INDEX(Project_Tracker!$AL$2:$AL$101,INT((ROW()-6)/17)+1))</f>
        <v/>
      </c>
      <c r="B927" s="21" t="str">
        <f>IF($A927="","",INDEX(Project_Tracker!$AM$2:$AM$101,INT((ROW()-6)/17)+1))</f>
        <v/>
      </c>
      <c r="C927" s="20" t="str">
        <f>IF($A927="","",INDEX(Project_Tracker!$C$2:$C$101,INT((ROW()-6)/17)+1))</f>
        <v/>
      </c>
      <c r="D927" s="6" t="str">
        <f>IF($A927="","",INDEX(Project_Tracker!$T$2:$T$101,INT((ROW()-6)/17)+1))</f>
        <v/>
      </c>
      <c r="E927" s="18">
        <f t="shared" si="70"/>
        <v>4</v>
      </c>
      <c r="F927" s="23" t="str">
        <f>IF($A927="","",INDEX('Logic &amp; Lists'!$I$4:$I$20,$E927))</f>
        <v/>
      </c>
      <c r="G927" s="18" t="str">
        <f>IF($A927="","",INDEX('Logic &amp; Lists'!$J$4:$J$20,$E927))</f>
        <v/>
      </c>
      <c r="H927" s="6" t="str">
        <f t="shared" si="71"/>
        <v/>
      </c>
      <c r="I927" s="18" t="str">
        <f t="shared" ca="1" si="72"/>
        <v/>
      </c>
      <c r="J927" s="5" t="str">
        <f t="shared" si="73"/>
        <v/>
      </c>
      <c r="K927" s="25"/>
      <c r="L927" s="5" t="str">
        <f t="shared" si="74"/>
        <v/>
      </c>
      <c r="M927" s="7"/>
      <c r="N927" s="7"/>
      <c r="O927" s="7"/>
      <c r="P927" s="20" t="str">
        <f>IF($A927="","",INDEX(Project_Tracker!$I$2:$I$101,INT((ROW()-6)/17)+1))</f>
        <v/>
      </c>
      <c r="Q927" s="20" t="str">
        <f>IF($A927="","",INDEX(Project_Tracker!$K$2:$K$101,INT((ROW()-6)/17)+1))</f>
        <v/>
      </c>
    </row>
    <row r="928" spans="1:17" x14ac:dyDescent="0.2">
      <c r="A928" s="20" t="str">
        <f>IF(INDEX(Project_Tracker!$AL$2:$AL$101,INT((ROW()-6)/17)+1)="","",INDEX(Project_Tracker!$AL$2:$AL$101,INT((ROW()-6)/17)+1))</f>
        <v/>
      </c>
      <c r="B928" s="21" t="str">
        <f>IF($A928="","",INDEX(Project_Tracker!$AM$2:$AM$101,INT((ROW()-6)/17)+1))</f>
        <v/>
      </c>
      <c r="C928" s="20" t="str">
        <f>IF($A928="","",INDEX(Project_Tracker!$C$2:$C$101,INT((ROW()-6)/17)+1))</f>
        <v/>
      </c>
      <c r="D928" s="6" t="str">
        <f>IF($A928="","",INDEX(Project_Tracker!$T$2:$T$101,INT((ROW()-6)/17)+1))</f>
        <v/>
      </c>
      <c r="E928" s="18">
        <f t="shared" si="70"/>
        <v>5</v>
      </c>
      <c r="F928" s="23" t="str">
        <f>IF($A928="","",INDEX('Logic &amp; Lists'!$I$4:$I$20,$E928))</f>
        <v/>
      </c>
      <c r="G928" s="18" t="str">
        <f>IF($A928="","",INDEX('Logic &amp; Lists'!$J$4:$J$20,$E928))</f>
        <v/>
      </c>
      <c r="H928" s="6" t="str">
        <f t="shared" si="71"/>
        <v/>
      </c>
      <c r="I928" s="18" t="str">
        <f t="shared" ca="1" si="72"/>
        <v/>
      </c>
      <c r="J928" s="5" t="str">
        <f t="shared" si="73"/>
        <v/>
      </c>
      <c r="K928" s="25"/>
      <c r="L928" s="5" t="str">
        <f t="shared" si="74"/>
        <v/>
      </c>
      <c r="M928" s="7"/>
      <c r="N928" s="7"/>
      <c r="O928" s="7"/>
      <c r="P928" s="20" t="str">
        <f>IF($A928="","",INDEX(Project_Tracker!$I$2:$I$101,INT((ROW()-6)/17)+1))</f>
        <v/>
      </c>
      <c r="Q928" s="20" t="str">
        <f>IF($A928="","",INDEX(Project_Tracker!$K$2:$K$101,INT((ROW()-6)/17)+1))</f>
        <v/>
      </c>
    </row>
    <row r="929" spans="1:17" x14ac:dyDescent="0.2">
      <c r="A929" s="20" t="str">
        <f>IF(INDEX(Project_Tracker!$AL$2:$AL$101,INT((ROW()-6)/17)+1)="","",INDEX(Project_Tracker!$AL$2:$AL$101,INT((ROW()-6)/17)+1))</f>
        <v/>
      </c>
      <c r="B929" s="21" t="str">
        <f>IF($A929="","",INDEX(Project_Tracker!$AM$2:$AM$101,INT((ROW()-6)/17)+1))</f>
        <v/>
      </c>
      <c r="C929" s="20" t="str">
        <f>IF($A929="","",INDEX(Project_Tracker!$C$2:$C$101,INT((ROW()-6)/17)+1))</f>
        <v/>
      </c>
      <c r="D929" s="6" t="str">
        <f>IF($A929="","",INDEX(Project_Tracker!$T$2:$T$101,INT((ROW()-6)/17)+1))</f>
        <v/>
      </c>
      <c r="E929" s="18">
        <f t="shared" si="70"/>
        <v>6</v>
      </c>
      <c r="F929" s="23" t="str">
        <f>IF($A929="","",INDEX('Logic &amp; Lists'!$I$4:$I$20,$E929))</f>
        <v/>
      </c>
      <c r="G929" s="18" t="str">
        <f>IF($A929="","",INDEX('Logic &amp; Lists'!$J$4:$J$20,$E929))</f>
        <v/>
      </c>
      <c r="H929" s="6" t="str">
        <f t="shared" si="71"/>
        <v/>
      </c>
      <c r="I929" s="18" t="str">
        <f t="shared" ca="1" si="72"/>
        <v/>
      </c>
      <c r="J929" s="5" t="str">
        <f t="shared" si="73"/>
        <v/>
      </c>
      <c r="K929" s="25"/>
      <c r="L929" s="5" t="str">
        <f t="shared" si="74"/>
        <v/>
      </c>
      <c r="M929" s="7"/>
      <c r="N929" s="7"/>
      <c r="O929" s="7"/>
      <c r="P929" s="20" t="str">
        <f>IF($A929="","",INDEX(Project_Tracker!$I$2:$I$101,INT((ROW()-6)/17)+1))</f>
        <v/>
      </c>
      <c r="Q929" s="20" t="str">
        <f>IF($A929="","",INDEX(Project_Tracker!$K$2:$K$101,INT((ROW()-6)/17)+1))</f>
        <v/>
      </c>
    </row>
    <row r="930" spans="1:17" x14ac:dyDescent="0.2">
      <c r="A930" s="20" t="str">
        <f>IF(INDEX(Project_Tracker!$AL$2:$AL$101,INT((ROW()-6)/17)+1)="","",INDEX(Project_Tracker!$AL$2:$AL$101,INT((ROW()-6)/17)+1))</f>
        <v/>
      </c>
      <c r="B930" s="21" t="str">
        <f>IF($A930="","",INDEX(Project_Tracker!$AM$2:$AM$101,INT((ROW()-6)/17)+1))</f>
        <v/>
      </c>
      <c r="C930" s="20" t="str">
        <f>IF($A930="","",INDEX(Project_Tracker!$C$2:$C$101,INT((ROW()-6)/17)+1))</f>
        <v/>
      </c>
      <c r="D930" s="6" t="str">
        <f>IF($A930="","",INDEX(Project_Tracker!$T$2:$T$101,INT((ROW()-6)/17)+1))</f>
        <v/>
      </c>
      <c r="E930" s="18">
        <f t="shared" si="70"/>
        <v>7</v>
      </c>
      <c r="F930" s="23" t="str">
        <f>IF($A930="","",INDEX('Logic &amp; Lists'!$I$4:$I$20,$E930))</f>
        <v/>
      </c>
      <c r="G930" s="18" t="str">
        <f>IF($A930="","",INDEX('Logic &amp; Lists'!$J$4:$J$20,$E930))</f>
        <v/>
      </c>
      <c r="H930" s="6" t="str">
        <f t="shared" si="71"/>
        <v/>
      </c>
      <c r="I930" s="18" t="str">
        <f t="shared" ca="1" si="72"/>
        <v/>
      </c>
      <c r="J930" s="5" t="str">
        <f t="shared" si="73"/>
        <v/>
      </c>
      <c r="K930" s="25"/>
      <c r="L930" s="5" t="str">
        <f t="shared" si="74"/>
        <v/>
      </c>
      <c r="M930" s="7"/>
      <c r="N930" s="7"/>
      <c r="O930" s="7"/>
      <c r="P930" s="20" t="str">
        <f>IF($A930="","",INDEX(Project_Tracker!$I$2:$I$101,INT((ROW()-6)/17)+1))</f>
        <v/>
      </c>
      <c r="Q930" s="20" t="str">
        <f>IF($A930="","",INDEX(Project_Tracker!$K$2:$K$101,INT((ROW()-6)/17)+1))</f>
        <v/>
      </c>
    </row>
    <row r="931" spans="1:17" x14ac:dyDescent="0.2">
      <c r="A931" s="20" t="str">
        <f>IF(INDEX(Project_Tracker!$AL$2:$AL$101,INT((ROW()-6)/17)+1)="","",INDEX(Project_Tracker!$AL$2:$AL$101,INT((ROW()-6)/17)+1))</f>
        <v/>
      </c>
      <c r="B931" s="21" t="str">
        <f>IF($A931="","",INDEX(Project_Tracker!$AM$2:$AM$101,INT((ROW()-6)/17)+1))</f>
        <v/>
      </c>
      <c r="C931" s="20" t="str">
        <f>IF($A931="","",INDEX(Project_Tracker!$C$2:$C$101,INT((ROW()-6)/17)+1))</f>
        <v/>
      </c>
      <c r="D931" s="6" t="str">
        <f>IF($A931="","",INDEX(Project_Tracker!$T$2:$T$101,INT((ROW()-6)/17)+1))</f>
        <v/>
      </c>
      <c r="E931" s="18">
        <f t="shared" si="70"/>
        <v>8</v>
      </c>
      <c r="F931" s="23" t="str">
        <f>IF($A931="","",INDEX('Logic &amp; Lists'!$I$4:$I$20,$E931))</f>
        <v/>
      </c>
      <c r="G931" s="18" t="str">
        <f>IF($A931="","",INDEX('Logic &amp; Lists'!$J$4:$J$20,$E931))</f>
        <v/>
      </c>
      <c r="H931" s="6" t="str">
        <f t="shared" si="71"/>
        <v/>
      </c>
      <c r="I931" s="18" t="str">
        <f t="shared" ca="1" si="72"/>
        <v/>
      </c>
      <c r="J931" s="5" t="str">
        <f t="shared" si="73"/>
        <v/>
      </c>
      <c r="K931" s="25"/>
      <c r="L931" s="5" t="str">
        <f t="shared" si="74"/>
        <v/>
      </c>
      <c r="M931" s="7"/>
      <c r="N931" s="7"/>
      <c r="O931" s="7"/>
      <c r="P931" s="20" t="str">
        <f>IF($A931="","",INDEX(Project_Tracker!$I$2:$I$101,INT((ROW()-6)/17)+1))</f>
        <v/>
      </c>
      <c r="Q931" s="20" t="str">
        <f>IF($A931="","",INDEX(Project_Tracker!$K$2:$K$101,INT((ROW()-6)/17)+1))</f>
        <v/>
      </c>
    </row>
    <row r="932" spans="1:17" x14ac:dyDescent="0.2">
      <c r="A932" s="20" t="str">
        <f>IF(INDEX(Project_Tracker!$AL$2:$AL$101,INT((ROW()-6)/17)+1)="","",INDEX(Project_Tracker!$AL$2:$AL$101,INT((ROW()-6)/17)+1))</f>
        <v/>
      </c>
      <c r="B932" s="21" t="str">
        <f>IF($A932="","",INDEX(Project_Tracker!$AM$2:$AM$101,INT((ROW()-6)/17)+1))</f>
        <v/>
      </c>
      <c r="C932" s="20" t="str">
        <f>IF($A932="","",INDEX(Project_Tracker!$C$2:$C$101,INT((ROW()-6)/17)+1))</f>
        <v/>
      </c>
      <c r="D932" s="6" t="str">
        <f>IF($A932="","",INDEX(Project_Tracker!$T$2:$T$101,INT((ROW()-6)/17)+1))</f>
        <v/>
      </c>
      <c r="E932" s="18">
        <f t="shared" si="70"/>
        <v>9</v>
      </c>
      <c r="F932" s="23" t="str">
        <f>IF($A932="","",INDEX('Logic &amp; Lists'!$I$4:$I$20,$E932))</f>
        <v/>
      </c>
      <c r="G932" s="18" t="str">
        <f>IF($A932="","",INDEX('Logic &amp; Lists'!$J$4:$J$20,$E932))</f>
        <v/>
      </c>
      <c r="H932" s="6" t="str">
        <f t="shared" si="71"/>
        <v/>
      </c>
      <c r="I932" s="18" t="str">
        <f t="shared" ca="1" si="72"/>
        <v/>
      </c>
      <c r="J932" s="5" t="str">
        <f t="shared" si="73"/>
        <v/>
      </c>
      <c r="K932" s="25"/>
      <c r="L932" s="5" t="str">
        <f t="shared" si="74"/>
        <v/>
      </c>
      <c r="M932" s="7"/>
      <c r="N932" s="7"/>
      <c r="O932" s="7"/>
      <c r="P932" s="20" t="str">
        <f>IF($A932="","",INDEX(Project_Tracker!$I$2:$I$101,INT((ROW()-6)/17)+1))</f>
        <v/>
      </c>
      <c r="Q932" s="20" t="str">
        <f>IF($A932="","",INDEX(Project_Tracker!$K$2:$K$101,INT((ROW()-6)/17)+1))</f>
        <v/>
      </c>
    </row>
    <row r="933" spans="1:17" x14ac:dyDescent="0.2">
      <c r="A933" s="20" t="str">
        <f>IF(INDEX(Project_Tracker!$AL$2:$AL$101,INT((ROW()-6)/17)+1)="","",INDEX(Project_Tracker!$AL$2:$AL$101,INT((ROW()-6)/17)+1))</f>
        <v/>
      </c>
      <c r="B933" s="21" t="str">
        <f>IF($A933="","",INDEX(Project_Tracker!$AM$2:$AM$101,INT((ROW()-6)/17)+1))</f>
        <v/>
      </c>
      <c r="C933" s="20" t="str">
        <f>IF($A933="","",INDEX(Project_Tracker!$C$2:$C$101,INT((ROW()-6)/17)+1))</f>
        <v/>
      </c>
      <c r="D933" s="6" t="str">
        <f>IF($A933="","",INDEX(Project_Tracker!$T$2:$T$101,INT((ROW()-6)/17)+1))</f>
        <v/>
      </c>
      <c r="E933" s="18">
        <f t="shared" si="70"/>
        <v>10</v>
      </c>
      <c r="F933" s="23" t="str">
        <f>IF($A933="","",INDEX('Logic &amp; Lists'!$I$4:$I$20,$E933))</f>
        <v/>
      </c>
      <c r="G933" s="18" t="str">
        <f>IF($A933="","",INDEX('Logic &amp; Lists'!$J$4:$J$20,$E933))</f>
        <v/>
      </c>
      <c r="H933" s="6" t="str">
        <f t="shared" si="71"/>
        <v/>
      </c>
      <c r="I933" s="18" t="str">
        <f t="shared" ca="1" si="72"/>
        <v/>
      </c>
      <c r="J933" s="5" t="str">
        <f t="shared" si="73"/>
        <v/>
      </c>
      <c r="K933" s="25"/>
      <c r="L933" s="5" t="str">
        <f t="shared" si="74"/>
        <v/>
      </c>
      <c r="M933" s="7"/>
      <c r="N933" s="7"/>
      <c r="O933" s="7"/>
      <c r="P933" s="20" t="str">
        <f>IF($A933="","",INDEX(Project_Tracker!$I$2:$I$101,INT((ROW()-6)/17)+1))</f>
        <v/>
      </c>
      <c r="Q933" s="20" t="str">
        <f>IF($A933="","",INDEX(Project_Tracker!$K$2:$K$101,INT((ROW()-6)/17)+1))</f>
        <v/>
      </c>
    </row>
    <row r="934" spans="1:17" x14ac:dyDescent="0.2">
      <c r="A934" s="20" t="str">
        <f>IF(INDEX(Project_Tracker!$AL$2:$AL$101,INT((ROW()-6)/17)+1)="","",INDEX(Project_Tracker!$AL$2:$AL$101,INT((ROW()-6)/17)+1))</f>
        <v/>
      </c>
      <c r="B934" s="21" t="str">
        <f>IF($A934="","",INDEX(Project_Tracker!$AM$2:$AM$101,INT((ROW()-6)/17)+1))</f>
        <v/>
      </c>
      <c r="C934" s="20" t="str">
        <f>IF($A934="","",INDEX(Project_Tracker!$C$2:$C$101,INT((ROW()-6)/17)+1))</f>
        <v/>
      </c>
      <c r="D934" s="6" t="str">
        <f>IF($A934="","",INDEX(Project_Tracker!$T$2:$T$101,INT((ROW()-6)/17)+1))</f>
        <v/>
      </c>
      <c r="E934" s="18">
        <f t="shared" si="70"/>
        <v>11</v>
      </c>
      <c r="F934" s="23" t="str">
        <f>IF($A934="","",INDEX('Logic &amp; Lists'!$I$4:$I$20,$E934))</f>
        <v/>
      </c>
      <c r="G934" s="18" t="str">
        <f>IF($A934="","",INDEX('Logic &amp; Lists'!$J$4:$J$20,$E934))</f>
        <v/>
      </c>
      <c r="H934" s="6" t="str">
        <f t="shared" si="71"/>
        <v/>
      </c>
      <c r="I934" s="18" t="str">
        <f t="shared" ca="1" si="72"/>
        <v/>
      </c>
      <c r="J934" s="5" t="str">
        <f t="shared" si="73"/>
        <v/>
      </c>
      <c r="K934" s="25"/>
      <c r="L934" s="5" t="str">
        <f t="shared" si="74"/>
        <v/>
      </c>
      <c r="M934" s="7"/>
      <c r="N934" s="7"/>
      <c r="O934" s="7"/>
      <c r="P934" s="20" t="str">
        <f>IF($A934="","",INDEX(Project_Tracker!$I$2:$I$101,INT((ROW()-6)/17)+1))</f>
        <v/>
      </c>
      <c r="Q934" s="20" t="str">
        <f>IF($A934="","",INDEX(Project_Tracker!$K$2:$K$101,INT((ROW()-6)/17)+1))</f>
        <v/>
      </c>
    </row>
    <row r="935" spans="1:17" x14ac:dyDescent="0.2">
      <c r="A935" s="20" t="str">
        <f>IF(INDEX(Project_Tracker!$AL$2:$AL$101,INT((ROW()-6)/17)+1)="","",INDEX(Project_Tracker!$AL$2:$AL$101,INT((ROW()-6)/17)+1))</f>
        <v/>
      </c>
      <c r="B935" s="21" t="str">
        <f>IF($A935="","",INDEX(Project_Tracker!$AM$2:$AM$101,INT((ROW()-6)/17)+1))</f>
        <v/>
      </c>
      <c r="C935" s="20" t="str">
        <f>IF($A935="","",INDEX(Project_Tracker!$C$2:$C$101,INT((ROW()-6)/17)+1))</f>
        <v/>
      </c>
      <c r="D935" s="6" t="str">
        <f>IF($A935="","",INDEX(Project_Tracker!$T$2:$T$101,INT((ROW()-6)/17)+1))</f>
        <v/>
      </c>
      <c r="E935" s="18">
        <f t="shared" si="70"/>
        <v>12</v>
      </c>
      <c r="F935" s="23" t="str">
        <f>IF($A935="","",INDEX('Logic &amp; Lists'!$I$4:$I$20,$E935))</f>
        <v/>
      </c>
      <c r="G935" s="18" t="str">
        <f>IF($A935="","",INDEX('Logic &amp; Lists'!$J$4:$J$20,$E935))</f>
        <v/>
      </c>
      <c r="H935" s="6" t="str">
        <f t="shared" si="71"/>
        <v/>
      </c>
      <c r="I935" s="18" t="str">
        <f t="shared" ca="1" si="72"/>
        <v/>
      </c>
      <c r="J935" s="5" t="str">
        <f t="shared" si="73"/>
        <v/>
      </c>
      <c r="K935" s="25"/>
      <c r="L935" s="5" t="str">
        <f t="shared" si="74"/>
        <v/>
      </c>
      <c r="M935" s="7"/>
      <c r="N935" s="7"/>
      <c r="O935" s="7"/>
      <c r="P935" s="20" t="str">
        <f>IF($A935="","",INDEX(Project_Tracker!$I$2:$I$101,INT((ROW()-6)/17)+1))</f>
        <v/>
      </c>
      <c r="Q935" s="20" t="str">
        <f>IF($A935="","",INDEX(Project_Tracker!$K$2:$K$101,INT((ROW()-6)/17)+1))</f>
        <v/>
      </c>
    </row>
    <row r="936" spans="1:17" x14ac:dyDescent="0.2">
      <c r="A936" s="20" t="str">
        <f>IF(INDEX(Project_Tracker!$AL$2:$AL$101,INT((ROW()-6)/17)+1)="","",INDEX(Project_Tracker!$AL$2:$AL$101,INT((ROW()-6)/17)+1))</f>
        <v/>
      </c>
      <c r="B936" s="21" t="str">
        <f>IF($A936="","",INDEX(Project_Tracker!$AM$2:$AM$101,INT((ROW()-6)/17)+1))</f>
        <v/>
      </c>
      <c r="C936" s="20" t="str">
        <f>IF($A936="","",INDEX(Project_Tracker!$C$2:$C$101,INT((ROW()-6)/17)+1))</f>
        <v/>
      </c>
      <c r="D936" s="6" t="str">
        <f>IF($A936="","",INDEX(Project_Tracker!$T$2:$T$101,INT((ROW()-6)/17)+1))</f>
        <v/>
      </c>
      <c r="E936" s="18">
        <f t="shared" si="70"/>
        <v>13</v>
      </c>
      <c r="F936" s="23" t="str">
        <f>IF($A936="","",INDEX('Logic &amp; Lists'!$I$4:$I$20,$E936))</f>
        <v/>
      </c>
      <c r="G936" s="18" t="str">
        <f>IF($A936="","",INDEX('Logic &amp; Lists'!$J$4:$J$20,$E936))</f>
        <v/>
      </c>
      <c r="H936" s="6" t="str">
        <f t="shared" si="71"/>
        <v/>
      </c>
      <c r="I936" s="18" t="str">
        <f t="shared" ca="1" si="72"/>
        <v/>
      </c>
      <c r="J936" s="5" t="str">
        <f t="shared" si="73"/>
        <v/>
      </c>
      <c r="K936" s="25"/>
      <c r="L936" s="5" t="str">
        <f t="shared" si="74"/>
        <v/>
      </c>
      <c r="M936" s="7"/>
      <c r="N936" s="7"/>
      <c r="O936" s="7"/>
      <c r="P936" s="20" t="str">
        <f>IF($A936="","",INDEX(Project_Tracker!$I$2:$I$101,INT((ROW()-6)/17)+1))</f>
        <v/>
      </c>
      <c r="Q936" s="20" t="str">
        <f>IF($A936="","",INDEX(Project_Tracker!$K$2:$K$101,INT((ROW()-6)/17)+1))</f>
        <v/>
      </c>
    </row>
    <row r="937" spans="1:17" x14ac:dyDescent="0.2">
      <c r="A937" s="20" t="str">
        <f>IF(INDEX(Project_Tracker!$AL$2:$AL$101,INT((ROW()-6)/17)+1)="","",INDEX(Project_Tracker!$AL$2:$AL$101,INT((ROW()-6)/17)+1))</f>
        <v/>
      </c>
      <c r="B937" s="21" t="str">
        <f>IF($A937="","",INDEX(Project_Tracker!$AM$2:$AM$101,INT((ROW()-6)/17)+1))</f>
        <v/>
      </c>
      <c r="C937" s="20" t="str">
        <f>IF($A937="","",INDEX(Project_Tracker!$C$2:$C$101,INT((ROW()-6)/17)+1))</f>
        <v/>
      </c>
      <c r="D937" s="6" t="str">
        <f>IF($A937="","",INDEX(Project_Tracker!$T$2:$T$101,INT((ROW()-6)/17)+1))</f>
        <v/>
      </c>
      <c r="E937" s="18">
        <f t="shared" si="70"/>
        <v>14</v>
      </c>
      <c r="F937" s="23" t="str">
        <f>IF($A937="","",INDEX('Logic &amp; Lists'!$I$4:$I$20,$E937))</f>
        <v/>
      </c>
      <c r="G937" s="18" t="str">
        <f>IF($A937="","",INDEX('Logic &amp; Lists'!$J$4:$J$20,$E937))</f>
        <v/>
      </c>
      <c r="H937" s="6" t="str">
        <f t="shared" si="71"/>
        <v/>
      </c>
      <c r="I937" s="18" t="str">
        <f t="shared" ca="1" si="72"/>
        <v/>
      </c>
      <c r="J937" s="5" t="str">
        <f t="shared" si="73"/>
        <v/>
      </c>
      <c r="K937" s="25"/>
      <c r="L937" s="5" t="str">
        <f t="shared" si="74"/>
        <v/>
      </c>
      <c r="M937" s="7"/>
      <c r="N937" s="7"/>
      <c r="O937" s="7"/>
      <c r="P937" s="20" t="str">
        <f>IF($A937="","",INDEX(Project_Tracker!$I$2:$I$101,INT((ROW()-6)/17)+1))</f>
        <v/>
      </c>
      <c r="Q937" s="20" t="str">
        <f>IF($A937="","",INDEX(Project_Tracker!$K$2:$K$101,INT((ROW()-6)/17)+1))</f>
        <v/>
      </c>
    </row>
    <row r="938" spans="1:17" x14ac:dyDescent="0.2">
      <c r="A938" s="20" t="str">
        <f>IF(INDEX(Project_Tracker!$AL$2:$AL$101,INT((ROW()-6)/17)+1)="","",INDEX(Project_Tracker!$AL$2:$AL$101,INT((ROW()-6)/17)+1))</f>
        <v/>
      </c>
      <c r="B938" s="21" t="str">
        <f>IF($A938="","",INDEX(Project_Tracker!$AM$2:$AM$101,INT((ROW()-6)/17)+1))</f>
        <v/>
      </c>
      <c r="C938" s="20" t="str">
        <f>IF($A938="","",INDEX(Project_Tracker!$C$2:$C$101,INT((ROW()-6)/17)+1))</f>
        <v/>
      </c>
      <c r="D938" s="6" t="str">
        <f>IF($A938="","",INDEX(Project_Tracker!$T$2:$T$101,INT((ROW()-6)/17)+1))</f>
        <v/>
      </c>
      <c r="E938" s="18">
        <f t="shared" si="70"/>
        <v>15</v>
      </c>
      <c r="F938" s="23" t="str">
        <f>IF($A938="","",INDEX('Logic &amp; Lists'!$I$4:$I$20,$E938))</f>
        <v/>
      </c>
      <c r="G938" s="18" t="str">
        <f>IF($A938="","",INDEX('Logic &amp; Lists'!$J$4:$J$20,$E938))</f>
        <v/>
      </c>
      <c r="H938" s="6" t="str">
        <f t="shared" si="71"/>
        <v/>
      </c>
      <c r="I938" s="18" t="str">
        <f t="shared" ca="1" si="72"/>
        <v/>
      </c>
      <c r="J938" s="5" t="str">
        <f t="shared" si="73"/>
        <v/>
      </c>
      <c r="K938" s="25"/>
      <c r="L938" s="5" t="str">
        <f t="shared" si="74"/>
        <v/>
      </c>
      <c r="M938" s="7"/>
      <c r="N938" s="7"/>
      <c r="O938" s="7"/>
      <c r="P938" s="20" t="str">
        <f>IF($A938="","",INDEX(Project_Tracker!$I$2:$I$101,INT((ROW()-6)/17)+1))</f>
        <v/>
      </c>
      <c r="Q938" s="20" t="str">
        <f>IF($A938="","",INDEX(Project_Tracker!$K$2:$K$101,INT((ROW()-6)/17)+1))</f>
        <v/>
      </c>
    </row>
    <row r="939" spans="1:17" x14ac:dyDescent="0.2">
      <c r="A939" s="20" t="str">
        <f>IF(INDEX(Project_Tracker!$AL$2:$AL$101,INT((ROW()-6)/17)+1)="","",INDEX(Project_Tracker!$AL$2:$AL$101,INT((ROW()-6)/17)+1))</f>
        <v/>
      </c>
      <c r="B939" s="21" t="str">
        <f>IF($A939="","",INDEX(Project_Tracker!$AM$2:$AM$101,INT((ROW()-6)/17)+1))</f>
        <v/>
      </c>
      <c r="C939" s="20" t="str">
        <f>IF($A939="","",INDEX(Project_Tracker!$C$2:$C$101,INT((ROW()-6)/17)+1))</f>
        <v/>
      </c>
      <c r="D939" s="6" t="str">
        <f>IF($A939="","",INDEX(Project_Tracker!$T$2:$T$101,INT((ROW()-6)/17)+1))</f>
        <v/>
      </c>
      <c r="E939" s="18">
        <f t="shared" si="70"/>
        <v>16</v>
      </c>
      <c r="F939" s="23" t="str">
        <f>IF($A939="","",INDEX('Logic &amp; Lists'!$I$4:$I$20,$E939))</f>
        <v/>
      </c>
      <c r="G939" s="18" t="str">
        <f>IF($A939="","",INDEX('Logic &amp; Lists'!$J$4:$J$20,$E939))</f>
        <v/>
      </c>
      <c r="H939" s="6" t="str">
        <f t="shared" si="71"/>
        <v/>
      </c>
      <c r="I939" s="18" t="str">
        <f t="shared" ca="1" si="72"/>
        <v/>
      </c>
      <c r="J939" s="5" t="str">
        <f t="shared" si="73"/>
        <v/>
      </c>
      <c r="K939" s="25"/>
      <c r="L939" s="5" t="str">
        <f t="shared" si="74"/>
        <v/>
      </c>
      <c r="M939" s="7"/>
      <c r="N939" s="7"/>
      <c r="O939" s="7"/>
      <c r="P939" s="20" t="str">
        <f>IF($A939="","",INDEX(Project_Tracker!$I$2:$I$101,INT((ROW()-6)/17)+1))</f>
        <v/>
      </c>
      <c r="Q939" s="20" t="str">
        <f>IF($A939="","",INDEX(Project_Tracker!$K$2:$K$101,INT((ROW()-6)/17)+1))</f>
        <v/>
      </c>
    </row>
    <row r="940" spans="1:17" x14ac:dyDescent="0.2">
      <c r="A940" s="20" t="str">
        <f>IF(INDEX(Project_Tracker!$AL$2:$AL$101,INT((ROW()-6)/17)+1)="","",INDEX(Project_Tracker!$AL$2:$AL$101,INT((ROW()-6)/17)+1))</f>
        <v/>
      </c>
      <c r="B940" s="21" t="str">
        <f>IF($A940="","",INDEX(Project_Tracker!$AM$2:$AM$101,INT((ROW()-6)/17)+1))</f>
        <v/>
      </c>
      <c r="C940" s="20" t="str">
        <f>IF($A940="","",INDEX(Project_Tracker!$C$2:$C$101,INT((ROW()-6)/17)+1))</f>
        <v/>
      </c>
      <c r="D940" s="6" t="str">
        <f>IF($A940="","",INDEX(Project_Tracker!$T$2:$T$101,INT((ROW()-6)/17)+1))</f>
        <v/>
      </c>
      <c r="E940" s="18">
        <f t="shared" si="70"/>
        <v>17</v>
      </c>
      <c r="F940" s="23" t="str">
        <f>IF($A940="","",INDEX('Logic &amp; Lists'!$I$4:$I$20,$E940))</f>
        <v/>
      </c>
      <c r="G940" s="18" t="str">
        <f>IF($A940="","",INDEX('Logic &amp; Lists'!$J$4:$J$20,$E940))</f>
        <v/>
      </c>
      <c r="H940" s="6" t="str">
        <f t="shared" si="71"/>
        <v/>
      </c>
      <c r="I940" s="18" t="str">
        <f t="shared" ca="1" si="72"/>
        <v/>
      </c>
      <c r="J940" s="5" t="str">
        <f t="shared" si="73"/>
        <v/>
      </c>
      <c r="K940" s="25"/>
      <c r="L940" s="5" t="str">
        <f t="shared" si="74"/>
        <v/>
      </c>
      <c r="M940" s="7"/>
      <c r="N940" s="7"/>
      <c r="O940" s="7"/>
      <c r="P940" s="20" t="str">
        <f>IF($A940="","",INDEX(Project_Tracker!$I$2:$I$101,INT((ROW()-6)/17)+1))</f>
        <v/>
      </c>
      <c r="Q940" s="20" t="str">
        <f>IF($A940="","",INDEX(Project_Tracker!$K$2:$K$101,INT((ROW()-6)/17)+1))</f>
        <v/>
      </c>
    </row>
    <row r="941" spans="1:17" x14ac:dyDescent="0.2">
      <c r="A941" s="20" t="str">
        <f>IF(INDEX(Project_Tracker!$AL$2:$AL$101,INT((ROW()-6)/17)+1)="","",INDEX(Project_Tracker!$AL$2:$AL$101,INT((ROW()-6)/17)+1))</f>
        <v/>
      </c>
      <c r="B941" s="21" t="str">
        <f>IF($A941="","",INDEX(Project_Tracker!$AM$2:$AM$101,INT((ROW()-6)/17)+1))</f>
        <v/>
      </c>
      <c r="C941" s="20" t="str">
        <f>IF($A941="","",INDEX(Project_Tracker!$C$2:$C$101,INT((ROW()-6)/17)+1))</f>
        <v/>
      </c>
      <c r="D941" s="6" t="str">
        <f>IF($A941="","",INDEX(Project_Tracker!$T$2:$T$101,INT((ROW()-6)/17)+1))</f>
        <v/>
      </c>
      <c r="E941" s="18">
        <f t="shared" si="70"/>
        <v>1</v>
      </c>
      <c r="F941" s="23" t="str">
        <f>IF($A941="","",INDEX('Logic &amp; Lists'!$I$4:$I$20,$E941))</f>
        <v/>
      </c>
      <c r="G941" s="18" t="str">
        <f>IF($A941="","",INDEX('Logic &amp; Lists'!$J$4:$J$20,$E941))</f>
        <v/>
      </c>
      <c r="H941" s="6" t="str">
        <f t="shared" si="71"/>
        <v/>
      </c>
      <c r="I941" s="18" t="str">
        <f t="shared" ca="1" si="72"/>
        <v/>
      </c>
      <c r="J941" s="5" t="str">
        <f t="shared" si="73"/>
        <v/>
      </c>
      <c r="K941" s="25"/>
      <c r="L941" s="5" t="str">
        <f t="shared" si="74"/>
        <v/>
      </c>
      <c r="M941" s="7"/>
      <c r="N941" s="7"/>
      <c r="O941" s="7"/>
      <c r="P941" s="20" t="str">
        <f>IF($A941="","",INDEX(Project_Tracker!$I$2:$I$101,INT((ROW()-6)/17)+1))</f>
        <v/>
      </c>
      <c r="Q941" s="20" t="str">
        <f>IF($A941="","",INDEX(Project_Tracker!$K$2:$K$101,INT((ROW()-6)/17)+1))</f>
        <v/>
      </c>
    </row>
    <row r="942" spans="1:17" x14ac:dyDescent="0.2">
      <c r="A942" s="20" t="str">
        <f>IF(INDEX(Project_Tracker!$AL$2:$AL$101,INT((ROW()-6)/17)+1)="","",INDEX(Project_Tracker!$AL$2:$AL$101,INT((ROW()-6)/17)+1))</f>
        <v/>
      </c>
      <c r="B942" s="21" t="str">
        <f>IF($A942="","",INDEX(Project_Tracker!$AM$2:$AM$101,INT((ROW()-6)/17)+1))</f>
        <v/>
      </c>
      <c r="C942" s="20" t="str">
        <f>IF($A942="","",INDEX(Project_Tracker!$C$2:$C$101,INT((ROW()-6)/17)+1))</f>
        <v/>
      </c>
      <c r="D942" s="6" t="str">
        <f>IF($A942="","",INDEX(Project_Tracker!$T$2:$T$101,INT((ROW()-6)/17)+1))</f>
        <v/>
      </c>
      <c r="E942" s="18">
        <f t="shared" si="70"/>
        <v>2</v>
      </c>
      <c r="F942" s="23" t="str">
        <f>IF($A942="","",INDEX('Logic &amp; Lists'!$I$4:$I$20,$E942))</f>
        <v/>
      </c>
      <c r="G942" s="18" t="str">
        <f>IF($A942="","",INDEX('Logic &amp; Lists'!$J$4:$J$20,$E942))</f>
        <v/>
      </c>
      <c r="H942" s="6" t="str">
        <f t="shared" si="71"/>
        <v/>
      </c>
      <c r="I942" s="18" t="str">
        <f t="shared" ca="1" si="72"/>
        <v/>
      </c>
      <c r="J942" s="5" t="str">
        <f t="shared" si="73"/>
        <v/>
      </c>
      <c r="K942" s="25"/>
      <c r="L942" s="5" t="str">
        <f t="shared" si="74"/>
        <v/>
      </c>
      <c r="M942" s="7"/>
      <c r="N942" s="7"/>
      <c r="O942" s="7"/>
      <c r="P942" s="20" t="str">
        <f>IF($A942="","",INDEX(Project_Tracker!$I$2:$I$101,INT((ROW()-6)/17)+1))</f>
        <v/>
      </c>
      <c r="Q942" s="20" t="str">
        <f>IF($A942="","",INDEX(Project_Tracker!$K$2:$K$101,INT((ROW()-6)/17)+1))</f>
        <v/>
      </c>
    </row>
    <row r="943" spans="1:17" x14ac:dyDescent="0.2">
      <c r="A943" s="20" t="str">
        <f>IF(INDEX(Project_Tracker!$AL$2:$AL$101,INT((ROW()-6)/17)+1)="","",INDEX(Project_Tracker!$AL$2:$AL$101,INT((ROW()-6)/17)+1))</f>
        <v/>
      </c>
      <c r="B943" s="21" t="str">
        <f>IF($A943="","",INDEX(Project_Tracker!$AM$2:$AM$101,INT((ROW()-6)/17)+1))</f>
        <v/>
      </c>
      <c r="C943" s="20" t="str">
        <f>IF($A943="","",INDEX(Project_Tracker!$C$2:$C$101,INT((ROW()-6)/17)+1))</f>
        <v/>
      </c>
      <c r="D943" s="6" t="str">
        <f>IF($A943="","",INDEX(Project_Tracker!$T$2:$T$101,INT((ROW()-6)/17)+1))</f>
        <v/>
      </c>
      <c r="E943" s="18">
        <f t="shared" si="70"/>
        <v>3</v>
      </c>
      <c r="F943" s="23" t="str">
        <f>IF($A943="","",INDEX('Logic &amp; Lists'!$I$4:$I$20,$E943))</f>
        <v/>
      </c>
      <c r="G943" s="18" t="str">
        <f>IF($A943="","",INDEX('Logic &amp; Lists'!$J$4:$J$20,$E943))</f>
        <v/>
      </c>
      <c r="H943" s="6" t="str">
        <f t="shared" si="71"/>
        <v/>
      </c>
      <c r="I943" s="18" t="str">
        <f t="shared" ca="1" si="72"/>
        <v/>
      </c>
      <c r="J943" s="5" t="str">
        <f t="shared" si="73"/>
        <v/>
      </c>
      <c r="K943" s="25"/>
      <c r="L943" s="5" t="str">
        <f t="shared" si="74"/>
        <v/>
      </c>
      <c r="M943" s="7"/>
      <c r="N943" s="7"/>
      <c r="O943" s="7"/>
      <c r="P943" s="20" t="str">
        <f>IF($A943="","",INDEX(Project_Tracker!$I$2:$I$101,INT((ROW()-6)/17)+1))</f>
        <v/>
      </c>
      <c r="Q943" s="20" t="str">
        <f>IF($A943="","",INDEX(Project_Tracker!$K$2:$K$101,INT((ROW()-6)/17)+1))</f>
        <v/>
      </c>
    </row>
    <row r="944" spans="1:17" x14ac:dyDescent="0.2">
      <c r="A944" s="20" t="str">
        <f>IF(INDEX(Project_Tracker!$AL$2:$AL$101,INT((ROW()-6)/17)+1)="","",INDEX(Project_Tracker!$AL$2:$AL$101,INT((ROW()-6)/17)+1))</f>
        <v/>
      </c>
      <c r="B944" s="21" t="str">
        <f>IF($A944="","",INDEX(Project_Tracker!$AM$2:$AM$101,INT((ROW()-6)/17)+1))</f>
        <v/>
      </c>
      <c r="C944" s="20" t="str">
        <f>IF($A944="","",INDEX(Project_Tracker!$C$2:$C$101,INT((ROW()-6)/17)+1))</f>
        <v/>
      </c>
      <c r="D944" s="6" t="str">
        <f>IF($A944="","",INDEX(Project_Tracker!$T$2:$T$101,INT((ROW()-6)/17)+1))</f>
        <v/>
      </c>
      <c r="E944" s="18">
        <f t="shared" si="70"/>
        <v>4</v>
      </c>
      <c r="F944" s="23" t="str">
        <f>IF($A944="","",INDEX('Logic &amp; Lists'!$I$4:$I$20,$E944))</f>
        <v/>
      </c>
      <c r="G944" s="18" t="str">
        <f>IF($A944="","",INDEX('Logic &amp; Lists'!$J$4:$J$20,$E944))</f>
        <v/>
      </c>
      <c r="H944" s="6" t="str">
        <f t="shared" si="71"/>
        <v/>
      </c>
      <c r="I944" s="18" t="str">
        <f t="shared" ca="1" si="72"/>
        <v/>
      </c>
      <c r="J944" s="5" t="str">
        <f t="shared" si="73"/>
        <v/>
      </c>
      <c r="K944" s="25"/>
      <c r="L944" s="5" t="str">
        <f t="shared" si="74"/>
        <v/>
      </c>
      <c r="M944" s="7"/>
      <c r="N944" s="7"/>
      <c r="O944" s="7"/>
      <c r="P944" s="20" t="str">
        <f>IF($A944="","",INDEX(Project_Tracker!$I$2:$I$101,INT((ROW()-6)/17)+1))</f>
        <v/>
      </c>
      <c r="Q944" s="20" t="str">
        <f>IF($A944="","",INDEX(Project_Tracker!$K$2:$K$101,INT((ROW()-6)/17)+1))</f>
        <v/>
      </c>
    </row>
    <row r="945" spans="1:17" x14ac:dyDescent="0.2">
      <c r="A945" s="20" t="str">
        <f>IF(INDEX(Project_Tracker!$AL$2:$AL$101,INT((ROW()-6)/17)+1)="","",INDEX(Project_Tracker!$AL$2:$AL$101,INT((ROW()-6)/17)+1))</f>
        <v/>
      </c>
      <c r="B945" s="21" t="str">
        <f>IF($A945="","",INDEX(Project_Tracker!$AM$2:$AM$101,INT((ROW()-6)/17)+1))</f>
        <v/>
      </c>
      <c r="C945" s="20" t="str">
        <f>IF($A945="","",INDEX(Project_Tracker!$C$2:$C$101,INT((ROW()-6)/17)+1))</f>
        <v/>
      </c>
      <c r="D945" s="6" t="str">
        <f>IF($A945="","",INDEX(Project_Tracker!$T$2:$T$101,INT((ROW()-6)/17)+1))</f>
        <v/>
      </c>
      <c r="E945" s="18">
        <f t="shared" si="70"/>
        <v>5</v>
      </c>
      <c r="F945" s="23" t="str">
        <f>IF($A945="","",INDEX('Logic &amp; Lists'!$I$4:$I$20,$E945))</f>
        <v/>
      </c>
      <c r="G945" s="18" t="str">
        <f>IF($A945="","",INDEX('Logic &amp; Lists'!$J$4:$J$20,$E945))</f>
        <v/>
      </c>
      <c r="H945" s="6" t="str">
        <f t="shared" si="71"/>
        <v/>
      </c>
      <c r="I945" s="18" t="str">
        <f t="shared" ca="1" si="72"/>
        <v/>
      </c>
      <c r="J945" s="5" t="str">
        <f t="shared" si="73"/>
        <v/>
      </c>
      <c r="K945" s="25"/>
      <c r="L945" s="5" t="str">
        <f t="shared" si="74"/>
        <v/>
      </c>
      <c r="M945" s="7"/>
      <c r="N945" s="7"/>
      <c r="O945" s="7"/>
      <c r="P945" s="20" t="str">
        <f>IF($A945="","",INDEX(Project_Tracker!$I$2:$I$101,INT((ROW()-6)/17)+1))</f>
        <v/>
      </c>
      <c r="Q945" s="20" t="str">
        <f>IF($A945="","",INDEX(Project_Tracker!$K$2:$K$101,INT((ROW()-6)/17)+1))</f>
        <v/>
      </c>
    </row>
    <row r="946" spans="1:17" x14ac:dyDescent="0.2">
      <c r="A946" s="20" t="str">
        <f>IF(INDEX(Project_Tracker!$AL$2:$AL$101,INT((ROW()-6)/17)+1)="","",INDEX(Project_Tracker!$AL$2:$AL$101,INT((ROW()-6)/17)+1))</f>
        <v/>
      </c>
      <c r="B946" s="21" t="str">
        <f>IF($A946="","",INDEX(Project_Tracker!$AM$2:$AM$101,INT((ROW()-6)/17)+1))</f>
        <v/>
      </c>
      <c r="C946" s="20" t="str">
        <f>IF($A946="","",INDEX(Project_Tracker!$C$2:$C$101,INT((ROW()-6)/17)+1))</f>
        <v/>
      </c>
      <c r="D946" s="6" t="str">
        <f>IF($A946="","",INDEX(Project_Tracker!$T$2:$T$101,INT((ROW()-6)/17)+1))</f>
        <v/>
      </c>
      <c r="E946" s="18">
        <f t="shared" si="70"/>
        <v>6</v>
      </c>
      <c r="F946" s="23" t="str">
        <f>IF($A946="","",INDEX('Logic &amp; Lists'!$I$4:$I$20,$E946))</f>
        <v/>
      </c>
      <c r="G946" s="18" t="str">
        <f>IF($A946="","",INDEX('Logic &amp; Lists'!$J$4:$J$20,$E946))</f>
        <v/>
      </c>
      <c r="H946" s="6" t="str">
        <f t="shared" si="71"/>
        <v/>
      </c>
      <c r="I946" s="18" t="str">
        <f t="shared" ca="1" si="72"/>
        <v/>
      </c>
      <c r="J946" s="5" t="str">
        <f t="shared" si="73"/>
        <v/>
      </c>
      <c r="K946" s="25"/>
      <c r="L946" s="5" t="str">
        <f t="shared" si="74"/>
        <v/>
      </c>
      <c r="M946" s="7"/>
      <c r="N946" s="7"/>
      <c r="O946" s="7"/>
      <c r="P946" s="20" t="str">
        <f>IF($A946="","",INDEX(Project_Tracker!$I$2:$I$101,INT((ROW()-6)/17)+1))</f>
        <v/>
      </c>
      <c r="Q946" s="20" t="str">
        <f>IF($A946="","",INDEX(Project_Tracker!$K$2:$K$101,INT((ROW()-6)/17)+1))</f>
        <v/>
      </c>
    </row>
    <row r="947" spans="1:17" x14ac:dyDescent="0.2">
      <c r="A947" s="20" t="str">
        <f>IF(INDEX(Project_Tracker!$AL$2:$AL$101,INT((ROW()-6)/17)+1)="","",INDEX(Project_Tracker!$AL$2:$AL$101,INT((ROW()-6)/17)+1))</f>
        <v/>
      </c>
      <c r="B947" s="21" t="str">
        <f>IF($A947="","",INDEX(Project_Tracker!$AM$2:$AM$101,INT((ROW()-6)/17)+1))</f>
        <v/>
      </c>
      <c r="C947" s="20" t="str">
        <f>IF($A947="","",INDEX(Project_Tracker!$C$2:$C$101,INT((ROW()-6)/17)+1))</f>
        <v/>
      </c>
      <c r="D947" s="6" t="str">
        <f>IF($A947="","",INDEX(Project_Tracker!$T$2:$T$101,INT((ROW()-6)/17)+1))</f>
        <v/>
      </c>
      <c r="E947" s="18">
        <f t="shared" si="70"/>
        <v>7</v>
      </c>
      <c r="F947" s="23" t="str">
        <f>IF($A947="","",INDEX('Logic &amp; Lists'!$I$4:$I$20,$E947))</f>
        <v/>
      </c>
      <c r="G947" s="18" t="str">
        <f>IF($A947="","",INDEX('Logic &amp; Lists'!$J$4:$J$20,$E947))</f>
        <v/>
      </c>
      <c r="H947" s="6" t="str">
        <f t="shared" si="71"/>
        <v/>
      </c>
      <c r="I947" s="18" t="str">
        <f t="shared" ca="1" si="72"/>
        <v/>
      </c>
      <c r="J947" s="5" t="str">
        <f t="shared" si="73"/>
        <v/>
      </c>
      <c r="K947" s="25"/>
      <c r="L947" s="5" t="str">
        <f t="shared" si="74"/>
        <v/>
      </c>
      <c r="M947" s="7"/>
      <c r="N947" s="7"/>
      <c r="O947" s="7"/>
      <c r="P947" s="20" t="str">
        <f>IF($A947="","",INDEX(Project_Tracker!$I$2:$I$101,INT((ROW()-6)/17)+1))</f>
        <v/>
      </c>
      <c r="Q947" s="20" t="str">
        <f>IF($A947="","",INDEX(Project_Tracker!$K$2:$K$101,INT((ROW()-6)/17)+1))</f>
        <v/>
      </c>
    </row>
    <row r="948" spans="1:17" x14ac:dyDescent="0.2">
      <c r="A948" s="20" t="str">
        <f>IF(INDEX(Project_Tracker!$AL$2:$AL$101,INT((ROW()-6)/17)+1)="","",INDEX(Project_Tracker!$AL$2:$AL$101,INT((ROW()-6)/17)+1))</f>
        <v/>
      </c>
      <c r="B948" s="21" t="str">
        <f>IF($A948="","",INDEX(Project_Tracker!$AM$2:$AM$101,INT((ROW()-6)/17)+1))</f>
        <v/>
      </c>
      <c r="C948" s="20" t="str">
        <f>IF($A948="","",INDEX(Project_Tracker!$C$2:$C$101,INT((ROW()-6)/17)+1))</f>
        <v/>
      </c>
      <c r="D948" s="6" t="str">
        <f>IF($A948="","",INDEX(Project_Tracker!$T$2:$T$101,INT((ROW()-6)/17)+1))</f>
        <v/>
      </c>
      <c r="E948" s="18">
        <f t="shared" si="70"/>
        <v>8</v>
      </c>
      <c r="F948" s="23" t="str">
        <f>IF($A948="","",INDEX('Logic &amp; Lists'!$I$4:$I$20,$E948))</f>
        <v/>
      </c>
      <c r="G948" s="18" t="str">
        <f>IF($A948="","",INDEX('Logic &amp; Lists'!$J$4:$J$20,$E948))</f>
        <v/>
      </c>
      <c r="H948" s="6" t="str">
        <f t="shared" si="71"/>
        <v/>
      </c>
      <c r="I948" s="18" t="str">
        <f t="shared" ca="1" si="72"/>
        <v/>
      </c>
      <c r="J948" s="5" t="str">
        <f t="shared" si="73"/>
        <v/>
      </c>
      <c r="K948" s="25"/>
      <c r="L948" s="5" t="str">
        <f t="shared" si="74"/>
        <v/>
      </c>
      <c r="M948" s="7"/>
      <c r="N948" s="7"/>
      <c r="O948" s="7"/>
      <c r="P948" s="20" t="str">
        <f>IF($A948="","",INDEX(Project_Tracker!$I$2:$I$101,INT((ROW()-6)/17)+1))</f>
        <v/>
      </c>
      <c r="Q948" s="20" t="str">
        <f>IF($A948="","",INDEX(Project_Tracker!$K$2:$K$101,INT((ROW()-6)/17)+1))</f>
        <v/>
      </c>
    </row>
    <row r="949" spans="1:17" x14ac:dyDescent="0.2">
      <c r="A949" s="20" t="str">
        <f>IF(INDEX(Project_Tracker!$AL$2:$AL$101,INT((ROW()-6)/17)+1)="","",INDEX(Project_Tracker!$AL$2:$AL$101,INT((ROW()-6)/17)+1))</f>
        <v/>
      </c>
      <c r="B949" s="21" t="str">
        <f>IF($A949="","",INDEX(Project_Tracker!$AM$2:$AM$101,INT((ROW()-6)/17)+1))</f>
        <v/>
      </c>
      <c r="C949" s="20" t="str">
        <f>IF($A949="","",INDEX(Project_Tracker!$C$2:$C$101,INT((ROW()-6)/17)+1))</f>
        <v/>
      </c>
      <c r="D949" s="6" t="str">
        <f>IF($A949="","",INDEX(Project_Tracker!$T$2:$T$101,INT((ROW()-6)/17)+1))</f>
        <v/>
      </c>
      <c r="E949" s="18">
        <f t="shared" si="70"/>
        <v>9</v>
      </c>
      <c r="F949" s="23" t="str">
        <f>IF($A949="","",INDEX('Logic &amp; Lists'!$I$4:$I$20,$E949))</f>
        <v/>
      </c>
      <c r="G949" s="18" t="str">
        <f>IF($A949="","",INDEX('Logic &amp; Lists'!$J$4:$J$20,$E949))</f>
        <v/>
      </c>
      <c r="H949" s="6" t="str">
        <f t="shared" si="71"/>
        <v/>
      </c>
      <c r="I949" s="18" t="str">
        <f t="shared" ca="1" si="72"/>
        <v/>
      </c>
      <c r="J949" s="5" t="str">
        <f t="shared" si="73"/>
        <v/>
      </c>
      <c r="K949" s="25"/>
      <c r="L949" s="5" t="str">
        <f t="shared" si="74"/>
        <v/>
      </c>
      <c r="M949" s="7"/>
      <c r="N949" s="7"/>
      <c r="O949" s="7"/>
      <c r="P949" s="20" t="str">
        <f>IF($A949="","",INDEX(Project_Tracker!$I$2:$I$101,INT((ROW()-6)/17)+1))</f>
        <v/>
      </c>
      <c r="Q949" s="20" t="str">
        <f>IF($A949="","",INDEX(Project_Tracker!$K$2:$K$101,INT((ROW()-6)/17)+1))</f>
        <v/>
      </c>
    </row>
    <row r="950" spans="1:17" x14ac:dyDescent="0.2">
      <c r="A950" s="20" t="str">
        <f>IF(INDEX(Project_Tracker!$AL$2:$AL$101,INT((ROW()-6)/17)+1)="","",INDEX(Project_Tracker!$AL$2:$AL$101,INT((ROW()-6)/17)+1))</f>
        <v/>
      </c>
      <c r="B950" s="21" t="str">
        <f>IF($A950="","",INDEX(Project_Tracker!$AM$2:$AM$101,INT((ROW()-6)/17)+1))</f>
        <v/>
      </c>
      <c r="C950" s="20" t="str">
        <f>IF($A950="","",INDEX(Project_Tracker!$C$2:$C$101,INT((ROW()-6)/17)+1))</f>
        <v/>
      </c>
      <c r="D950" s="6" t="str">
        <f>IF($A950="","",INDEX(Project_Tracker!$T$2:$T$101,INT((ROW()-6)/17)+1))</f>
        <v/>
      </c>
      <c r="E950" s="18">
        <f t="shared" si="70"/>
        <v>10</v>
      </c>
      <c r="F950" s="23" t="str">
        <f>IF($A950="","",INDEX('Logic &amp; Lists'!$I$4:$I$20,$E950))</f>
        <v/>
      </c>
      <c r="G950" s="18" t="str">
        <f>IF($A950="","",INDEX('Logic &amp; Lists'!$J$4:$J$20,$E950))</f>
        <v/>
      </c>
      <c r="H950" s="6" t="str">
        <f t="shared" si="71"/>
        <v/>
      </c>
      <c r="I950" s="18" t="str">
        <f t="shared" ca="1" si="72"/>
        <v/>
      </c>
      <c r="J950" s="5" t="str">
        <f t="shared" si="73"/>
        <v/>
      </c>
      <c r="K950" s="25"/>
      <c r="L950" s="5" t="str">
        <f t="shared" si="74"/>
        <v/>
      </c>
      <c r="M950" s="7"/>
      <c r="N950" s="7"/>
      <c r="O950" s="7"/>
      <c r="P950" s="20" t="str">
        <f>IF($A950="","",INDEX(Project_Tracker!$I$2:$I$101,INT((ROW()-6)/17)+1))</f>
        <v/>
      </c>
      <c r="Q950" s="20" t="str">
        <f>IF($A950="","",INDEX(Project_Tracker!$K$2:$K$101,INT((ROW()-6)/17)+1))</f>
        <v/>
      </c>
    </row>
    <row r="951" spans="1:17" x14ac:dyDescent="0.2">
      <c r="A951" s="20" t="str">
        <f>IF(INDEX(Project_Tracker!$AL$2:$AL$101,INT((ROW()-6)/17)+1)="","",INDEX(Project_Tracker!$AL$2:$AL$101,INT((ROW()-6)/17)+1))</f>
        <v/>
      </c>
      <c r="B951" s="21" t="str">
        <f>IF($A951="","",INDEX(Project_Tracker!$AM$2:$AM$101,INT((ROW()-6)/17)+1))</f>
        <v/>
      </c>
      <c r="C951" s="20" t="str">
        <f>IF($A951="","",INDEX(Project_Tracker!$C$2:$C$101,INT((ROW()-6)/17)+1))</f>
        <v/>
      </c>
      <c r="D951" s="6" t="str">
        <f>IF($A951="","",INDEX(Project_Tracker!$T$2:$T$101,INT((ROW()-6)/17)+1))</f>
        <v/>
      </c>
      <c r="E951" s="18">
        <f t="shared" si="70"/>
        <v>11</v>
      </c>
      <c r="F951" s="23" t="str">
        <f>IF($A951="","",INDEX('Logic &amp; Lists'!$I$4:$I$20,$E951))</f>
        <v/>
      </c>
      <c r="G951" s="18" t="str">
        <f>IF($A951="","",INDEX('Logic &amp; Lists'!$J$4:$J$20,$E951))</f>
        <v/>
      </c>
      <c r="H951" s="6" t="str">
        <f t="shared" si="71"/>
        <v/>
      </c>
      <c r="I951" s="18" t="str">
        <f t="shared" ca="1" si="72"/>
        <v/>
      </c>
      <c r="J951" s="5" t="str">
        <f t="shared" si="73"/>
        <v/>
      </c>
      <c r="K951" s="25"/>
      <c r="L951" s="5" t="str">
        <f t="shared" si="74"/>
        <v/>
      </c>
      <c r="M951" s="7"/>
      <c r="N951" s="7"/>
      <c r="O951" s="7"/>
      <c r="P951" s="20" t="str">
        <f>IF($A951="","",INDEX(Project_Tracker!$I$2:$I$101,INT((ROW()-6)/17)+1))</f>
        <v/>
      </c>
      <c r="Q951" s="20" t="str">
        <f>IF($A951="","",INDEX(Project_Tracker!$K$2:$K$101,INT((ROW()-6)/17)+1))</f>
        <v/>
      </c>
    </row>
    <row r="952" spans="1:17" x14ac:dyDescent="0.2">
      <c r="A952" s="20" t="str">
        <f>IF(INDEX(Project_Tracker!$AL$2:$AL$101,INT((ROW()-6)/17)+1)="","",INDEX(Project_Tracker!$AL$2:$AL$101,INT((ROW()-6)/17)+1))</f>
        <v/>
      </c>
      <c r="B952" s="21" t="str">
        <f>IF($A952="","",INDEX(Project_Tracker!$AM$2:$AM$101,INT((ROW()-6)/17)+1))</f>
        <v/>
      </c>
      <c r="C952" s="20" t="str">
        <f>IF($A952="","",INDEX(Project_Tracker!$C$2:$C$101,INT((ROW()-6)/17)+1))</f>
        <v/>
      </c>
      <c r="D952" s="6" t="str">
        <f>IF($A952="","",INDEX(Project_Tracker!$T$2:$T$101,INT((ROW()-6)/17)+1))</f>
        <v/>
      </c>
      <c r="E952" s="18">
        <f t="shared" si="70"/>
        <v>12</v>
      </c>
      <c r="F952" s="23" t="str">
        <f>IF($A952="","",INDEX('Logic &amp; Lists'!$I$4:$I$20,$E952))</f>
        <v/>
      </c>
      <c r="G952" s="18" t="str">
        <f>IF($A952="","",INDEX('Logic &amp; Lists'!$J$4:$J$20,$E952))</f>
        <v/>
      </c>
      <c r="H952" s="6" t="str">
        <f t="shared" si="71"/>
        <v/>
      </c>
      <c r="I952" s="18" t="str">
        <f t="shared" ca="1" si="72"/>
        <v/>
      </c>
      <c r="J952" s="5" t="str">
        <f t="shared" si="73"/>
        <v/>
      </c>
      <c r="K952" s="25"/>
      <c r="L952" s="5" t="str">
        <f t="shared" si="74"/>
        <v/>
      </c>
      <c r="M952" s="7"/>
      <c r="N952" s="7"/>
      <c r="O952" s="7"/>
      <c r="P952" s="20" t="str">
        <f>IF($A952="","",INDEX(Project_Tracker!$I$2:$I$101,INT((ROW()-6)/17)+1))</f>
        <v/>
      </c>
      <c r="Q952" s="20" t="str">
        <f>IF($A952="","",INDEX(Project_Tracker!$K$2:$K$101,INT((ROW()-6)/17)+1))</f>
        <v/>
      </c>
    </row>
    <row r="953" spans="1:17" x14ac:dyDescent="0.2">
      <c r="A953" s="20" t="str">
        <f>IF(INDEX(Project_Tracker!$AL$2:$AL$101,INT((ROW()-6)/17)+1)="","",INDEX(Project_Tracker!$AL$2:$AL$101,INT((ROW()-6)/17)+1))</f>
        <v/>
      </c>
      <c r="B953" s="21" t="str">
        <f>IF($A953="","",INDEX(Project_Tracker!$AM$2:$AM$101,INT((ROW()-6)/17)+1))</f>
        <v/>
      </c>
      <c r="C953" s="20" t="str">
        <f>IF($A953="","",INDEX(Project_Tracker!$C$2:$C$101,INT((ROW()-6)/17)+1))</f>
        <v/>
      </c>
      <c r="D953" s="6" t="str">
        <f>IF($A953="","",INDEX(Project_Tracker!$T$2:$T$101,INT((ROW()-6)/17)+1))</f>
        <v/>
      </c>
      <c r="E953" s="18">
        <f t="shared" si="70"/>
        <v>13</v>
      </c>
      <c r="F953" s="23" t="str">
        <f>IF($A953="","",INDEX('Logic &amp; Lists'!$I$4:$I$20,$E953))</f>
        <v/>
      </c>
      <c r="G953" s="18" t="str">
        <f>IF($A953="","",INDEX('Logic &amp; Lists'!$J$4:$J$20,$E953))</f>
        <v/>
      </c>
      <c r="H953" s="6" t="str">
        <f t="shared" si="71"/>
        <v/>
      </c>
      <c r="I953" s="18" t="str">
        <f t="shared" ca="1" si="72"/>
        <v/>
      </c>
      <c r="J953" s="5" t="str">
        <f t="shared" si="73"/>
        <v/>
      </c>
      <c r="K953" s="25"/>
      <c r="L953" s="5" t="str">
        <f t="shared" si="74"/>
        <v/>
      </c>
      <c r="M953" s="7"/>
      <c r="N953" s="7"/>
      <c r="O953" s="7"/>
      <c r="P953" s="20" t="str">
        <f>IF($A953="","",INDEX(Project_Tracker!$I$2:$I$101,INT((ROW()-6)/17)+1))</f>
        <v/>
      </c>
      <c r="Q953" s="20" t="str">
        <f>IF($A953="","",INDEX(Project_Tracker!$K$2:$K$101,INT((ROW()-6)/17)+1))</f>
        <v/>
      </c>
    </row>
    <row r="954" spans="1:17" x14ac:dyDescent="0.2">
      <c r="A954" s="20" t="str">
        <f>IF(INDEX(Project_Tracker!$AL$2:$AL$101,INT((ROW()-6)/17)+1)="","",INDEX(Project_Tracker!$AL$2:$AL$101,INT((ROW()-6)/17)+1))</f>
        <v/>
      </c>
      <c r="B954" s="21" t="str">
        <f>IF($A954="","",INDEX(Project_Tracker!$AM$2:$AM$101,INT((ROW()-6)/17)+1))</f>
        <v/>
      </c>
      <c r="C954" s="20" t="str">
        <f>IF($A954="","",INDEX(Project_Tracker!$C$2:$C$101,INT((ROW()-6)/17)+1))</f>
        <v/>
      </c>
      <c r="D954" s="6" t="str">
        <f>IF($A954="","",INDEX(Project_Tracker!$T$2:$T$101,INT((ROW()-6)/17)+1))</f>
        <v/>
      </c>
      <c r="E954" s="18">
        <f t="shared" si="70"/>
        <v>14</v>
      </c>
      <c r="F954" s="23" t="str">
        <f>IF($A954="","",INDEX('Logic &amp; Lists'!$I$4:$I$20,$E954))</f>
        <v/>
      </c>
      <c r="G954" s="18" t="str">
        <f>IF($A954="","",INDEX('Logic &amp; Lists'!$J$4:$J$20,$E954))</f>
        <v/>
      </c>
      <c r="H954" s="6" t="str">
        <f t="shared" si="71"/>
        <v/>
      </c>
      <c r="I954" s="18" t="str">
        <f t="shared" ca="1" si="72"/>
        <v/>
      </c>
      <c r="J954" s="5" t="str">
        <f t="shared" si="73"/>
        <v/>
      </c>
      <c r="K954" s="25"/>
      <c r="L954" s="5" t="str">
        <f t="shared" si="74"/>
        <v/>
      </c>
      <c r="M954" s="7"/>
      <c r="N954" s="7"/>
      <c r="O954" s="7"/>
      <c r="P954" s="20" t="str">
        <f>IF($A954="","",INDEX(Project_Tracker!$I$2:$I$101,INT((ROW()-6)/17)+1))</f>
        <v/>
      </c>
      <c r="Q954" s="20" t="str">
        <f>IF($A954="","",INDEX(Project_Tracker!$K$2:$K$101,INT((ROW()-6)/17)+1))</f>
        <v/>
      </c>
    </row>
    <row r="955" spans="1:17" x14ac:dyDescent="0.2">
      <c r="A955" s="20" t="str">
        <f>IF(INDEX(Project_Tracker!$AL$2:$AL$101,INT((ROW()-6)/17)+1)="","",INDEX(Project_Tracker!$AL$2:$AL$101,INT((ROW()-6)/17)+1))</f>
        <v/>
      </c>
      <c r="B955" s="21" t="str">
        <f>IF($A955="","",INDEX(Project_Tracker!$AM$2:$AM$101,INT((ROW()-6)/17)+1))</f>
        <v/>
      </c>
      <c r="C955" s="20" t="str">
        <f>IF($A955="","",INDEX(Project_Tracker!$C$2:$C$101,INT((ROW()-6)/17)+1))</f>
        <v/>
      </c>
      <c r="D955" s="6" t="str">
        <f>IF($A955="","",INDEX(Project_Tracker!$T$2:$T$101,INT((ROW()-6)/17)+1))</f>
        <v/>
      </c>
      <c r="E955" s="18">
        <f t="shared" si="70"/>
        <v>15</v>
      </c>
      <c r="F955" s="23" t="str">
        <f>IF($A955="","",INDEX('Logic &amp; Lists'!$I$4:$I$20,$E955))</f>
        <v/>
      </c>
      <c r="G955" s="18" t="str">
        <f>IF($A955="","",INDEX('Logic &amp; Lists'!$J$4:$J$20,$E955))</f>
        <v/>
      </c>
      <c r="H955" s="6" t="str">
        <f t="shared" si="71"/>
        <v/>
      </c>
      <c r="I955" s="18" t="str">
        <f t="shared" ca="1" si="72"/>
        <v/>
      </c>
      <c r="J955" s="5" t="str">
        <f t="shared" si="73"/>
        <v/>
      </c>
      <c r="K955" s="25"/>
      <c r="L955" s="5" t="str">
        <f t="shared" si="74"/>
        <v/>
      </c>
      <c r="M955" s="7"/>
      <c r="N955" s="7"/>
      <c r="O955" s="7"/>
      <c r="P955" s="20" t="str">
        <f>IF($A955="","",INDEX(Project_Tracker!$I$2:$I$101,INT((ROW()-6)/17)+1))</f>
        <v/>
      </c>
      <c r="Q955" s="20" t="str">
        <f>IF($A955="","",INDEX(Project_Tracker!$K$2:$K$101,INT((ROW()-6)/17)+1))</f>
        <v/>
      </c>
    </row>
    <row r="956" spans="1:17" x14ac:dyDescent="0.2">
      <c r="A956" s="20" t="str">
        <f>IF(INDEX(Project_Tracker!$AL$2:$AL$101,INT((ROW()-6)/17)+1)="","",INDEX(Project_Tracker!$AL$2:$AL$101,INT((ROW()-6)/17)+1))</f>
        <v/>
      </c>
      <c r="B956" s="21" t="str">
        <f>IF($A956="","",INDEX(Project_Tracker!$AM$2:$AM$101,INT((ROW()-6)/17)+1))</f>
        <v/>
      </c>
      <c r="C956" s="20" t="str">
        <f>IF($A956="","",INDEX(Project_Tracker!$C$2:$C$101,INT((ROW()-6)/17)+1))</f>
        <v/>
      </c>
      <c r="D956" s="6" t="str">
        <f>IF($A956="","",INDEX(Project_Tracker!$T$2:$T$101,INT((ROW()-6)/17)+1))</f>
        <v/>
      </c>
      <c r="E956" s="18">
        <f t="shared" si="70"/>
        <v>16</v>
      </c>
      <c r="F956" s="23" t="str">
        <f>IF($A956="","",INDEX('Logic &amp; Lists'!$I$4:$I$20,$E956))</f>
        <v/>
      </c>
      <c r="G956" s="18" t="str">
        <f>IF($A956="","",INDEX('Logic &amp; Lists'!$J$4:$J$20,$E956))</f>
        <v/>
      </c>
      <c r="H956" s="6" t="str">
        <f t="shared" si="71"/>
        <v/>
      </c>
      <c r="I956" s="18" t="str">
        <f t="shared" ca="1" si="72"/>
        <v/>
      </c>
      <c r="J956" s="5" t="str">
        <f t="shared" si="73"/>
        <v/>
      </c>
      <c r="K956" s="25"/>
      <c r="L956" s="5" t="str">
        <f t="shared" si="74"/>
        <v/>
      </c>
      <c r="M956" s="7"/>
      <c r="N956" s="7"/>
      <c r="O956" s="7"/>
      <c r="P956" s="20" t="str">
        <f>IF($A956="","",INDEX(Project_Tracker!$I$2:$I$101,INT((ROW()-6)/17)+1))</f>
        <v/>
      </c>
      <c r="Q956" s="20" t="str">
        <f>IF($A956="","",INDEX(Project_Tracker!$K$2:$K$101,INT((ROW()-6)/17)+1))</f>
        <v/>
      </c>
    </row>
    <row r="957" spans="1:17" x14ac:dyDescent="0.2">
      <c r="A957" s="20" t="str">
        <f>IF(INDEX(Project_Tracker!$AL$2:$AL$101,INT((ROW()-6)/17)+1)="","",INDEX(Project_Tracker!$AL$2:$AL$101,INT((ROW()-6)/17)+1))</f>
        <v/>
      </c>
      <c r="B957" s="21" t="str">
        <f>IF($A957="","",INDEX(Project_Tracker!$AM$2:$AM$101,INT((ROW()-6)/17)+1))</f>
        <v/>
      </c>
      <c r="C957" s="20" t="str">
        <f>IF($A957="","",INDEX(Project_Tracker!$C$2:$C$101,INT((ROW()-6)/17)+1))</f>
        <v/>
      </c>
      <c r="D957" s="6" t="str">
        <f>IF($A957="","",INDEX(Project_Tracker!$T$2:$T$101,INT((ROW()-6)/17)+1))</f>
        <v/>
      </c>
      <c r="E957" s="18">
        <f t="shared" si="70"/>
        <v>17</v>
      </c>
      <c r="F957" s="23" t="str">
        <f>IF($A957="","",INDEX('Logic &amp; Lists'!$I$4:$I$20,$E957))</f>
        <v/>
      </c>
      <c r="G957" s="18" t="str">
        <f>IF($A957="","",INDEX('Logic &amp; Lists'!$J$4:$J$20,$E957))</f>
        <v/>
      </c>
      <c r="H957" s="6" t="str">
        <f t="shared" si="71"/>
        <v/>
      </c>
      <c r="I957" s="18" t="str">
        <f t="shared" ca="1" si="72"/>
        <v/>
      </c>
      <c r="J957" s="5" t="str">
        <f t="shared" si="73"/>
        <v/>
      </c>
      <c r="K957" s="25"/>
      <c r="L957" s="5" t="str">
        <f t="shared" si="74"/>
        <v/>
      </c>
      <c r="M957" s="7"/>
      <c r="N957" s="7"/>
      <c r="O957" s="7"/>
      <c r="P957" s="20" t="str">
        <f>IF($A957="","",INDEX(Project_Tracker!$I$2:$I$101,INT((ROW()-6)/17)+1))</f>
        <v/>
      </c>
      <c r="Q957" s="20" t="str">
        <f>IF($A957="","",INDEX(Project_Tracker!$K$2:$K$101,INT((ROW()-6)/17)+1))</f>
        <v/>
      </c>
    </row>
    <row r="958" spans="1:17" x14ac:dyDescent="0.2">
      <c r="A958" s="20" t="str">
        <f>IF(INDEX(Project_Tracker!$AL$2:$AL$101,INT((ROW()-6)/17)+1)="","",INDEX(Project_Tracker!$AL$2:$AL$101,INT((ROW()-6)/17)+1))</f>
        <v/>
      </c>
      <c r="B958" s="21" t="str">
        <f>IF($A958="","",INDEX(Project_Tracker!$AM$2:$AM$101,INT((ROW()-6)/17)+1))</f>
        <v/>
      </c>
      <c r="C958" s="20" t="str">
        <f>IF($A958="","",INDEX(Project_Tracker!$C$2:$C$101,INT((ROW()-6)/17)+1))</f>
        <v/>
      </c>
      <c r="D958" s="6" t="str">
        <f>IF($A958="","",INDEX(Project_Tracker!$T$2:$T$101,INT((ROW()-6)/17)+1))</f>
        <v/>
      </c>
      <c r="E958" s="18">
        <f t="shared" si="70"/>
        <v>1</v>
      </c>
      <c r="F958" s="23" t="str">
        <f>IF($A958="","",INDEX('Logic &amp; Lists'!$I$4:$I$20,$E958))</f>
        <v/>
      </c>
      <c r="G958" s="18" t="str">
        <f>IF($A958="","",INDEX('Logic &amp; Lists'!$J$4:$J$20,$E958))</f>
        <v/>
      </c>
      <c r="H958" s="6" t="str">
        <f t="shared" si="71"/>
        <v/>
      </c>
      <c r="I958" s="18" t="str">
        <f t="shared" ca="1" si="72"/>
        <v/>
      </c>
      <c r="J958" s="5" t="str">
        <f t="shared" si="73"/>
        <v/>
      </c>
      <c r="K958" s="25"/>
      <c r="L958" s="5" t="str">
        <f t="shared" si="74"/>
        <v/>
      </c>
      <c r="M958" s="7"/>
      <c r="N958" s="7"/>
      <c r="O958" s="7"/>
      <c r="P958" s="20" t="str">
        <f>IF($A958="","",INDEX(Project_Tracker!$I$2:$I$101,INT((ROW()-6)/17)+1))</f>
        <v/>
      </c>
      <c r="Q958" s="20" t="str">
        <f>IF($A958="","",INDEX(Project_Tracker!$K$2:$K$101,INT((ROW()-6)/17)+1))</f>
        <v/>
      </c>
    </row>
    <row r="959" spans="1:17" x14ac:dyDescent="0.2">
      <c r="A959" s="20" t="str">
        <f>IF(INDEX(Project_Tracker!$AL$2:$AL$101,INT((ROW()-6)/17)+1)="","",INDEX(Project_Tracker!$AL$2:$AL$101,INT((ROW()-6)/17)+1))</f>
        <v/>
      </c>
      <c r="B959" s="21" t="str">
        <f>IF($A959="","",INDEX(Project_Tracker!$AM$2:$AM$101,INT((ROW()-6)/17)+1))</f>
        <v/>
      </c>
      <c r="C959" s="20" t="str">
        <f>IF($A959="","",INDEX(Project_Tracker!$C$2:$C$101,INT((ROW()-6)/17)+1))</f>
        <v/>
      </c>
      <c r="D959" s="6" t="str">
        <f>IF($A959="","",INDEX(Project_Tracker!$T$2:$T$101,INT((ROW()-6)/17)+1))</f>
        <v/>
      </c>
      <c r="E959" s="18">
        <f t="shared" si="70"/>
        <v>2</v>
      </c>
      <c r="F959" s="23" t="str">
        <f>IF($A959="","",INDEX('Logic &amp; Lists'!$I$4:$I$20,$E959))</f>
        <v/>
      </c>
      <c r="G959" s="18" t="str">
        <f>IF($A959="","",INDEX('Logic &amp; Lists'!$J$4:$J$20,$E959))</f>
        <v/>
      </c>
      <c r="H959" s="6" t="str">
        <f t="shared" si="71"/>
        <v/>
      </c>
      <c r="I959" s="18" t="str">
        <f t="shared" ca="1" si="72"/>
        <v/>
      </c>
      <c r="J959" s="5" t="str">
        <f t="shared" si="73"/>
        <v/>
      </c>
      <c r="K959" s="25"/>
      <c r="L959" s="5" t="str">
        <f t="shared" si="74"/>
        <v/>
      </c>
      <c r="M959" s="7"/>
      <c r="N959" s="7"/>
      <c r="O959" s="7"/>
      <c r="P959" s="20" t="str">
        <f>IF($A959="","",INDEX(Project_Tracker!$I$2:$I$101,INT((ROW()-6)/17)+1))</f>
        <v/>
      </c>
      <c r="Q959" s="20" t="str">
        <f>IF($A959="","",INDEX(Project_Tracker!$K$2:$K$101,INT((ROW()-6)/17)+1))</f>
        <v/>
      </c>
    </row>
    <row r="960" spans="1:17" x14ac:dyDescent="0.2">
      <c r="A960" s="20" t="str">
        <f>IF(INDEX(Project_Tracker!$AL$2:$AL$101,INT((ROW()-6)/17)+1)="","",INDEX(Project_Tracker!$AL$2:$AL$101,INT((ROW()-6)/17)+1))</f>
        <v/>
      </c>
      <c r="B960" s="21" t="str">
        <f>IF($A960="","",INDEX(Project_Tracker!$AM$2:$AM$101,INT((ROW()-6)/17)+1))</f>
        <v/>
      </c>
      <c r="C960" s="20" t="str">
        <f>IF($A960="","",INDEX(Project_Tracker!$C$2:$C$101,INT((ROW()-6)/17)+1))</f>
        <v/>
      </c>
      <c r="D960" s="6" t="str">
        <f>IF($A960="","",INDEX(Project_Tracker!$T$2:$T$101,INT((ROW()-6)/17)+1))</f>
        <v/>
      </c>
      <c r="E960" s="18">
        <f t="shared" si="70"/>
        <v>3</v>
      </c>
      <c r="F960" s="23" t="str">
        <f>IF($A960="","",INDEX('Logic &amp; Lists'!$I$4:$I$20,$E960))</f>
        <v/>
      </c>
      <c r="G960" s="18" t="str">
        <f>IF($A960="","",INDEX('Logic &amp; Lists'!$J$4:$J$20,$E960))</f>
        <v/>
      </c>
      <c r="H960" s="6" t="str">
        <f t="shared" si="71"/>
        <v/>
      </c>
      <c r="I960" s="18" t="str">
        <f t="shared" ca="1" si="72"/>
        <v/>
      </c>
      <c r="J960" s="5" t="str">
        <f t="shared" si="73"/>
        <v/>
      </c>
      <c r="K960" s="25"/>
      <c r="L960" s="5" t="str">
        <f t="shared" si="74"/>
        <v/>
      </c>
      <c r="M960" s="7"/>
      <c r="N960" s="7"/>
      <c r="O960" s="7"/>
      <c r="P960" s="20" t="str">
        <f>IF($A960="","",INDEX(Project_Tracker!$I$2:$I$101,INT((ROW()-6)/17)+1))</f>
        <v/>
      </c>
      <c r="Q960" s="20" t="str">
        <f>IF($A960="","",INDEX(Project_Tracker!$K$2:$K$101,INT((ROW()-6)/17)+1))</f>
        <v/>
      </c>
    </row>
    <row r="961" spans="1:17" x14ac:dyDescent="0.2">
      <c r="A961" s="20" t="str">
        <f>IF(INDEX(Project_Tracker!$AL$2:$AL$101,INT((ROW()-6)/17)+1)="","",INDEX(Project_Tracker!$AL$2:$AL$101,INT((ROW()-6)/17)+1))</f>
        <v/>
      </c>
      <c r="B961" s="21" t="str">
        <f>IF($A961="","",INDEX(Project_Tracker!$AM$2:$AM$101,INT((ROW()-6)/17)+1))</f>
        <v/>
      </c>
      <c r="C961" s="20" t="str">
        <f>IF($A961="","",INDEX(Project_Tracker!$C$2:$C$101,INT((ROW()-6)/17)+1))</f>
        <v/>
      </c>
      <c r="D961" s="6" t="str">
        <f>IF($A961="","",INDEX(Project_Tracker!$T$2:$T$101,INT((ROW()-6)/17)+1))</f>
        <v/>
      </c>
      <c r="E961" s="18">
        <f t="shared" si="70"/>
        <v>4</v>
      </c>
      <c r="F961" s="23" t="str">
        <f>IF($A961="","",INDEX('Logic &amp; Lists'!$I$4:$I$20,$E961))</f>
        <v/>
      </c>
      <c r="G961" s="18" t="str">
        <f>IF($A961="","",INDEX('Logic &amp; Lists'!$J$4:$J$20,$E961))</f>
        <v/>
      </c>
      <c r="H961" s="6" t="str">
        <f t="shared" si="71"/>
        <v/>
      </c>
      <c r="I961" s="18" t="str">
        <f t="shared" ca="1" si="72"/>
        <v/>
      </c>
      <c r="J961" s="5" t="str">
        <f t="shared" si="73"/>
        <v/>
      </c>
      <c r="K961" s="25"/>
      <c r="L961" s="5" t="str">
        <f t="shared" si="74"/>
        <v/>
      </c>
      <c r="M961" s="7"/>
      <c r="N961" s="7"/>
      <c r="O961" s="7"/>
      <c r="P961" s="20" t="str">
        <f>IF($A961="","",INDEX(Project_Tracker!$I$2:$I$101,INT((ROW()-6)/17)+1))</f>
        <v/>
      </c>
      <c r="Q961" s="20" t="str">
        <f>IF($A961="","",INDEX(Project_Tracker!$K$2:$K$101,INT((ROW()-6)/17)+1))</f>
        <v/>
      </c>
    </row>
    <row r="962" spans="1:17" x14ac:dyDescent="0.2">
      <c r="A962" s="20" t="str">
        <f>IF(INDEX(Project_Tracker!$AL$2:$AL$101,INT((ROW()-6)/17)+1)="","",INDEX(Project_Tracker!$AL$2:$AL$101,INT((ROW()-6)/17)+1))</f>
        <v/>
      </c>
      <c r="B962" s="21" t="str">
        <f>IF($A962="","",INDEX(Project_Tracker!$AM$2:$AM$101,INT((ROW()-6)/17)+1))</f>
        <v/>
      </c>
      <c r="C962" s="20" t="str">
        <f>IF($A962="","",INDEX(Project_Tracker!$C$2:$C$101,INT((ROW()-6)/17)+1))</f>
        <v/>
      </c>
      <c r="D962" s="6" t="str">
        <f>IF($A962="","",INDEX(Project_Tracker!$T$2:$T$101,INT((ROW()-6)/17)+1))</f>
        <v/>
      </c>
      <c r="E962" s="18">
        <f t="shared" si="70"/>
        <v>5</v>
      </c>
      <c r="F962" s="23" t="str">
        <f>IF($A962="","",INDEX('Logic &amp; Lists'!$I$4:$I$20,$E962))</f>
        <v/>
      </c>
      <c r="G962" s="18" t="str">
        <f>IF($A962="","",INDEX('Logic &amp; Lists'!$J$4:$J$20,$E962))</f>
        <v/>
      </c>
      <c r="H962" s="6" t="str">
        <f t="shared" si="71"/>
        <v/>
      </c>
      <c r="I962" s="18" t="str">
        <f t="shared" ca="1" si="72"/>
        <v/>
      </c>
      <c r="J962" s="5" t="str">
        <f t="shared" si="73"/>
        <v/>
      </c>
      <c r="K962" s="25"/>
      <c r="L962" s="5" t="str">
        <f t="shared" si="74"/>
        <v/>
      </c>
      <c r="M962" s="7"/>
      <c r="N962" s="7"/>
      <c r="O962" s="7"/>
      <c r="P962" s="20" t="str">
        <f>IF($A962="","",INDEX(Project_Tracker!$I$2:$I$101,INT((ROW()-6)/17)+1))</f>
        <v/>
      </c>
      <c r="Q962" s="20" t="str">
        <f>IF($A962="","",INDEX(Project_Tracker!$K$2:$K$101,INT((ROW()-6)/17)+1))</f>
        <v/>
      </c>
    </row>
    <row r="963" spans="1:17" x14ac:dyDescent="0.2">
      <c r="A963" s="20" t="str">
        <f>IF(INDEX(Project_Tracker!$AL$2:$AL$101,INT((ROW()-6)/17)+1)="","",INDEX(Project_Tracker!$AL$2:$AL$101,INT((ROW()-6)/17)+1))</f>
        <v/>
      </c>
      <c r="B963" s="21" t="str">
        <f>IF($A963="","",INDEX(Project_Tracker!$AM$2:$AM$101,INT((ROW()-6)/17)+1))</f>
        <v/>
      </c>
      <c r="C963" s="20" t="str">
        <f>IF($A963="","",INDEX(Project_Tracker!$C$2:$C$101,INT((ROW()-6)/17)+1))</f>
        <v/>
      </c>
      <c r="D963" s="6" t="str">
        <f>IF($A963="","",INDEX(Project_Tracker!$T$2:$T$101,INT((ROW()-6)/17)+1))</f>
        <v/>
      </c>
      <c r="E963" s="18">
        <f t="shared" si="70"/>
        <v>6</v>
      </c>
      <c r="F963" s="23" t="str">
        <f>IF($A963="","",INDEX('Logic &amp; Lists'!$I$4:$I$20,$E963))</f>
        <v/>
      </c>
      <c r="G963" s="18" t="str">
        <f>IF($A963="","",INDEX('Logic &amp; Lists'!$J$4:$J$20,$E963))</f>
        <v/>
      </c>
      <c r="H963" s="6" t="str">
        <f t="shared" si="71"/>
        <v/>
      </c>
      <c r="I963" s="18" t="str">
        <f t="shared" ca="1" si="72"/>
        <v/>
      </c>
      <c r="J963" s="5" t="str">
        <f t="shared" si="73"/>
        <v/>
      </c>
      <c r="K963" s="25"/>
      <c r="L963" s="5" t="str">
        <f t="shared" si="74"/>
        <v/>
      </c>
      <c r="M963" s="7"/>
      <c r="N963" s="7"/>
      <c r="O963" s="7"/>
      <c r="P963" s="20" t="str">
        <f>IF($A963="","",INDEX(Project_Tracker!$I$2:$I$101,INT((ROW()-6)/17)+1))</f>
        <v/>
      </c>
      <c r="Q963" s="20" t="str">
        <f>IF($A963="","",INDEX(Project_Tracker!$K$2:$K$101,INT((ROW()-6)/17)+1))</f>
        <v/>
      </c>
    </row>
    <row r="964" spans="1:17" x14ac:dyDescent="0.2">
      <c r="A964" s="20" t="str">
        <f>IF(INDEX(Project_Tracker!$AL$2:$AL$101,INT((ROW()-6)/17)+1)="","",INDEX(Project_Tracker!$AL$2:$AL$101,INT((ROW()-6)/17)+1))</f>
        <v/>
      </c>
      <c r="B964" s="21" t="str">
        <f>IF($A964="","",INDEX(Project_Tracker!$AM$2:$AM$101,INT((ROW()-6)/17)+1))</f>
        <v/>
      </c>
      <c r="C964" s="20" t="str">
        <f>IF($A964="","",INDEX(Project_Tracker!$C$2:$C$101,INT((ROW()-6)/17)+1))</f>
        <v/>
      </c>
      <c r="D964" s="6" t="str">
        <f>IF($A964="","",INDEX(Project_Tracker!$T$2:$T$101,INT((ROW()-6)/17)+1))</f>
        <v/>
      </c>
      <c r="E964" s="18">
        <f t="shared" si="70"/>
        <v>7</v>
      </c>
      <c r="F964" s="23" t="str">
        <f>IF($A964="","",INDEX('Logic &amp; Lists'!$I$4:$I$20,$E964))</f>
        <v/>
      </c>
      <c r="G964" s="18" t="str">
        <f>IF($A964="","",INDEX('Logic &amp; Lists'!$J$4:$J$20,$E964))</f>
        <v/>
      </c>
      <c r="H964" s="6" t="str">
        <f t="shared" si="71"/>
        <v/>
      </c>
      <c r="I964" s="18" t="str">
        <f t="shared" ca="1" si="72"/>
        <v/>
      </c>
      <c r="J964" s="5" t="str">
        <f t="shared" si="73"/>
        <v/>
      </c>
      <c r="K964" s="25"/>
      <c r="L964" s="5" t="str">
        <f t="shared" si="74"/>
        <v/>
      </c>
      <c r="M964" s="7"/>
      <c r="N964" s="7"/>
      <c r="O964" s="7"/>
      <c r="P964" s="20" t="str">
        <f>IF($A964="","",INDEX(Project_Tracker!$I$2:$I$101,INT((ROW()-6)/17)+1))</f>
        <v/>
      </c>
      <c r="Q964" s="20" t="str">
        <f>IF($A964="","",INDEX(Project_Tracker!$K$2:$K$101,INT((ROW()-6)/17)+1))</f>
        <v/>
      </c>
    </row>
    <row r="965" spans="1:17" x14ac:dyDescent="0.2">
      <c r="A965" s="20" t="str">
        <f>IF(INDEX(Project_Tracker!$AL$2:$AL$101,INT((ROW()-6)/17)+1)="","",INDEX(Project_Tracker!$AL$2:$AL$101,INT((ROW()-6)/17)+1))</f>
        <v/>
      </c>
      <c r="B965" s="21" t="str">
        <f>IF($A965="","",INDEX(Project_Tracker!$AM$2:$AM$101,INT((ROW()-6)/17)+1))</f>
        <v/>
      </c>
      <c r="C965" s="20" t="str">
        <f>IF($A965="","",INDEX(Project_Tracker!$C$2:$C$101,INT((ROW()-6)/17)+1))</f>
        <v/>
      </c>
      <c r="D965" s="6" t="str">
        <f>IF($A965="","",INDEX(Project_Tracker!$T$2:$T$101,INT((ROW()-6)/17)+1))</f>
        <v/>
      </c>
      <c r="E965" s="18">
        <f t="shared" si="70"/>
        <v>8</v>
      </c>
      <c r="F965" s="23" t="str">
        <f>IF($A965="","",INDEX('Logic &amp; Lists'!$I$4:$I$20,$E965))</f>
        <v/>
      </c>
      <c r="G965" s="18" t="str">
        <f>IF($A965="","",INDEX('Logic &amp; Lists'!$J$4:$J$20,$E965))</f>
        <v/>
      </c>
      <c r="H965" s="6" t="str">
        <f t="shared" si="71"/>
        <v/>
      </c>
      <c r="I965" s="18" t="str">
        <f t="shared" ca="1" si="72"/>
        <v/>
      </c>
      <c r="J965" s="5" t="str">
        <f t="shared" si="73"/>
        <v/>
      </c>
      <c r="K965" s="25"/>
      <c r="L965" s="5" t="str">
        <f t="shared" si="74"/>
        <v/>
      </c>
      <c r="M965" s="7"/>
      <c r="N965" s="7"/>
      <c r="O965" s="7"/>
      <c r="P965" s="20" t="str">
        <f>IF($A965="","",INDEX(Project_Tracker!$I$2:$I$101,INT((ROW()-6)/17)+1))</f>
        <v/>
      </c>
      <c r="Q965" s="20" t="str">
        <f>IF($A965="","",INDEX(Project_Tracker!$K$2:$K$101,INT((ROW()-6)/17)+1))</f>
        <v/>
      </c>
    </row>
    <row r="966" spans="1:17" x14ac:dyDescent="0.2">
      <c r="A966" s="20" t="str">
        <f>IF(INDEX(Project_Tracker!$AL$2:$AL$101,INT((ROW()-6)/17)+1)="","",INDEX(Project_Tracker!$AL$2:$AL$101,INT((ROW()-6)/17)+1))</f>
        <v/>
      </c>
      <c r="B966" s="21" t="str">
        <f>IF($A966="","",INDEX(Project_Tracker!$AM$2:$AM$101,INT((ROW()-6)/17)+1))</f>
        <v/>
      </c>
      <c r="C966" s="20" t="str">
        <f>IF($A966="","",INDEX(Project_Tracker!$C$2:$C$101,INT((ROW()-6)/17)+1))</f>
        <v/>
      </c>
      <c r="D966" s="6" t="str">
        <f>IF($A966="","",INDEX(Project_Tracker!$T$2:$T$101,INT((ROW()-6)/17)+1))</f>
        <v/>
      </c>
      <c r="E966" s="18">
        <f t="shared" ref="E966:E1029" si="75">MOD(ROW()-6,17)+1</f>
        <v>9</v>
      </c>
      <c r="F966" s="23" t="str">
        <f>IF($A966="","",INDEX('Logic &amp; Lists'!$I$4:$I$20,$E966))</f>
        <v/>
      </c>
      <c r="G966" s="18" t="str">
        <f>IF($A966="","",INDEX('Logic &amp; Lists'!$J$4:$J$20,$E966))</f>
        <v/>
      </c>
      <c r="H966" s="6" t="str">
        <f t="shared" ref="H966:H1029" si="76">IF($D966="","",$D966-$G966)</f>
        <v/>
      </c>
      <c r="I966" s="18" t="str">
        <f t="shared" ref="I966:I1029" ca="1" si="77">IF($H966="","",$H966-TODAY())</f>
        <v/>
      </c>
      <c r="J966" s="5" t="str">
        <f t="shared" ref="J966:J1029" si="78">IF($A966="","",IF($K966&lt;&gt;"","ORDERED",IF($I966&lt;0,"OVERDUE",IF($I966&lt;=7,"URGENT",IF($I966&lt;=14,"PREPARE","OK")))))</f>
        <v/>
      </c>
      <c r="K966" s="25"/>
      <c r="L966" s="5" t="str">
        <f t="shared" ref="L966:L1029" si="79">IF($A966="","",IF($K966="",$J966,IF($K966&lt;=$H966,"Ordered On Time","Ordered Late")))</f>
        <v/>
      </c>
      <c r="M966" s="7"/>
      <c r="N966" s="7"/>
      <c r="O966" s="7"/>
      <c r="P966" s="20" t="str">
        <f>IF($A966="","",INDEX(Project_Tracker!$I$2:$I$101,INT((ROW()-6)/17)+1))</f>
        <v/>
      </c>
      <c r="Q966" s="20" t="str">
        <f>IF($A966="","",INDEX(Project_Tracker!$K$2:$K$101,INT((ROW()-6)/17)+1))</f>
        <v/>
      </c>
    </row>
    <row r="967" spans="1:17" x14ac:dyDescent="0.2">
      <c r="A967" s="20" t="str">
        <f>IF(INDEX(Project_Tracker!$AL$2:$AL$101,INT((ROW()-6)/17)+1)="","",INDEX(Project_Tracker!$AL$2:$AL$101,INT((ROW()-6)/17)+1))</f>
        <v/>
      </c>
      <c r="B967" s="21" t="str">
        <f>IF($A967="","",INDEX(Project_Tracker!$AM$2:$AM$101,INT((ROW()-6)/17)+1))</f>
        <v/>
      </c>
      <c r="C967" s="20" t="str">
        <f>IF($A967="","",INDEX(Project_Tracker!$C$2:$C$101,INT((ROW()-6)/17)+1))</f>
        <v/>
      </c>
      <c r="D967" s="6" t="str">
        <f>IF($A967="","",INDEX(Project_Tracker!$T$2:$T$101,INT((ROW()-6)/17)+1))</f>
        <v/>
      </c>
      <c r="E967" s="18">
        <f t="shared" si="75"/>
        <v>10</v>
      </c>
      <c r="F967" s="23" t="str">
        <f>IF($A967="","",INDEX('Logic &amp; Lists'!$I$4:$I$20,$E967))</f>
        <v/>
      </c>
      <c r="G967" s="18" t="str">
        <f>IF($A967="","",INDEX('Logic &amp; Lists'!$J$4:$J$20,$E967))</f>
        <v/>
      </c>
      <c r="H967" s="6" t="str">
        <f t="shared" si="76"/>
        <v/>
      </c>
      <c r="I967" s="18" t="str">
        <f t="shared" ca="1" si="77"/>
        <v/>
      </c>
      <c r="J967" s="5" t="str">
        <f t="shared" si="78"/>
        <v/>
      </c>
      <c r="K967" s="25"/>
      <c r="L967" s="5" t="str">
        <f t="shared" si="79"/>
        <v/>
      </c>
      <c r="M967" s="7"/>
      <c r="N967" s="7"/>
      <c r="O967" s="7"/>
      <c r="P967" s="20" t="str">
        <f>IF($A967="","",INDEX(Project_Tracker!$I$2:$I$101,INT((ROW()-6)/17)+1))</f>
        <v/>
      </c>
      <c r="Q967" s="20" t="str">
        <f>IF($A967="","",INDEX(Project_Tracker!$K$2:$K$101,INT((ROW()-6)/17)+1))</f>
        <v/>
      </c>
    </row>
    <row r="968" spans="1:17" x14ac:dyDescent="0.2">
      <c r="A968" s="20" t="str">
        <f>IF(INDEX(Project_Tracker!$AL$2:$AL$101,INT((ROW()-6)/17)+1)="","",INDEX(Project_Tracker!$AL$2:$AL$101,INT((ROW()-6)/17)+1))</f>
        <v/>
      </c>
      <c r="B968" s="21" t="str">
        <f>IF($A968="","",INDEX(Project_Tracker!$AM$2:$AM$101,INT((ROW()-6)/17)+1))</f>
        <v/>
      </c>
      <c r="C968" s="20" t="str">
        <f>IF($A968="","",INDEX(Project_Tracker!$C$2:$C$101,INT((ROW()-6)/17)+1))</f>
        <v/>
      </c>
      <c r="D968" s="6" t="str">
        <f>IF($A968="","",INDEX(Project_Tracker!$T$2:$T$101,INT((ROW()-6)/17)+1))</f>
        <v/>
      </c>
      <c r="E968" s="18">
        <f t="shared" si="75"/>
        <v>11</v>
      </c>
      <c r="F968" s="23" t="str">
        <f>IF($A968="","",INDEX('Logic &amp; Lists'!$I$4:$I$20,$E968))</f>
        <v/>
      </c>
      <c r="G968" s="18" t="str">
        <f>IF($A968="","",INDEX('Logic &amp; Lists'!$J$4:$J$20,$E968))</f>
        <v/>
      </c>
      <c r="H968" s="6" t="str">
        <f t="shared" si="76"/>
        <v/>
      </c>
      <c r="I968" s="18" t="str">
        <f t="shared" ca="1" si="77"/>
        <v/>
      </c>
      <c r="J968" s="5" t="str">
        <f t="shared" si="78"/>
        <v/>
      </c>
      <c r="K968" s="25"/>
      <c r="L968" s="5" t="str">
        <f t="shared" si="79"/>
        <v/>
      </c>
      <c r="M968" s="7"/>
      <c r="N968" s="7"/>
      <c r="O968" s="7"/>
      <c r="P968" s="20" t="str">
        <f>IF($A968="","",INDEX(Project_Tracker!$I$2:$I$101,INT((ROW()-6)/17)+1))</f>
        <v/>
      </c>
      <c r="Q968" s="20" t="str">
        <f>IF($A968="","",INDEX(Project_Tracker!$K$2:$K$101,INT((ROW()-6)/17)+1))</f>
        <v/>
      </c>
    </row>
    <row r="969" spans="1:17" x14ac:dyDescent="0.2">
      <c r="A969" s="20" t="str">
        <f>IF(INDEX(Project_Tracker!$AL$2:$AL$101,INT((ROW()-6)/17)+1)="","",INDEX(Project_Tracker!$AL$2:$AL$101,INT((ROW()-6)/17)+1))</f>
        <v/>
      </c>
      <c r="B969" s="21" t="str">
        <f>IF($A969="","",INDEX(Project_Tracker!$AM$2:$AM$101,INT((ROW()-6)/17)+1))</f>
        <v/>
      </c>
      <c r="C969" s="20" t="str">
        <f>IF($A969="","",INDEX(Project_Tracker!$C$2:$C$101,INT((ROW()-6)/17)+1))</f>
        <v/>
      </c>
      <c r="D969" s="6" t="str">
        <f>IF($A969="","",INDEX(Project_Tracker!$T$2:$T$101,INT((ROW()-6)/17)+1))</f>
        <v/>
      </c>
      <c r="E969" s="18">
        <f t="shared" si="75"/>
        <v>12</v>
      </c>
      <c r="F969" s="23" t="str">
        <f>IF($A969="","",INDEX('Logic &amp; Lists'!$I$4:$I$20,$E969))</f>
        <v/>
      </c>
      <c r="G969" s="18" t="str">
        <f>IF($A969="","",INDEX('Logic &amp; Lists'!$J$4:$J$20,$E969))</f>
        <v/>
      </c>
      <c r="H969" s="6" t="str">
        <f t="shared" si="76"/>
        <v/>
      </c>
      <c r="I969" s="18" t="str">
        <f t="shared" ca="1" si="77"/>
        <v/>
      </c>
      <c r="J969" s="5" t="str">
        <f t="shared" si="78"/>
        <v/>
      </c>
      <c r="K969" s="25"/>
      <c r="L969" s="5" t="str">
        <f t="shared" si="79"/>
        <v/>
      </c>
      <c r="M969" s="7"/>
      <c r="N969" s="7"/>
      <c r="O969" s="7"/>
      <c r="P969" s="20" t="str">
        <f>IF($A969="","",INDEX(Project_Tracker!$I$2:$I$101,INT((ROW()-6)/17)+1))</f>
        <v/>
      </c>
      <c r="Q969" s="20" t="str">
        <f>IF($A969="","",INDEX(Project_Tracker!$K$2:$K$101,INT((ROW()-6)/17)+1))</f>
        <v/>
      </c>
    </row>
    <row r="970" spans="1:17" x14ac:dyDescent="0.2">
      <c r="A970" s="20" t="str">
        <f>IF(INDEX(Project_Tracker!$AL$2:$AL$101,INT((ROW()-6)/17)+1)="","",INDEX(Project_Tracker!$AL$2:$AL$101,INT((ROW()-6)/17)+1))</f>
        <v/>
      </c>
      <c r="B970" s="21" t="str">
        <f>IF($A970="","",INDEX(Project_Tracker!$AM$2:$AM$101,INT((ROW()-6)/17)+1))</f>
        <v/>
      </c>
      <c r="C970" s="20" t="str">
        <f>IF($A970="","",INDEX(Project_Tracker!$C$2:$C$101,INT((ROW()-6)/17)+1))</f>
        <v/>
      </c>
      <c r="D970" s="6" t="str">
        <f>IF($A970="","",INDEX(Project_Tracker!$T$2:$T$101,INT((ROW()-6)/17)+1))</f>
        <v/>
      </c>
      <c r="E970" s="18">
        <f t="shared" si="75"/>
        <v>13</v>
      </c>
      <c r="F970" s="23" t="str">
        <f>IF($A970="","",INDEX('Logic &amp; Lists'!$I$4:$I$20,$E970))</f>
        <v/>
      </c>
      <c r="G970" s="18" t="str">
        <f>IF($A970="","",INDEX('Logic &amp; Lists'!$J$4:$J$20,$E970))</f>
        <v/>
      </c>
      <c r="H970" s="6" t="str">
        <f t="shared" si="76"/>
        <v/>
      </c>
      <c r="I970" s="18" t="str">
        <f t="shared" ca="1" si="77"/>
        <v/>
      </c>
      <c r="J970" s="5" t="str">
        <f t="shared" si="78"/>
        <v/>
      </c>
      <c r="K970" s="25"/>
      <c r="L970" s="5" t="str">
        <f t="shared" si="79"/>
        <v/>
      </c>
      <c r="M970" s="7"/>
      <c r="N970" s="7"/>
      <c r="O970" s="7"/>
      <c r="P970" s="20" t="str">
        <f>IF($A970="","",INDEX(Project_Tracker!$I$2:$I$101,INT((ROW()-6)/17)+1))</f>
        <v/>
      </c>
      <c r="Q970" s="20" t="str">
        <f>IF($A970="","",INDEX(Project_Tracker!$K$2:$K$101,INT((ROW()-6)/17)+1))</f>
        <v/>
      </c>
    </row>
    <row r="971" spans="1:17" x14ac:dyDescent="0.2">
      <c r="A971" s="20" t="str">
        <f>IF(INDEX(Project_Tracker!$AL$2:$AL$101,INT((ROW()-6)/17)+1)="","",INDEX(Project_Tracker!$AL$2:$AL$101,INT((ROW()-6)/17)+1))</f>
        <v/>
      </c>
      <c r="B971" s="21" t="str">
        <f>IF($A971="","",INDEX(Project_Tracker!$AM$2:$AM$101,INT((ROW()-6)/17)+1))</f>
        <v/>
      </c>
      <c r="C971" s="20" t="str">
        <f>IF($A971="","",INDEX(Project_Tracker!$C$2:$C$101,INT((ROW()-6)/17)+1))</f>
        <v/>
      </c>
      <c r="D971" s="6" t="str">
        <f>IF($A971="","",INDEX(Project_Tracker!$T$2:$T$101,INT((ROW()-6)/17)+1))</f>
        <v/>
      </c>
      <c r="E971" s="18">
        <f t="shared" si="75"/>
        <v>14</v>
      </c>
      <c r="F971" s="23" t="str">
        <f>IF($A971="","",INDEX('Logic &amp; Lists'!$I$4:$I$20,$E971))</f>
        <v/>
      </c>
      <c r="G971" s="18" t="str">
        <f>IF($A971="","",INDEX('Logic &amp; Lists'!$J$4:$J$20,$E971))</f>
        <v/>
      </c>
      <c r="H971" s="6" t="str">
        <f t="shared" si="76"/>
        <v/>
      </c>
      <c r="I971" s="18" t="str">
        <f t="shared" ca="1" si="77"/>
        <v/>
      </c>
      <c r="J971" s="5" t="str">
        <f t="shared" si="78"/>
        <v/>
      </c>
      <c r="K971" s="25"/>
      <c r="L971" s="5" t="str">
        <f t="shared" si="79"/>
        <v/>
      </c>
      <c r="M971" s="7"/>
      <c r="N971" s="7"/>
      <c r="O971" s="7"/>
      <c r="P971" s="20" t="str">
        <f>IF($A971="","",INDEX(Project_Tracker!$I$2:$I$101,INT((ROW()-6)/17)+1))</f>
        <v/>
      </c>
      <c r="Q971" s="20" t="str">
        <f>IF($A971="","",INDEX(Project_Tracker!$K$2:$K$101,INT((ROW()-6)/17)+1))</f>
        <v/>
      </c>
    </row>
    <row r="972" spans="1:17" x14ac:dyDescent="0.2">
      <c r="A972" s="20" t="str">
        <f>IF(INDEX(Project_Tracker!$AL$2:$AL$101,INT((ROW()-6)/17)+1)="","",INDEX(Project_Tracker!$AL$2:$AL$101,INT((ROW()-6)/17)+1))</f>
        <v/>
      </c>
      <c r="B972" s="21" t="str">
        <f>IF($A972="","",INDEX(Project_Tracker!$AM$2:$AM$101,INT((ROW()-6)/17)+1))</f>
        <v/>
      </c>
      <c r="C972" s="20" t="str">
        <f>IF($A972="","",INDEX(Project_Tracker!$C$2:$C$101,INT((ROW()-6)/17)+1))</f>
        <v/>
      </c>
      <c r="D972" s="6" t="str">
        <f>IF($A972="","",INDEX(Project_Tracker!$T$2:$T$101,INT((ROW()-6)/17)+1))</f>
        <v/>
      </c>
      <c r="E972" s="18">
        <f t="shared" si="75"/>
        <v>15</v>
      </c>
      <c r="F972" s="23" t="str">
        <f>IF($A972="","",INDEX('Logic &amp; Lists'!$I$4:$I$20,$E972))</f>
        <v/>
      </c>
      <c r="G972" s="18" t="str">
        <f>IF($A972="","",INDEX('Logic &amp; Lists'!$J$4:$J$20,$E972))</f>
        <v/>
      </c>
      <c r="H972" s="6" t="str">
        <f t="shared" si="76"/>
        <v/>
      </c>
      <c r="I972" s="18" t="str">
        <f t="shared" ca="1" si="77"/>
        <v/>
      </c>
      <c r="J972" s="5" t="str">
        <f t="shared" si="78"/>
        <v/>
      </c>
      <c r="K972" s="25"/>
      <c r="L972" s="5" t="str">
        <f t="shared" si="79"/>
        <v/>
      </c>
      <c r="M972" s="7"/>
      <c r="N972" s="7"/>
      <c r="O972" s="7"/>
      <c r="P972" s="20" t="str">
        <f>IF($A972="","",INDEX(Project_Tracker!$I$2:$I$101,INT((ROW()-6)/17)+1))</f>
        <v/>
      </c>
      <c r="Q972" s="20" t="str">
        <f>IF($A972="","",INDEX(Project_Tracker!$K$2:$K$101,INT((ROW()-6)/17)+1))</f>
        <v/>
      </c>
    </row>
    <row r="973" spans="1:17" x14ac:dyDescent="0.2">
      <c r="A973" s="20" t="str">
        <f>IF(INDEX(Project_Tracker!$AL$2:$AL$101,INT((ROW()-6)/17)+1)="","",INDEX(Project_Tracker!$AL$2:$AL$101,INT((ROW()-6)/17)+1))</f>
        <v/>
      </c>
      <c r="B973" s="21" t="str">
        <f>IF($A973="","",INDEX(Project_Tracker!$AM$2:$AM$101,INT((ROW()-6)/17)+1))</f>
        <v/>
      </c>
      <c r="C973" s="20" t="str">
        <f>IF($A973="","",INDEX(Project_Tracker!$C$2:$C$101,INT((ROW()-6)/17)+1))</f>
        <v/>
      </c>
      <c r="D973" s="6" t="str">
        <f>IF($A973="","",INDEX(Project_Tracker!$T$2:$T$101,INT((ROW()-6)/17)+1))</f>
        <v/>
      </c>
      <c r="E973" s="18">
        <f t="shared" si="75"/>
        <v>16</v>
      </c>
      <c r="F973" s="23" t="str">
        <f>IF($A973="","",INDEX('Logic &amp; Lists'!$I$4:$I$20,$E973))</f>
        <v/>
      </c>
      <c r="G973" s="18" t="str">
        <f>IF($A973="","",INDEX('Logic &amp; Lists'!$J$4:$J$20,$E973))</f>
        <v/>
      </c>
      <c r="H973" s="6" t="str">
        <f t="shared" si="76"/>
        <v/>
      </c>
      <c r="I973" s="18" t="str">
        <f t="shared" ca="1" si="77"/>
        <v/>
      </c>
      <c r="J973" s="5" t="str">
        <f t="shared" si="78"/>
        <v/>
      </c>
      <c r="K973" s="25"/>
      <c r="L973" s="5" t="str">
        <f t="shared" si="79"/>
        <v/>
      </c>
      <c r="M973" s="7"/>
      <c r="N973" s="7"/>
      <c r="O973" s="7"/>
      <c r="P973" s="20" t="str">
        <f>IF($A973="","",INDEX(Project_Tracker!$I$2:$I$101,INT((ROW()-6)/17)+1))</f>
        <v/>
      </c>
      <c r="Q973" s="20" t="str">
        <f>IF($A973="","",INDEX(Project_Tracker!$K$2:$K$101,INT((ROW()-6)/17)+1))</f>
        <v/>
      </c>
    </row>
    <row r="974" spans="1:17" x14ac:dyDescent="0.2">
      <c r="A974" s="20" t="str">
        <f>IF(INDEX(Project_Tracker!$AL$2:$AL$101,INT((ROW()-6)/17)+1)="","",INDEX(Project_Tracker!$AL$2:$AL$101,INT((ROW()-6)/17)+1))</f>
        <v/>
      </c>
      <c r="B974" s="21" t="str">
        <f>IF($A974="","",INDEX(Project_Tracker!$AM$2:$AM$101,INT((ROW()-6)/17)+1))</f>
        <v/>
      </c>
      <c r="C974" s="20" t="str">
        <f>IF($A974="","",INDEX(Project_Tracker!$C$2:$C$101,INT((ROW()-6)/17)+1))</f>
        <v/>
      </c>
      <c r="D974" s="6" t="str">
        <f>IF($A974="","",INDEX(Project_Tracker!$T$2:$T$101,INT((ROW()-6)/17)+1))</f>
        <v/>
      </c>
      <c r="E974" s="18">
        <f t="shared" si="75"/>
        <v>17</v>
      </c>
      <c r="F974" s="23" t="str">
        <f>IF($A974="","",INDEX('Logic &amp; Lists'!$I$4:$I$20,$E974))</f>
        <v/>
      </c>
      <c r="G974" s="18" t="str">
        <f>IF($A974="","",INDEX('Logic &amp; Lists'!$J$4:$J$20,$E974))</f>
        <v/>
      </c>
      <c r="H974" s="6" t="str">
        <f t="shared" si="76"/>
        <v/>
      </c>
      <c r="I974" s="18" t="str">
        <f t="shared" ca="1" si="77"/>
        <v/>
      </c>
      <c r="J974" s="5" t="str">
        <f t="shared" si="78"/>
        <v/>
      </c>
      <c r="K974" s="25"/>
      <c r="L974" s="5" t="str">
        <f t="shared" si="79"/>
        <v/>
      </c>
      <c r="M974" s="7"/>
      <c r="N974" s="7"/>
      <c r="O974" s="7"/>
      <c r="P974" s="20" t="str">
        <f>IF($A974="","",INDEX(Project_Tracker!$I$2:$I$101,INT((ROW()-6)/17)+1))</f>
        <v/>
      </c>
      <c r="Q974" s="20" t="str">
        <f>IF($A974="","",INDEX(Project_Tracker!$K$2:$K$101,INT((ROW()-6)/17)+1))</f>
        <v/>
      </c>
    </row>
    <row r="975" spans="1:17" x14ac:dyDescent="0.2">
      <c r="A975" s="20" t="str">
        <f>IF(INDEX(Project_Tracker!$AL$2:$AL$101,INT((ROW()-6)/17)+1)="","",INDEX(Project_Tracker!$AL$2:$AL$101,INT((ROW()-6)/17)+1))</f>
        <v/>
      </c>
      <c r="B975" s="21" t="str">
        <f>IF($A975="","",INDEX(Project_Tracker!$AM$2:$AM$101,INT((ROW()-6)/17)+1))</f>
        <v/>
      </c>
      <c r="C975" s="20" t="str">
        <f>IF($A975="","",INDEX(Project_Tracker!$C$2:$C$101,INT((ROW()-6)/17)+1))</f>
        <v/>
      </c>
      <c r="D975" s="6" t="str">
        <f>IF($A975="","",INDEX(Project_Tracker!$T$2:$T$101,INT((ROW()-6)/17)+1))</f>
        <v/>
      </c>
      <c r="E975" s="18">
        <f t="shared" si="75"/>
        <v>1</v>
      </c>
      <c r="F975" s="23" t="str">
        <f>IF($A975="","",INDEX('Logic &amp; Lists'!$I$4:$I$20,$E975))</f>
        <v/>
      </c>
      <c r="G975" s="18" t="str">
        <f>IF($A975="","",INDEX('Logic &amp; Lists'!$J$4:$J$20,$E975))</f>
        <v/>
      </c>
      <c r="H975" s="6" t="str">
        <f t="shared" si="76"/>
        <v/>
      </c>
      <c r="I975" s="18" t="str">
        <f t="shared" ca="1" si="77"/>
        <v/>
      </c>
      <c r="J975" s="5" t="str">
        <f t="shared" si="78"/>
        <v/>
      </c>
      <c r="K975" s="25"/>
      <c r="L975" s="5" t="str">
        <f t="shared" si="79"/>
        <v/>
      </c>
      <c r="M975" s="7"/>
      <c r="N975" s="7"/>
      <c r="O975" s="7"/>
      <c r="P975" s="20" t="str">
        <f>IF($A975="","",INDEX(Project_Tracker!$I$2:$I$101,INT((ROW()-6)/17)+1))</f>
        <v/>
      </c>
      <c r="Q975" s="20" t="str">
        <f>IF($A975="","",INDEX(Project_Tracker!$K$2:$K$101,INT((ROW()-6)/17)+1))</f>
        <v/>
      </c>
    </row>
    <row r="976" spans="1:17" x14ac:dyDescent="0.2">
      <c r="A976" s="20" t="str">
        <f>IF(INDEX(Project_Tracker!$AL$2:$AL$101,INT((ROW()-6)/17)+1)="","",INDEX(Project_Tracker!$AL$2:$AL$101,INT((ROW()-6)/17)+1))</f>
        <v/>
      </c>
      <c r="B976" s="21" t="str">
        <f>IF($A976="","",INDEX(Project_Tracker!$AM$2:$AM$101,INT((ROW()-6)/17)+1))</f>
        <v/>
      </c>
      <c r="C976" s="20" t="str">
        <f>IF($A976="","",INDEX(Project_Tracker!$C$2:$C$101,INT((ROW()-6)/17)+1))</f>
        <v/>
      </c>
      <c r="D976" s="6" t="str">
        <f>IF($A976="","",INDEX(Project_Tracker!$T$2:$T$101,INT((ROW()-6)/17)+1))</f>
        <v/>
      </c>
      <c r="E976" s="18">
        <f t="shared" si="75"/>
        <v>2</v>
      </c>
      <c r="F976" s="23" t="str">
        <f>IF($A976="","",INDEX('Logic &amp; Lists'!$I$4:$I$20,$E976))</f>
        <v/>
      </c>
      <c r="G976" s="18" t="str">
        <f>IF($A976="","",INDEX('Logic &amp; Lists'!$J$4:$J$20,$E976))</f>
        <v/>
      </c>
      <c r="H976" s="6" t="str">
        <f t="shared" si="76"/>
        <v/>
      </c>
      <c r="I976" s="18" t="str">
        <f t="shared" ca="1" si="77"/>
        <v/>
      </c>
      <c r="J976" s="5" t="str">
        <f t="shared" si="78"/>
        <v/>
      </c>
      <c r="K976" s="25"/>
      <c r="L976" s="5" t="str">
        <f t="shared" si="79"/>
        <v/>
      </c>
      <c r="M976" s="7"/>
      <c r="N976" s="7"/>
      <c r="O976" s="7"/>
      <c r="P976" s="20" t="str">
        <f>IF($A976="","",INDEX(Project_Tracker!$I$2:$I$101,INT((ROW()-6)/17)+1))</f>
        <v/>
      </c>
      <c r="Q976" s="20" t="str">
        <f>IF($A976="","",INDEX(Project_Tracker!$K$2:$K$101,INT((ROW()-6)/17)+1))</f>
        <v/>
      </c>
    </row>
    <row r="977" spans="1:17" x14ac:dyDescent="0.2">
      <c r="A977" s="20" t="str">
        <f>IF(INDEX(Project_Tracker!$AL$2:$AL$101,INT((ROW()-6)/17)+1)="","",INDEX(Project_Tracker!$AL$2:$AL$101,INT((ROW()-6)/17)+1))</f>
        <v/>
      </c>
      <c r="B977" s="21" t="str">
        <f>IF($A977="","",INDEX(Project_Tracker!$AM$2:$AM$101,INT((ROW()-6)/17)+1))</f>
        <v/>
      </c>
      <c r="C977" s="20" t="str">
        <f>IF($A977="","",INDEX(Project_Tracker!$C$2:$C$101,INT((ROW()-6)/17)+1))</f>
        <v/>
      </c>
      <c r="D977" s="6" t="str">
        <f>IF($A977="","",INDEX(Project_Tracker!$T$2:$T$101,INT((ROW()-6)/17)+1))</f>
        <v/>
      </c>
      <c r="E977" s="18">
        <f t="shared" si="75"/>
        <v>3</v>
      </c>
      <c r="F977" s="23" t="str">
        <f>IF($A977="","",INDEX('Logic &amp; Lists'!$I$4:$I$20,$E977))</f>
        <v/>
      </c>
      <c r="G977" s="18" t="str">
        <f>IF($A977="","",INDEX('Logic &amp; Lists'!$J$4:$J$20,$E977))</f>
        <v/>
      </c>
      <c r="H977" s="6" t="str">
        <f t="shared" si="76"/>
        <v/>
      </c>
      <c r="I977" s="18" t="str">
        <f t="shared" ca="1" si="77"/>
        <v/>
      </c>
      <c r="J977" s="5" t="str">
        <f t="shared" si="78"/>
        <v/>
      </c>
      <c r="K977" s="25"/>
      <c r="L977" s="5" t="str">
        <f t="shared" si="79"/>
        <v/>
      </c>
      <c r="M977" s="7"/>
      <c r="N977" s="7"/>
      <c r="O977" s="7"/>
      <c r="P977" s="20" t="str">
        <f>IF($A977="","",INDEX(Project_Tracker!$I$2:$I$101,INT((ROW()-6)/17)+1))</f>
        <v/>
      </c>
      <c r="Q977" s="20" t="str">
        <f>IF($A977="","",INDEX(Project_Tracker!$K$2:$K$101,INT((ROW()-6)/17)+1))</f>
        <v/>
      </c>
    </row>
    <row r="978" spans="1:17" x14ac:dyDescent="0.2">
      <c r="A978" s="20" t="str">
        <f>IF(INDEX(Project_Tracker!$AL$2:$AL$101,INT((ROW()-6)/17)+1)="","",INDEX(Project_Tracker!$AL$2:$AL$101,INT((ROW()-6)/17)+1))</f>
        <v/>
      </c>
      <c r="B978" s="21" t="str">
        <f>IF($A978="","",INDEX(Project_Tracker!$AM$2:$AM$101,INT((ROW()-6)/17)+1))</f>
        <v/>
      </c>
      <c r="C978" s="20" t="str">
        <f>IF($A978="","",INDEX(Project_Tracker!$C$2:$C$101,INT((ROW()-6)/17)+1))</f>
        <v/>
      </c>
      <c r="D978" s="6" t="str">
        <f>IF($A978="","",INDEX(Project_Tracker!$T$2:$T$101,INT((ROW()-6)/17)+1))</f>
        <v/>
      </c>
      <c r="E978" s="18">
        <f t="shared" si="75"/>
        <v>4</v>
      </c>
      <c r="F978" s="23" t="str">
        <f>IF($A978="","",INDEX('Logic &amp; Lists'!$I$4:$I$20,$E978))</f>
        <v/>
      </c>
      <c r="G978" s="18" t="str">
        <f>IF($A978="","",INDEX('Logic &amp; Lists'!$J$4:$J$20,$E978))</f>
        <v/>
      </c>
      <c r="H978" s="6" t="str">
        <f t="shared" si="76"/>
        <v/>
      </c>
      <c r="I978" s="18" t="str">
        <f t="shared" ca="1" si="77"/>
        <v/>
      </c>
      <c r="J978" s="5" t="str">
        <f t="shared" si="78"/>
        <v/>
      </c>
      <c r="K978" s="25"/>
      <c r="L978" s="5" t="str">
        <f t="shared" si="79"/>
        <v/>
      </c>
      <c r="M978" s="7"/>
      <c r="N978" s="7"/>
      <c r="O978" s="7"/>
      <c r="P978" s="20" t="str">
        <f>IF($A978="","",INDEX(Project_Tracker!$I$2:$I$101,INT((ROW()-6)/17)+1))</f>
        <v/>
      </c>
      <c r="Q978" s="20" t="str">
        <f>IF($A978="","",INDEX(Project_Tracker!$K$2:$K$101,INT((ROW()-6)/17)+1))</f>
        <v/>
      </c>
    </row>
    <row r="979" spans="1:17" x14ac:dyDescent="0.2">
      <c r="A979" s="20" t="str">
        <f>IF(INDEX(Project_Tracker!$AL$2:$AL$101,INT((ROW()-6)/17)+1)="","",INDEX(Project_Tracker!$AL$2:$AL$101,INT((ROW()-6)/17)+1))</f>
        <v/>
      </c>
      <c r="B979" s="21" t="str">
        <f>IF($A979="","",INDEX(Project_Tracker!$AM$2:$AM$101,INT((ROW()-6)/17)+1))</f>
        <v/>
      </c>
      <c r="C979" s="20" t="str">
        <f>IF($A979="","",INDEX(Project_Tracker!$C$2:$C$101,INT((ROW()-6)/17)+1))</f>
        <v/>
      </c>
      <c r="D979" s="6" t="str">
        <f>IF($A979="","",INDEX(Project_Tracker!$T$2:$T$101,INT((ROW()-6)/17)+1))</f>
        <v/>
      </c>
      <c r="E979" s="18">
        <f t="shared" si="75"/>
        <v>5</v>
      </c>
      <c r="F979" s="23" t="str">
        <f>IF($A979="","",INDEX('Logic &amp; Lists'!$I$4:$I$20,$E979))</f>
        <v/>
      </c>
      <c r="G979" s="18" t="str">
        <f>IF($A979="","",INDEX('Logic &amp; Lists'!$J$4:$J$20,$E979))</f>
        <v/>
      </c>
      <c r="H979" s="6" t="str">
        <f t="shared" si="76"/>
        <v/>
      </c>
      <c r="I979" s="18" t="str">
        <f t="shared" ca="1" si="77"/>
        <v/>
      </c>
      <c r="J979" s="5" t="str">
        <f t="shared" si="78"/>
        <v/>
      </c>
      <c r="K979" s="25"/>
      <c r="L979" s="5" t="str">
        <f t="shared" si="79"/>
        <v/>
      </c>
      <c r="M979" s="7"/>
      <c r="N979" s="7"/>
      <c r="O979" s="7"/>
      <c r="P979" s="20" t="str">
        <f>IF($A979="","",INDEX(Project_Tracker!$I$2:$I$101,INT((ROW()-6)/17)+1))</f>
        <v/>
      </c>
      <c r="Q979" s="20" t="str">
        <f>IF($A979="","",INDEX(Project_Tracker!$K$2:$K$101,INT((ROW()-6)/17)+1))</f>
        <v/>
      </c>
    </row>
    <row r="980" spans="1:17" x14ac:dyDescent="0.2">
      <c r="A980" s="20" t="str">
        <f>IF(INDEX(Project_Tracker!$AL$2:$AL$101,INT((ROW()-6)/17)+1)="","",INDEX(Project_Tracker!$AL$2:$AL$101,INT((ROW()-6)/17)+1))</f>
        <v/>
      </c>
      <c r="B980" s="21" t="str">
        <f>IF($A980="","",INDEX(Project_Tracker!$AM$2:$AM$101,INT((ROW()-6)/17)+1))</f>
        <v/>
      </c>
      <c r="C980" s="20" t="str">
        <f>IF($A980="","",INDEX(Project_Tracker!$C$2:$C$101,INT((ROW()-6)/17)+1))</f>
        <v/>
      </c>
      <c r="D980" s="6" t="str">
        <f>IF($A980="","",INDEX(Project_Tracker!$T$2:$T$101,INT((ROW()-6)/17)+1))</f>
        <v/>
      </c>
      <c r="E980" s="18">
        <f t="shared" si="75"/>
        <v>6</v>
      </c>
      <c r="F980" s="23" t="str">
        <f>IF($A980="","",INDEX('Logic &amp; Lists'!$I$4:$I$20,$E980))</f>
        <v/>
      </c>
      <c r="G980" s="18" t="str">
        <f>IF($A980="","",INDEX('Logic &amp; Lists'!$J$4:$J$20,$E980))</f>
        <v/>
      </c>
      <c r="H980" s="6" t="str">
        <f t="shared" si="76"/>
        <v/>
      </c>
      <c r="I980" s="18" t="str">
        <f t="shared" ca="1" si="77"/>
        <v/>
      </c>
      <c r="J980" s="5" t="str">
        <f t="shared" si="78"/>
        <v/>
      </c>
      <c r="K980" s="25"/>
      <c r="L980" s="5" t="str">
        <f t="shared" si="79"/>
        <v/>
      </c>
      <c r="M980" s="7"/>
      <c r="N980" s="7"/>
      <c r="O980" s="7"/>
      <c r="P980" s="20" t="str">
        <f>IF($A980="","",INDEX(Project_Tracker!$I$2:$I$101,INT((ROW()-6)/17)+1))</f>
        <v/>
      </c>
      <c r="Q980" s="20" t="str">
        <f>IF($A980="","",INDEX(Project_Tracker!$K$2:$K$101,INT((ROW()-6)/17)+1))</f>
        <v/>
      </c>
    </row>
    <row r="981" spans="1:17" x14ac:dyDescent="0.2">
      <c r="A981" s="20" t="str">
        <f>IF(INDEX(Project_Tracker!$AL$2:$AL$101,INT((ROW()-6)/17)+1)="","",INDEX(Project_Tracker!$AL$2:$AL$101,INT((ROW()-6)/17)+1))</f>
        <v/>
      </c>
      <c r="B981" s="21" t="str">
        <f>IF($A981="","",INDEX(Project_Tracker!$AM$2:$AM$101,INT((ROW()-6)/17)+1))</f>
        <v/>
      </c>
      <c r="C981" s="20" t="str">
        <f>IF($A981="","",INDEX(Project_Tracker!$C$2:$C$101,INT((ROW()-6)/17)+1))</f>
        <v/>
      </c>
      <c r="D981" s="6" t="str">
        <f>IF($A981="","",INDEX(Project_Tracker!$T$2:$T$101,INT((ROW()-6)/17)+1))</f>
        <v/>
      </c>
      <c r="E981" s="18">
        <f t="shared" si="75"/>
        <v>7</v>
      </c>
      <c r="F981" s="23" t="str">
        <f>IF($A981="","",INDEX('Logic &amp; Lists'!$I$4:$I$20,$E981))</f>
        <v/>
      </c>
      <c r="G981" s="18" t="str">
        <f>IF($A981="","",INDEX('Logic &amp; Lists'!$J$4:$J$20,$E981))</f>
        <v/>
      </c>
      <c r="H981" s="6" t="str">
        <f t="shared" si="76"/>
        <v/>
      </c>
      <c r="I981" s="18" t="str">
        <f t="shared" ca="1" si="77"/>
        <v/>
      </c>
      <c r="J981" s="5" t="str">
        <f t="shared" si="78"/>
        <v/>
      </c>
      <c r="K981" s="25"/>
      <c r="L981" s="5" t="str">
        <f t="shared" si="79"/>
        <v/>
      </c>
      <c r="M981" s="7"/>
      <c r="N981" s="7"/>
      <c r="O981" s="7"/>
      <c r="P981" s="20" t="str">
        <f>IF($A981="","",INDEX(Project_Tracker!$I$2:$I$101,INT((ROW()-6)/17)+1))</f>
        <v/>
      </c>
      <c r="Q981" s="20" t="str">
        <f>IF($A981="","",INDEX(Project_Tracker!$K$2:$K$101,INT((ROW()-6)/17)+1))</f>
        <v/>
      </c>
    </row>
    <row r="982" spans="1:17" x14ac:dyDescent="0.2">
      <c r="A982" s="20" t="str">
        <f>IF(INDEX(Project_Tracker!$AL$2:$AL$101,INT((ROW()-6)/17)+1)="","",INDEX(Project_Tracker!$AL$2:$AL$101,INT((ROW()-6)/17)+1))</f>
        <v/>
      </c>
      <c r="B982" s="21" t="str">
        <f>IF($A982="","",INDEX(Project_Tracker!$AM$2:$AM$101,INT((ROW()-6)/17)+1))</f>
        <v/>
      </c>
      <c r="C982" s="20" t="str">
        <f>IF($A982="","",INDEX(Project_Tracker!$C$2:$C$101,INT((ROW()-6)/17)+1))</f>
        <v/>
      </c>
      <c r="D982" s="6" t="str">
        <f>IF($A982="","",INDEX(Project_Tracker!$T$2:$T$101,INT((ROW()-6)/17)+1))</f>
        <v/>
      </c>
      <c r="E982" s="18">
        <f t="shared" si="75"/>
        <v>8</v>
      </c>
      <c r="F982" s="23" t="str">
        <f>IF($A982="","",INDEX('Logic &amp; Lists'!$I$4:$I$20,$E982))</f>
        <v/>
      </c>
      <c r="G982" s="18" t="str">
        <f>IF($A982="","",INDEX('Logic &amp; Lists'!$J$4:$J$20,$E982))</f>
        <v/>
      </c>
      <c r="H982" s="6" t="str">
        <f t="shared" si="76"/>
        <v/>
      </c>
      <c r="I982" s="18" t="str">
        <f t="shared" ca="1" si="77"/>
        <v/>
      </c>
      <c r="J982" s="5" t="str">
        <f t="shared" si="78"/>
        <v/>
      </c>
      <c r="K982" s="25"/>
      <c r="L982" s="5" t="str">
        <f t="shared" si="79"/>
        <v/>
      </c>
      <c r="M982" s="7"/>
      <c r="N982" s="7"/>
      <c r="O982" s="7"/>
      <c r="P982" s="20" t="str">
        <f>IF($A982="","",INDEX(Project_Tracker!$I$2:$I$101,INT((ROW()-6)/17)+1))</f>
        <v/>
      </c>
      <c r="Q982" s="20" t="str">
        <f>IF($A982="","",INDEX(Project_Tracker!$K$2:$K$101,INT((ROW()-6)/17)+1))</f>
        <v/>
      </c>
    </row>
    <row r="983" spans="1:17" x14ac:dyDescent="0.2">
      <c r="A983" s="20" t="str">
        <f>IF(INDEX(Project_Tracker!$AL$2:$AL$101,INT((ROW()-6)/17)+1)="","",INDEX(Project_Tracker!$AL$2:$AL$101,INT((ROW()-6)/17)+1))</f>
        <v/>
      </c>
      <c r="B983" s="21" t="str">
        <f>IF($A983="","",INDEX(Project_Tracker!$AM$2:$AM$101,INT((ROW()-6)/17)+1))</f>
        <v/>
      </c>
      <c r="C983" s="20" t="str">
        <f>IF($A983="","",INDEX(Project_Tracker!$C$2:$C$101,INT((ROW()-6)/17)+1))</f>
        <v/>
      </c>
      <c r="D983" s="6" t="str">
        <f>IF($A983="","",INDEX(Project_Tracker!$T$2:$T$101,INT((ROW()-6)/17)+1))</f>
        <v/>
      </c>
      <c r="E983" s="18">
        <f t="shared" si="75"/>
        <v>9</v>
      </c>
      <c r="F983" s="23" t="str">
        <f>IF($A983="","",INDEX('Logic &amp; Lists'!$I$4:$I$20,$E983))</f>
        <v/>
      </c>
      <c r="G983" s="18" t="str">
        <f>IF($A983="","",INDEX('Logic &amp; Lists'!$J$4:$J$20,$E983))</f>
        <v/>
      </c>
      <c r="H983" s="6" t="str">
        <f t="shared" si="76"/>
        <v/>
      </c>
      <c r="I983" s="18" t="str">
        <f t="shared" ca="1" si="77"/>
        <v/>
      </c>
      <c r="J983" s="5" t="str">
        <f t="shared" si="78"/>
        <v/>
      </c>
      <c r="K983" s="25"/>
      <c r="L983" s="5" t="str">
        <f t="shared" si="79"/>
        <v/>
      </c>
      <c r="M983" s="7"/>
      <c r="N983" s="7"/>
      <c r="O983" s="7"/>
      <c r="P983" s="20" t="str">
        <f>IF($A983="","",INDEX(Project_Tracker!$I$2:$I$101,INT((ROW()-6)/17)+1))</f>
        <v/>
      </c>
      <c r="Q983" s="20" t="str">
        <f>IF($A983="","",INDEX(Project_Tracker!$K$2:$K$101,INT((ROW()-6)/17)+1))</f>
        <v/>
      </c>
    </row>
    <row r="984" spans="1:17" x14ac:dyDescent="0.2">
      <c r="A984" s="20" t="str">
        <f>IF(INDEX(Project_Tracker!$AL$2:$AL$101,INT((ROW()-6)/17)+1)="","",INDEX(Project_Tracker!$AL$2:$AL$101,INT((ROW()-6)/17)+1))</f>
        <v/>
      </c>
      <c r="B984" s="21" t="str">
        <f>IF($A984="","",INDEX(Project_Tracker!$AM$2:$AM$101,INT((ROW()-6)/17)+1))</f>
        <v/>
      </c>
      <c r="C984" s="20" t="str">
        <f>IF($A984="","",INDEX(Project_Tracker!$C$2:$C$101,INT((ROW()-6)/17)+1))</f>
        <v/>
      </c>
      <c r="D984" s="6" t="str">
        <f>IF($A984="","",INDEX(Project_Tracker!$T$2:$T$101,INT((ROW()-6)/17)+1))</f>
        <v/>
      </c>
      <c r="E984" s="18">
        <f t="shared" si="75"/>
        <v>10</v>
      </c>
      <c r="F984" s="23" t="str">
        <f>IF($A984="","",INDEX('Logic &amp; Lists'!$I$4:$I$20,$E984))</f>
        <v/>
      </c>
      <c r="G984" s="18" t="str">
        <f>IF($A984="","",INDEX('Logic &amp; Lists'!$J$4:$J$20,$E984))</f>
        <v/>
      </c>
      <c r="H984" s="6" t="str">
        <f t="shared" si="76"/>
        <v/>
      </c>
      <c r="I984" s="18" t="str">
        <f t="shared" ca="1" si="77"/>
        <v/>
      </c>
      <c r="J984" s="5" t="str">
        <f t="shared" si="78"/>
        <v/>
      </c>
      <c r="K984" s="25"/>
      <c r="L984" s="5" t="str">
        <f t="shared" si="79"/>
        <v/>
      </c>
      <c r="M984" s="7"/>
      <c r="N984" s="7"/>
      <c r="O984" s="7"/>
      <c r="P984" s="20" t="str">
        <f>IF($A984="","",INDEX(Project_Tracker!$I$2:$I$101,INT((ROW()-6)/17)+1))</f>
        <v/>
      </c>
      <c r="Q984" s="20" t="str">
        <f>IF($A984="","",INDEX(Project_Tracker!$K$2:$K$101,INT((ROW()-6)/17)+1))</f>
        <v/>
      </c>
    </row>
    <row r="985" spans="1:17" x14ac:dyDescent="0.2">
      <c r="A985" s="20" t="str">
        <f>IF(INDEX(Project_Tracker!$AL$2:$AL$101,INT((ROW()-6)/17)+1)="","",INDEX(Project_Tracker!$AL$2:$AL$101,INT((ROW()-6)/17)+1))</f>
        <v/>
      </c>
      <c r="B985" s="21" t="str">
        <f>IF($A985="","",INDEX(Project_Tracker!$AM$2:$AM$101,INT((ROW()-6)/17)+1))</f>
        <v/>
      </c>
      <c r="C985" s="20" t="str">
        <f>IF($A985="","",INDEX(Project_Tracker!$C$2:$C$101,INT((ROW()-6)/17)+1))</f>
        <v/>
      </c>
      <c r="D985" s="6" t="str">
        <f>IF($A985="","",INDEX(Project_Tracker!$T$2:$T$101,INT((ROW()-6)/17)+1))</f>
        <v/>
      </c>
      <c r="E985" s="18">
        <f t="shared" si="75"/>
        <v>11</v>
      </c>
      <c r="F985" s="23" t="str">
        <f>IF($A985="","",INDEX('Logic &amp; Lists'!$I$4:$I$20,$E985))</f>
        <v/>
      </c>
      <c r="G985" s="18" t="str">
        <f>IF($A985="","",INDEX('Logic &amp; Lists'!$J$4:$J$20,$E985))</f>
        <v/>
      </c>
      <c r="H985" s="6" t="str">
        <f t="shared" si="76"/>
        <v/>
      </c>
      <c r="I985" s="18" t="str">
        <f t="shared" ca="1" si="77"/>
        <v/>
      </c>
      <c r="J985" s="5" t="str">
        <f t="shared" si="78"/>
        <v/>
      </c>
      <c r="K985" s="25"/>
      <c r="L985" s="5" t="str">
        <f t="shared" si="79"/>
        <v/>
      </c>
      <c r="M985" s="7"/>
      <c r="N985" s="7"/>
      <c r="O985" s="7"/>
      <c r="P985" s="20" t="str">
        <f>IF($A985="","",INDEX(Project_Tracker!$I$2:$I$101,INT((ROW()-6)/17)+1))</f>
        <v/>
      </c>
      <c r="Q985" s="20" t="str">
        <f>IF($A985="","",INDEX(Project_Tracker!$K$2:$K$101,INT((ROW()-6)/17)+1))</f>
        <v/>
      </c>
    </row>
    <row r="986" spans="1:17" x14ac:dyDescent="0.2">
      <c r="A986" s="20" t="str">
        <f>IF(INDEX(Project_Tracker!$AL$2:$AL$101,INT((ROW()-6)/17)+1)="","",INDEX(Project_Tracker!$AL$2:$AL$101,INT((ROW()-6)/17)+1))</f>
        <v/>
      </c>
      <c r="B986" s="21" t="str">
        <f>IF($A986="","",INDEX(Project_Tracker!$AM$2:$AM$101,INT((ROW()-6)/17)+1))</f>
        <v/>
      </c>
      <c r="C986" s="20" t="str">
        <f>IF($A986="","",INDEX(Project_Tracker!$C$2:$C$101,INT((ROW()-6)/17)+1))</f>
        <v/>
      </c>
      <c r="D986" s="6" t="str">
        <f>IF($A986="","",INDEX(Project_Tracker!$T$2:$T$101,INT((ROW()-6)/17)+1))</f>
        <v/>
      </c>
      <c r="E986" s="18">
        <f t="shared" si="75"/>
        <v>12</v>
      </c>
      <c r="F986" s="23" t="str">
        <f>IF($A986="","",INDEX('Logic &amp; Lists'!$I$4:$I$20,$E986))</f>
        <v/>
      </c>
      <c r="G986" s="18" t="str">
        <f>IF($A986="","",INDEX('Logic &amp; Lists'!$J$4:$J$20,$E986))</f>
        <v/>
      </c>
      <c r="H986" s="6" t="str">
        <f t="shared" si="76"/>
        <v/>
      </c>
      <c r="I986" s="18" t="str">
        <f t="shared" ca="1" si="77"/>
        <v/>
      </c>
      <c r="J986" s="5" t="str">
        <f t="shared" si="78"/>
        <v/>
      </c>
      <c r="K986" s="25"/>
      <c r="L986" s="5" t="str">
        <f t="shared" si="79"/>
        <v/>
      </c>
      <c r="M986" s="7"/>
      <c r="N986" s="7"/>
      <c r="O986" s="7"/>
      <c r="P986" s="20" t="str">
        <f>IF($A986="","",INDEX(Project_Tracker!$I$2:$I$101,INT((ROW()-6)/17)+1))</f>
        <v/>
      </c>
      <c r="Q986" s="20" t="str">
        <f>IF($A986="","",INDEX(Project_Tracker!$K$2:$K$101,INT((ROW()-6)/17)+1))</f>
        <v/>
      </c>
    </row>
    <row r="987" spans="1:17" x14ac:dyDescent="0.2">
      <c r="A987" s="20" t="str">
        <f>IF(INDEX(Project_Tracker!$AL$2:$AL$101,INT((ROW()-6)/17)+1)="","",INDEX(Project_Tracker!$AL$2:$AL$101,INT((ROW()-6)/17)+1))</f>
        <v/>
      </c>
      <c r="B987" s="21" t="str">
        <f>IF($A987="","",INDEX(Project_Tracker!$AM$2:$AM$101,INT((ROW()-6)/17)+1))</f>
        <v/>
      </c>
      <c r="C987" s="20" t="str">
        <f>IF($A987="","",INDEX(Project_Tracker!$C$2:$C$101,INT((ROW()-6)/17)+1))</f>
        <v/>
      </c>
      <c r="D987" s="6" t="str">
        <f>IF($A987="","",INDEX(Project_Tracker!$T$2:$T$101,INT((ROW()-6)/17)+1))</f>
        <v/>
      </c>
      <c r="E987" s="18">
        <f t="shared" si="75"/>
        <v>13</v>
      </c>
      <c r="F987" s="23" t="str">
        <f>IF($A987="","",INDEX('Logic &amp; Lists'!$I$4:$I$20,$E987))</f>
        <v/>
      </c>
      <c r="G987" s="18" t="str">
        <f>IF($A987="","",INDEX('Logic &amp; Lists'!$J$4:$J$20,$E987))</f>
        <v/>
      </c>
      <c r="H987" s="6" t="str">
        <f t="shared" si="76"/>
        <v/>
      </c>
      <c r="I987" s="18" t="str">
        <f t="shared" ca="1" si="77"/>
        <v/>
      </c>
      <c r="J987" s="5" t="str">
        <f t="shared" si="78"/>
        <v/>
      </c>
      <c r="K987" s="25"/>
      <c r="L987" s="5" t="str">
        <f t="shared" si="79"/>
        <v/>
      </c>
      <c r="M987" s="7"/>
      <c r="N987" s="7"/>
      <c r="O987" s="7"/>
      <c r="P987" s="20" t="str">
        <f>IF($A987="","",INDEX(Project_Tracker!$I$2:$I$101,INT((ROW()-6)/17)+1))</f>
        <v/>
      </c>
      <c r="Q987" s="20" t="str">
        <f>IF($A987="","",INDEX(Project_Tracker!$K$2:$K$101,INT((ROW()-6)/17)+1))</f>
        <v/>
      </c>
    </row>
    <row r="988" spans="1:17" x14ac:dyDescent="0.2">
      <c r="A988" s="20" t="str">
        <f>IF(INDEX(Project_Tracker!$AL$2:$AL$101,INT((ROW()-6)/17)+1)="","",INDEX(Project_Tracker!$AL$2:$AL$101,INT((ROW()-6)/17)+1))</f>
        <v/>
      </c>
      <c r="B988" s="21" t="str">
        <f>IF($A988="","",INDEX(Project_Tracker!$AM$2:$AM$101,INT((ROW()-6)/17)+1))</f>
        <v/>
      </c>
      <c r="C988" s="20" t="str">
        <f>IF($A988="","",INDEX(Project_Tracker!$C$2:$C$101,INT((ROW()-6)/17)+1))</f>
        <v/>
      </c>
      <c r="D988" s="6" t="str">
        <f>IF($A988="","",INDEX(Project_Tracker!$T$2:$T$101,INT((ROW()-6)/17)+1))</f>
        <v/>
      </c>
      <c r="E988" s="18">
        <f t="shared" si="75"/>
        <v>14</v>
      </c>
      <c r="F988" s="23" t="str">
        <f>IF($A988="","",INDEX('Logic &amp; Lists'!$I$4:$I$20,$E988))</f>
        <v/>
      </c>
      <c r="G988" s="18" t="str">
        <f>IF($A988="","",INDEX('Logic &amp; Lists'!$J$4:$J$20,$E988))</f>
        <v/>
      </c>
      <c r="H988" s="6" t="str">
        <f t="shared" si="76"/>
        <v/>
      </c>
      <c r="I988" s="18" t="str">
        <f t="shared" ca="1" si="77"/>
        <v/>
      </c>
      <c r="J988" s="5" t="str">
        <f t="shared" si="78"/>
        <v/>
      </c>
      <c r="K988" s="25"/>
      <c r="L988" s="5" t="str">
        <f t="shared" si="79"/>
        <v/>
      </c>
      <c r="M988" s="7"/>
      <c r="N988" s="7"/>
      <c r="O988" s="7"/>
      <c r="P988" s="20" t="str">
        <f>IF($A988="","",INDEX(Project_Tracker!$I$2:$I$101,INT((ROW()-6)/17)+1))</f>
        <v/>
      </c>
      <c r="Q988" s="20" t="str">
        <f>IF($A988="","",INDEX(Project_Tracker!$K$2:$K$101,INT((ROW()-6)/17)+1))</f>
        <v/>
      </c>
    </row>
    <row r="989" spans="1:17" x14ac:dyDescent="0.2">
      <c r="A989" s="20" t="str">
        <f>IF(INDEX(Project_Tracker!$AL$2:$AL$101,INT((ROW()-6)/17)+1)="","",INDEX(Project_Tracker!$AL$2:$AL$101,INT((ROW()-6)/17)+1))</f>
        <v/>
      </c>
      <c r="B989" s="21" t="str">
        <f>IF($A989="","",INDEX(Project_Tracker!$AM$2:$AM$101,INT((ROW()-6)/17)+1))</f>
        <v/>
      </c>
      <c r="C989" s="20" t="str">
        <f>IF($A989="","",INDEX(Project_Tracker!$C$2:$C$101,INT((ROW()-6)/17)+1))</f>
        <v/>
      </c>
      <c r="D989" s="6" t="str">
        <f>IF($A989="","",INDEX(Project_Tracker!$T$2:$T$101,INT((ROW()-6)/17)+1))</f>
        <v/>
      </c>
      <c r="E989" s="18">
        <f t="shared" si="75"/>
        <v>15</v>
      </c>
      <c r="F989" s="23" t="str">
        <f>IF($A989="","",INDEX('Logic &amp; Lists'!$I$4:$I$20,$E989))</f>
        <v/>
      </c>
      <c r="G989" s="18" t="str">
        <f>IF($A989="","",INDEX('Logic &amp; Lists'!$J$4:$J$20,$E989))</f>
        <v/>
      </c>
      <c r="H989" s="6" t="str">
        <f t="shared" si="76"/>
        <v/>
      </c>
      <c r="I989" s="18" t="str">
        <f t="shared" ca="1" si="77"/>
        <v/>
      </c>
      <c r="J989" s="5" t="str">
        <f t="shared" si="78"/>
        <v/>
      </c>
      <c r="K989" s="25"/>
      <c r="L989" s="5" t="str">
        <f t="shared" si="79"/>
        <v/>
      </c>
      <c r="M989" s="7"/>
      <c r="N989" s="7"/>
      <c r="O989" s="7"/>
      <c r="P989" s="20" t="str">
        <f>IF($A989="","",INDEX(Project_Tracker!$I$2:$I$101,INT((ROW()-6)/17)+1))</f>
        <v/>
      </c>
      <c r="Q989" s="20" t="str">
        <f>IF($A989="","",INDEX(Project_Tracker!$K$2:$K$101,INT((ROW()-6)/17)+1))</f>
        <v/>
      </c>
    </row>
    <row r="990" spans="1:17" x14ac:dyDescent="0.2">
      <c r="A990" s="20" t="str">
        <f>IF(INDEX(Project_Tracker!$AL$2:$AL$101,INT((ROW()-6)/17)+1)="","",INDEX(Project_Tracker!$AL$2:$AL$101,INT((ROW()-6)/17)+1))</f>
        <v/>
      </c>
      <c r="B990" s="21" t="str">
        <f>IF($A990="","",INDEX(Project_Tracker!$AM$2:$AM$101,INT((ROW()-6)/17)+1))</f>
        <v/>
      </c>
      <c r="C990" s="20" t="str">
        <f>IF($A990="","",INDEX(Project_Tracker!$C$2:$C$101,INT((ROW()-6)/17)+1))</f>
        <v/>
      </c>
      <c r="D990" s="6" t="str">
        <f>IF($A990="","",INDEX(Project_Tracker!$T$2:$T$101,INT((ROW()-6)/17)+1))</f>
        <v/>
      </c>
      <c r="E990" s="18">
        <f t="shared" si="75"/>
        <v>16</v>
      </c>
      <c r="F990" s="23" t="str">
        <f>IF($A990="","",INDEX('Logic &amp; Lists'!$I$4:$I$20,$E990))</f>
        <v/>
      </c>
      <c r="G990" s="18" t="str">
        <f>IF($A990="","",INDEX('Logic &amp; Lists'!$J$4:$J$20,$E990))</f>
        <v/>
      </c>
      <c r="H990" s="6" t="str">
        <f t="shared" si="76"/>
        <v/>
      </c>
      <c r="I990" s="18" t="str">
        <f t="shared" ca="1" si="77"/>
        <v/>
      </c>
      <c r="J990" s="5" t="str">
        <f t="shared" si="78"/>
        <v/>
      </c>
      <c r="K990" s="25"/>
      <c r="L990" s="5" t="str">
        <f t="shared" si="79"/>
        <v/>
      </c>
      <c r="M990" s="7"/>
      <c r="N990" s="7"/>
      <c r="O990" s="7"/>
      <c r="P990" s="20" t="str">
        <f>IF($A990="","",INDEX(Project_Tracker!$I$2:$I$101,INT((ROW()-6)/17)+1))</f>
        <v/>
      </c>
      <c r="Q990" s="20" t="str">
        <f>IF($A990="","",INDEX(Project_Tracker!$K$2:$K$101,INT((ROW()-6)/17)+1))</f>
        <v/>
      </c>
    </row>
    <row r="991" spans="1:17" x14ac:dyDescent="0.2">
      <c r="A991" s="20" t="str">
        <f>IF(INDEX(Project_Tracker!$AL$2:$AL$101,INT((ROW()-6)/17)+1)="","",INDEX(Project_Tracker!$AL$2:$AL$101,INT((ROW()-6)/17)+1))</f>
        <v/>
      </c>
      <c r="B991" s="21" t="str">
        <f>IF($A991="","",INDEX(Project_Tracker!$AM$2:$AM$101,INT((ROW()-6)/17)+1))</f>
        <v/>
      </c>
      <c r="C991" s="20" t="str">
        <f>IF($A991="","",INDEX(Project_Tracker!$C$2:$C$101,INT((ROW()-6)/17)+1))</f>
        <v/>
      </c>
      <c r="D991" s="6" t="str">
        <f>IF($A991="","",INDEX(Project_Tracker!$T$2:$T$101,INT((ROW()-6)/17)+1))</f>
        <v/>
      </c>
      <c r="E991" s="18">
        <f t="shared" si="75"/>
        <v>17</v>
      </c>
      <c r="F991" s="23" t="str">
        <f>IF($A991="","",INDEX('Logic &amp; Lists'!$I$4:$I$20,$E991))</f>
        <v/>
      </c>
      <c r="G991" s="18" t="str">
        <f>IF($A991="","",INDEX('Logic &amp; Lists'!$J$4:$J$20,$E991))</f>
        <v/>
      </c>
      <c r="H991" s="6" t="str">
        <f t="shared" si="76"/>
        <v/>
      </c>
      <c r="I991" s="18" t="str">
        <f t="shared" ca="1" si="77"/>
        <v/>
      </c>
      <c r="J991" s="5" t="str">
        <f t="shared" si="78"/>
        <v/>
      </c>
      <c r="K991" s="25"/>
      <c r="L991" s="5" t="str">
        <f t="shared" si="79"/>
        <v/>
      </c>
      <c r="M991" s="7"/>
      <c r="N991" s="7"/>
      <c r="O991" s="7"/>
      <c r="P991" s="20" t="str">
        <f>IF($A991="","",INDEX(Project_Tracker!$I$2:$I$101,INT((ROW()-6)/17)+1))</f>
        <v/>
      </c>
      <c r="Q991" s="20" t="str">
        <f>IF($A991="","",INDEX(Project_Tracker!$K$2:$K$101,INT((ROW()-6)/17)+1))</f>
        <v/>
      </c>
    </row>
    <row r="992" spans="1:17" x14ac:dyDescent="0.2">
      <c r="A992" s="20" t="str">
        <f>IF(INDEX(Project_Tracker!$AL$2:$AL$101,INT((ROW()-6)/17)+1)="","",INDEX(Project_Tracker!$AL$2:$AL$101,INT((ROW()-6)/17)+1))</f>
        <v/>
      </c>
      <c r="B992" s="21" t="str">
        <f>IF($A992="","",INDEX(Project_Tracker!$AM$2:$AM$101,INT((ROW()-6)/17)+1))</f>
        <v/>
      </c>
      <c r="C992" s="20" t="str">
        <f>IF($A992="","",INDEX(Project_Tracker!$C$2:$C$101,INT((ROW()-6)/17)+1))</f>
        <v/>
      </c>
      <c r="D992" s="6" t="str">
        <f>IF($A992="","",INDEX(Project_Tracker!$T$2:$T$101,INT((ROW()-6)/17)+1))</f>
        <v/>
      </c>
      <c r="E992" s="18">
        <f t="shared" si="75"/>
        <v>1</v>
      </c>
      <c r="F992" s="23" t="str">
        <f>IF($A992="","",INDEX('Logic &amp; Lists'!$I$4:$I$20,$E992))</f>
        <v/>
      </c>
      <c r="G992" s="18" t="str">
        <f>IF($A992="","",INDEX('Logic &amp; Lists'!$J$4:$J$20,$E992))</f>
        <v/>
      </c>
      <c r="H992" s="6" t="str">
        <f t="shared" si="76"/>
        <v/>
      </c>
      <c r="I992" s="18" t="str">
        <f t="shared" ca="1" si="77"/>
        <v/>
      </c>
      <c r="J992" s="5" t="str">
        <f t="shared" si="78"/>
        <v/>
      </c>
      <c r="K992" s="25"/>
      <c r="L992" s="5" t="str">
        <f t="shared" si="79"/>
        <v/>
      </c>
      <c r="M992" s="7"/>
      <c r="N992" s="7"/>
      <c r="O992" s="7"/>
      <c r="P992" s="20" t="str">
        <f>IF($A992="","",INDEX(Project_Tracker!$I$2:$I$101,INT((ROW()-6)/17)+1))</f>
        <v/>
      </c>
      <c r="Q992" s="20" t="str">
        <f>IF($A992="","",INDEX(Project_Tracker!$K$2:$K$101,INT((ROW()-6)/17)+1))</f>
        <v/>
      </c>
    </row>
    <row r="993" spans="1:17" x14ac:dyDescent="0.2">
      <c r="A993" s="20" t="str">
        <f>IF(INDEX(Project_Tracker!$AL$2:$AL$101,INT((ROW()-6)/17)+1)="","",INDEX(Project_Tracker!$AL$2:$AL$101,INT((ROW()-6)/17)+1))</f>
        <v/>
      </c>
      <c r="B993" s="21" t="str">
        <f>IF($A993="","",INDEX(Project_Tracker!$AM$2:$AM$101,INT((ROW()-6)/17)+1))</f>
        <v/>
      </c>
      <c r="C993" s="20" t="str">
        <f>IF($A993="","",INDEX(Project_Tracker!$C$2:$C$101,INT((ROW()-6)/17)+1))</f>
        <v/>
      </c>
      <c r="D993" s="6" t="str">
        <f>IF($A993="","",INDEX(Project_Tracker!$T$2:$T$101,INT((ROW()-6)/17)+1))</f>
        <v/>
      </c>
      <c r="E993" s="18">
        <f t="shared" si="75"/>
        <v>2</v>
      </c>
      <c r="F993" s="23" t="str">
        <f>IF($A993="","",INDEX('Logic &amp; Lists'!$I$4:$I$20,$E993))</f>
        <v/>
      </c>
      <c r="G993" s="18" t="str">
        <f>IF($A993="","",INDEX('Logic &amp; Lists'!$J$4:$J$20,$E993))</f>
        <v/>
      </c>
      <c r="H993" s="6" t="str">
        <f t="shared" si="76"/>
        <v/>
      </c>
      <c r="I993" s="18" t="str">
        <f t="shared" ca="1" si="77"/>
        <v/>
      </c>
      <c r="J993" s="5" t="str">
        <f t="shared" si="78"/>
        <v/>
      </c>
      <c r="K993" s="25"/>
      <c r="L993" s="5" t="str">
        <f t="shared" si="79"/>
        <v/>
      </c>
      <c r="M993" s="7"/>
      <c r="N993" s="7"/>
      <c r="O993" s="7"/>
      <c r="P993" s="20" t="str">
        <f>IF($A993="","",INDEX(Project_Tracker!$I$2:$I$101,INT((ROW()-6)/17)+1))</f>
        <v/>
      </c>
      <c r="Q993" s="20" t="str">
        <f>IF($A993="","",INDEX(Project_Tracker!$K$2:$K$101,INT((ROW()-6)/17)+1))</f>
        <v/>
      </c>
    </row>
    <row r="994" spans="1:17" x14ac:dyDescent="0.2">
      <c r="A994" s="20" t="str">
        <f>IF(INDEX(Project_Tracker!$AL$2:$AL$101,INT((ROW()-6)/17)+1)="","",INDEX(Project_Tracker!$AL$2:$AL$101,INT((ROW()-6)/17)+1))</f>
        <v/>
      </c>
      <c r="B994" s="21" t="str">
        <f>IF($A994="","",INDEX(Project_Tracker!$AM$2:$AM$101,INT((ROW()-6)/17)+1))</f>
        <v/>
      </c>
      <c r="C994" s="20" t="str">
        <f>IF($A994="","",INDEX(Project_Tracker!$C$2:$C$101,INT((ROW()-6)/17)+1))</f>
        <v/>
      </c>
      <c r="D994" s="6" t="str">
        <f>IF($A994="","",INDEX(Project_Tracker!$T$2:$T$101,INT((ROW()-6)/17)+1))</f>
        <v/>
      </c>
      <c r="E994" s="18">
        <f t="shared" si="75"/>
        <v>3</v>
      </c>
      <c r="F994" s="23" t="str">
        <f>IF($A994="","",INDEX('Logic &amp; Lists'!$I$4:$I$20,$E994))</f>
        <v/>
      </c>
      <c r="G994" s="18" t="str">
        <f>IF($A994="","",INDEX('Logic &amp; Lists'!$J$4:$J$20,$E994))</f>
        <v/>
      </c>
      <c r="H994" s="6" t="str">
        <f t="shared" si="76"/>
        <v/>
      </c>
      <c r="I994" s="18" t="str">
        <f t="shared" ca="1" si="77"/>
        <v/>
      </c>
      <c r="J994" s="5" t="str">
        <f t="shared" si="78"/>
        <v/>
      </c>
      <c r="K994" s="25"/>
      <c r="L994" s="5" t="str">
        <f t="shared" si="79"/>
        <v/>
      </c>
      <c r="M994" s="7"/>
      <c r="N994" s="7"/>
      <c r="O994" s="7"/>
      <c r="P994" s="20" t="str">
        <f>IF($A994="","",INDEX(Project_Tracker!$I$2:$I$101,INT((ROW()-6)/17)+1))</f>
        <v/>
      </c>
      <c r="Q994" s="20" t="str">
        <f>IF($A994="","",INDEX(Project_Tracker!$K$2:$K$101,INT((ROW()-6)/17)+1))</f>
        <v/>
      </c>
    </row>
    <row r="995" spans="1:17" x14ac:dyDescent="0.2">
      <c r="A995" s="20" t="str">
        <f>IF(INDEX(Project_Tracker!$AL$2:$AL$101,INT((ROW()-6)/17)+1)="","",INDEX(Project_Tracker!$AL$2:$AL$101,INT((ROW()-6)/17)+1))</f>
        <v/>
      </c>
      <c r="B995" s="21" t="str">
        <f>IF($A995="","",INDEX(Project_Tracker!$AM$2:$AM$101,INT((ROW()-6)/17)+1))</f>
        <v/>
      </c>
      <c r="C995" s="20" t="str">
        <f>IF($A995="","",INDEX(Project_Tracker!$C$2:$C$101,INT((ROW()-6)/17)+1))</f>
        <v/>
      </c>
      <c r="D995" s="6" t="str">
        <f>IF($A995="","",INDEX(Project_Tracker!$T$2:$T$101,INT((ROW()-6)/17)+1))</f>
        <v/>
      </c>
      <c r="E995" s="18">
        <f t="shared" si="75"/>
        <v>4</v>
      </c>
      <c r="F995" s="23" t="str">
        <f>IF($A995="","",INDEX('Logic &amp; Lists'!$I$4:$I$20,$E995))</f>
        <v/>
      </c>
      <c r="G995" s="18" t="str">
        <f>IF($A995="","",INDEX('Logic &amp; Lists'!$J$4:$J$20,$E995))</f>
        <v/>
      </c>
      <c r="H995" s="6" t="str">
        <f t="shared" si="76"/>
        <v/>
      </c>
      <c r="I995" s="18" t="str">
        <f t="shared" ca="1" si="77"/>
        <v/>
      </c>
      <c r="J995" s="5" t="str">
        <f t="shared" si="78"/>
        <v/>
      </c>
      <c r="K995" s="25"/>
      <c r="L995" s="5" t="str">
        <f t="shared" si="79"/>
        <v/>
      </c>
      <c r="M995" s="7"/>
      <c r="N995" s="7"/>
      <c r="O995" s="7"/>
      <c r="P995" s="20" t="str">
        <f>IF($A995="","",INDEX(Project_Tracker!$I$2:$I$101,INT((ROW()-6)/17)+1))</f>
        <v/>
      </c>
      <c r="Q995" s="20" t="str">
        <f>IF($A995="","",INDEX(Project_Tracker!$K$2:$K$101,INT((ROW()-6)/17)+1))</f>
        <v/>
      </c>
    </row>
    <row r="996" spans="1:17" x14ac:dyDescent="0.2">
      <c r="A996" s="20" t="str">
        <f>IF(INDEX(Project_Tracker!$AL$2:$AL$101,INT((ROW()-6)/17)+1)="","",INDEX(Project_Tracker!$AL$2:$AL$101,INT((ROW()-6)/17)+1))</f>
        <v/>
      </c>
      <c r="B996" s="21" t="str">
        <f>IF($A996="","",INDEX(Project_Tracker!$AM$2:$AM$101,INT((ROW()-6)/17)+1))</f>
        <v/>
      </c>
      <c r="C996" s="20" t="str">
        <f>IF($A996="","",INDEX(Project_Tracker!$C$2:$C$101,INT((ROW()-6)/17)+1))</f>
        <v/>
      </c>
      <c r="D996" s="6" t="str">
        <f>IF($A996="","",INDEX(Project_Tracker!$T$2:$T$101,INT((ROW()-6)/17)+1))</f>
        <v/>
      </c>
      <c r="E996" s="18">
        <f t="shared" si="75"/>
        <v>5</v>
      </c>
      <c r="F996" s="23" t="str">
        <f>IF($A996="","",INDEX('Logic &amp; Lists'!$I$4:$I$20,$E996))</f>
        <v/>
      </c>
      <c r="G996" s="18" t="str">
        <f>IF($A996="","",INDEX('Logic &amp; Lists'!$J$4:$J$20,$E996))</f>
        <v/>
      </c>
      <c r="H996" s="6" t="str">
        <f t="shared" si="76"/>
        <v/>
      </c>
      <c r="I996" s="18" t="str">
        <f t="shared" ca="1" si="77"/>
        <v/>
      </c>
      <c r="J996" s="5" t="str">
        <f t="shared" si="78"/>
        <v/>
      </c>
      <c r="K996" s="25"/>
      <c r="L996" s="5" t="str">
        <f t="shared" si="79"/>
        <v/>
      </c>
      <c r="M996" s="7"/>
      <c r="N996" s="7"/>
      <c r="O996" s="7"/>
      <c r="P996" s="20" t="str">
        <f>IF($A996="","",INDEX(Project_Tracker!$I$2:$I$101,INT((ROW()-6)/17)+1))</f>
        <v/>
      </c>
      <c r="Q996" s="20" t="str">
        <f>IF($A996="","",INDEX(Project_Tracker!$K$2:$K$101,INT((ROW()-6)/17)+1))</f>
        <v/>
      </c>
    </row>
    <row r="997" spans="1:17" x14ac:dyDescent="0.2">
      <c r="A997" s="20" t="str">
        <f>IF(INDEX(Project_Tracker!$AL$2:$AL$101,INT((ROW()-6)/17)+1)="","",INDEX(Project_Tracker!$AL$2:$AL$101,INT((ROW()-6)/17)+1))</f>
        <v/>
      </c>
      <c r="B997" s="21" t="str">
        <f>IF($A997="","",INDEX(Project_Tracker!$AM$2:$AM$101,INT((ROW()-6)/17)+1))</f>
        <v/>
      </c>
      <c r="C997" s="20" t="str">
        <f>IF($A997="","",INDEX(Project_Tracker!$C$2:$C$101,INT((ROW()-6)/17)+1))</f>
        <v/>
      </c>
      <c r="D997" s="6" t="str">
        <f>IF($A997="","",INDEX(Project_Tracker!$T$2:$T$101,INT((ROW()-6)/17)+1))</f>
        <v/>
      </c>
      <c r="E997" s="18">
        <f t="shared" si="75"/>
        <v>6</v>
      </c>
      <c r="F997" s="23" t="str">
        <f>IF($A997="","",INDEX('Logic &amp; Lists'!$I$4:$I$20,$E997))</f>
        <v/>
      </c>
      <c r="G997" s="18" t="str">
        <f>IF($A997="","",INDEX('Logic &amp; Lists'!$J$4:$J$20,$E997))</f>
        <v/>
      </c>
      <c r="H997" s="6" t="str">
        <f t="shared" si="76"/>
        <v/>
      </c>
      <c r="I997" s="18" t="str">
        <f t="shared" ca="1" si="77"/>
        <v/>
      </c>
      <c r="J997" s="5" t="str">
        <f t="shared" si="78"/>
        <v/>
      </c>
      <c r="K997" s="25"/>
      <c r="L997" s="5" t="str">
        <f t="shared" si="79"/>
        <v/>
      </c>
      <c r="M997" s="7"/>
      <c r="N997" s="7"/>
      <c r="O997" s="7"/>
      <c r="P997" s="20" t="str">
        <f>IF($A997="","",INDEX(Project_Tracker!$I$2:$I$101,INT((ROW()-6)/17)+1))</f>
        <v/>
      </c>
      <c r="Q997" s="20" t="str">
        <f>IF($A997="","",INDEX(Project_Tracker!$K$2:$K$101,INT((ROW()-6)/17)+1))</f>
        <v/>
      </c>
    </row>
    <row r="998" spans="1:17" x14ac:dyDescent="0.2">
      <c r="A998" s="20" t="str">
        <f>IF(INDEX(Project_Tracker!$AL$2:$AL$101,INT((ROW()-6)/17)+1)="","",INDEX(Project_Tracker!$AL$2:$AL$101,INT((ROW()-6)/17)+1))</f>
        <v/>
      </c>
      <c r="B998" s="21" t="str">
        <f>IF($A998="","",INDEX(Project_Tracker!$AM$2:$AM$101,INT((ROW()-6)/17)+1))</f>
        <v/>
      </c>
      <c r="C998" s="20" t="str">
        <f>IF($A998="","",INDEX(Project_Tracker!$C$2:$C$101,INT((ROW()-6)/17)+1))</f>
        <v/>
      </c>
      <c r="D998" s="6" t="str">
        <f>IF($A998="","",INDEX(Project_Tracker!$T$2:$T$101,INT((ROW()-6)/17)+1))</f>
        <v/>
      </c>
      <c r="E998" s="18">
        <f t="shared" si="75"/>
        <v>7</v>
      </c>
      <c r="F998" s="23" t="str">
        <f>IF($A998="","",INDEX('Logic &amp; Lists'!$I$4:$I$20,$E998))</f>
        <v/>
      </c>
      <c r="G998" s="18" t="str">
        <f>IF($A998="","",INDEX('Logic &amp; Lists'!$J$4:$J$20,$E998))</f>
        <v/>
      </c>
      <c r="H998" s="6" t="str">
        <f t="shared" si="76"/>
        <v/>
      </c>
      <c r="I998" s="18" t="str">
        <f t="shared" ca="1" si="77"/>
        <v/>
      </c>
      <c r="J998" s="5" t="str">
        <f t="shared" si="78"/>
        <v/>
      </c>
      <c r="K998" s="25"/>
      <c r="L998" s="5" t="str">
        <f t="shared" si="79"/>
        <v/>
      </c>
      <c r="M998" s="7"/>
      <c r="N998" s="7"/>
      <c r="O998" s="7"/>
      <c r="P998" s="20" t="str">
        <f>IF($A998="","",INDEX(Project_Tracker!$I$2:$I$101,INT((ROW()-6)/17)+1))</f>
        <v/>
      </c>
      <c r="Q998" s="20" t="str">
        <f>IF($A998="","",INDEX(Project_Tracker!$K$2:$K$101,INT((ROW()-6)/17)+1))</f>
        <v/>
      </c>
    </row>
    <row r="999" spans="1:17" x14ac:dyDescent="0.2">
      <c r="A999" s="20" t="str">
        <f>IF(INDEX(Project_Tracker!$AL$2:$AL$101,INT((ROW()-6)/17)+1)="","",INDEX(Project_Tracker!$AL$2:$AL$101,INT((ROW()-6)/17)+1))</f>
        <v/>
      </c>
      <c r="B999" s="21" t="str">
        <f>IF($A999="","",INDEX(Project_Tracker!$AM$2:$AM$101,INT((ROW()-6)/17)+1))</f>
        <v/>
      </c>
      <c r="C999" s="20" t="str">
        <f>IF($A999="","",INDEX(Project_Tracker!$C$2:$C$101,INT((ROW()-6)/17)+1))</f>
        <v/>
      </c>
      <c r="D999" s="6" t="str">
        <f>IF($A999="","",INDEX(Project_Tracker!$T$2:$T$101,INT((ROW()-6)/17)+1))</f>
        <v/>
      </c>
      <c r="E999" s="18">
        <f t="shared" si="75"/>
        <v>8</v>
      </c>
      <c r="F999" s="23" t="str">
        <f>IF($A999="","",INDEX('Logic &amp; Lists'!$I$4:$I$20,$E999))</f>
        <v/>
      </c>
      <c r="G999" s="18" t="str">
        <f>IF($A999="","",INDEX('Logic &amp; Lists'!$J$4:$J$20,$E999))</f>
        <v/>
      </c>
      <c r="H999" s="6" t="str">
        <f t="shared" si="76"/>
        <v/>
      </c>
      <c r="I999" s="18" t="str">
        <f t="shared" ca="1" si="77"/>
        <v/>
      </c>
      <c r="J999" s="5" t="str">
        <f t="shared" si="78"/>
        <v/>
      </c>
      <c r="K999" s="25"/>
      <c r="L999" s="5" t="str">
        <f t="shared" si="79"/>
        <v/>
      </c>
      <c r="M999" s="7"/>
      <c r="N999" s="7"/>
      <c r="O999" s="7"/>
      <c r="P999" s="20" t="str">
        <f>IF($A999="","",INDEX(Project_Tracker!$I$2:$I$101,INT((ROW()-6)/17)+1))</f>
        <v/>
      </c>
      <c r="Q999" s="20" t="str">
        <f>IF($A999="","",INDEX(Project_Tracker!$K$2:$K$101,INT((ROW()-6)/17)+1))</f>
        <v/>
      </c>
    </row>
    <row r="1000" spans="1:17" x14ac:dyDescent="0.2">
      <c r="A1000" s="20" t="str">
        <f>IF(INDEX(Project_Tracker!$AL$2:$AL$101,INT((ROW()-6)/17)+1)="","",INDEX(Project_Tracker!$AL$2:$AL$101,INT((ROW()-6)/17)+1))</f>
        <v/>
      </c>
      <c r="B1000" s="21" t="str">
        <f>IF($A1000="","",INDEX(Project_Tracker!$AM$2:$AM$101,INT((ROW()-6)/17)+1))</f>
        <v/>
      </c>
      <c r="C1000" s="20" t="str">
        <f>IF($A1000="","",INDEX(Project_Tracker!$C$2:$C$101,INT((ROW()-6)/17)+1))</f>
        <v/>
      </c>
      <c r="D1000" s="6" t="str">
        <f>IF($A1000="","",INDEX(Project_Tracker!$T$2:$T$101,INT((ROW()-6)/17)+1))</f>
        <v/>
      </c>
      <c r="E1000" s="18">
        <f t="shared" si="75"/>
        <v>9</v>
      </c>
      <c r="F1000" s="23" t="str">
        <f>IF($A1000="","",INDEX('Logic &amp; Lists'!$I$4:$I$20,$E1000))</f>
        <v/>
      </c>
      <c r="G1000" s="18" t="str">
        <f>IF($A1000="","",INDEX('Logic &amp; Lists'!$J$4:$J$20,$E1000))</f>
        <v/>
      </c>
      <c r="H1000" s="6" t="str">
        <f t="shared" si="76"/>
        <v/>
      </c>
      <c r="I1000" s="18" t="str">
        <f t="shared" ca="1" si="77"/>
        <v/>
      </c>
      <c r="J1000" s="5" t="str">
        <f t="shared" si="78"/>
        <v/>
      </c>
      <c r="K1000" s="25"/>
      <c r="L1000" s="5" t="str">
        <f t="shared" si="79"/>
        <v/>
      </c>
      <c r="M1000" s="7"/>
      <c r="N1000" s="7"/>
      <c r="O1000" s="7"/>
      <c r="P1000" s="20" t="str">
        <f>IF($A1000="","",INDEX(Project_Tracker!$I$2:$I$101,INT((ROW()-6)/17)+1))</f>
        <v/>
      </c>
      <c r="Q1000" s="20" t="str">
        <f>IF($A1000="","",INDEX(Project_Tracker!$K$2:$K$101,INT((ROW()-6)/17)+1))</f>
        <v/>
      </c>
    </row>
    <row r="1001" spans="1:17" x14ac:dyDescent="0.2">
      <c r="A1001" s="20" t="str">
        <f>IF(INDEX(Project_Tracker!$AL$2:$AL$101,INT((ROW()-6)/17)+1)="","",INDEX(Project_Tracker!$AL$2:$AL$101,INT((ROW()-6)/17)+1))</f>
        <v/>
      </c>
      <c r="B1001" s="21" t="str">
        <f>IF($A1001="","",INDEX(Project_Tracker!$AM$2:$AM$101,INT((ROW()-6)/17)+1))</f>
        <v/>
      </c>
      <c r="C1001" s="20" t="str">
        <f>IF($A1001="","",INDEX(Project_Tracker!$C$2:$C$101,INT((ROW()-6)/17)+1))</f>
        <v/>
      </c>
      <c r="D1001" s="6" t="str">
        <f>IF($A1001="","",INDEX(Project_Tracker!$T$2:$T$101,INT((ROW()-6)/17)+1))</f>
        <v/>
      </c>
      <c r="E1001" s="18">
        <f t="shared" si="75"/>
        <v>10</v>
      </c>
      <c r="F1001" s="23" t="str">
        <f>IF($A1001="","",INDEX('Logic &amp; Lists'!$I$4:$I$20,$E1001))</f>
        <v/>
      </c>
      <c r="G1001" s="18" t="str">
        <f>IF($A1001="","",INDEX('Logic &amp; Lists'!$J$4:$J$20,$E1001))</f>
        <v/>
      </c>
      <c r="H1001" s="6" t="str">
        <f t="shared" si="76"/>
        <v/>
      </c>
      <c r="I1001" s="18" t="str">
        <f t="shared" ca="1" si="77"/>
        <v/>
      </c>
      <c r="J1001" s="5" t="str">
        <f t="shared" si="78"/>
        <v/>
      </c>
      <c r="K1001" s="25"/>
      <c r="L1001" s="5" t="str">
        <f t="shared" si="79"/>
        <v/>
      </c>
      <c r="M1001" s="7"/>
      <c r="N1001" s="7"/>
      <c r="O1001" s="7"/>
      <c r="P1001" s="20" t="str">
        <f>IF($A1001="","",INDEX(Project_Tracker!$I$2:$I$101,INT((ROW()-6)/17)+1))</f>
        <v/>
      </c>
      <c r="Q1001" s="20" t="str">
        <f>IF($A1001="","",INDEX(Project_Tracker!$K$2:$K$101,INT((ROW()-6)/17)+1))</f>
        <v/>
      </c>
    </row>
    <row r="1002" spans="1:17" x14ac:dyDescent="0.2">
      <c r="A1002" s="20" t="str">
        <f>IF(INDEX(Project_Tracker!$AL$2:$AL$101,INT((ROW()-6)/17)+1)="","",INDEX(Project_Tracker!$AL$2:$AL$101,INT((ROW()-6)/17)+1))</f>
        <v/>
      </c>
      <c r="B1002" s="21" t="str">
        <f>IF($A1002="","",INDEX(Project_Tracker!$AM$2:$AM$101,INT((ROW()-6)/17)+1))</f>
        <v/>
      </c>
      <c r="C1002" s="20" t="str">
        <f>IF($A1002="","",INDEX(Project_Tracker!$C$2:$C$101,INT((ROW()-6)/17)+1))</f>
        <v/>
      </c>
      <c r="D1002" s="6" t="str">
        <f>IF($A1002="","",INDEX(Project_Tracker!$T$2:$T$101,INT((ROW()-6)/17)+1))</f>
        <v/>
      </c>
      <c r="E1002" s="18">
        <f t="shared" si="75"/>
        <v>11</v>
      </c>
      <c r="F1002" s="23" t="str">
        <f>IF($A1002="","",INDEX('Logic &amp; Lists'!$I$4:$I$20,$E1002))</f>
        <v/>
      </c>
      <c r="G1002" s="18" t="str">
        <f>IF($A1002="","",INDEX('Logic &amp; Lists'!$J$4:$J$20,$E1002))</f>
        <v/>
      </c>
      <c r="H1002" s="6" t="str">
        <f t="shared" si="76"/>
        <v/>
      </c>
      <c r="I1002" s="18" t="str">
        <f t="shared" ca="1" si="77"/>
        <v/>
      </c>
      <c r="J1002" s="5" t="str">
        <f t="shared" si="78"/>
        <v/>
      </c>
      <c r="K1002" s="25"/>
      <c r="L1002" s="5" t="str">
        <f t="shared" si="79"/>
        <v/>
      </c>
      <c r="M1002" s="7"/>
      <c r="N1002" s="7"/>
      <c r="O1002" s="7"/>
      <c r="P1002" s="20" t="str">
        <f>IF($A1002="","",INDEX(Project_Tracker!$I$2:$I$101,INT((ROW()-6)/17)+1))</f>
        <v/>
      </c>
      <c r="Q1002" s="20" t="str">
        <f>IF($A1002="","",INDEX(Project_Tracker!$K$2:$K$101,INT((ROW()-6)/17)+1))</f>
        <v/>
      </c>
    </row>
    <row r="1003" spans="1:17" x14ac:dyDescent="0.2">
      <c r="A1003" s="20" t="str">
        <f>IF(INDEX(Project_Tracker!$AL$2:$AL$101,INT((ROW()-6)/17)+1)="","",INDEX(Project_Tracker!$AL$2:$AL$101,INT((ROW()-6)/17)+1))</f>
        <v/>
      </c>
      <c r="B1003" s="21" t="str">
        <f>IF($A1003="","",INDEX(Project_Tracker!$AM$2:$AM$101,INT((ROW()-6)/17)+1))</f>
        <v/>
      </c>
      <c r="C1003" s="20" t="str">
        <f>IF($A1003="","",INDEX(Project_Tracker!$C$2:$C$101,INT((ROW()-6)/17)+1))</f>
        <v/>
      </c>
      <c r="D1003" s="6" t="str">
        <f>IF($A1003="","",INDEX(Project_Tracker!$T$2:$T$101,INT((ROW()-6)/17)+1))</f>
        <v/>
      </c>
      <c r="E1003" s="18">
        <f t="shared" si="75"/>
        <v>12</v>
      </c>
      <c r="F1003" s="23" t="str">
        <f>IF($A1003="","",INDEX('Logic &amp; Lists'!$I$4:$I$20,$E1003))</f>
        <v/>
      </c>
      <c r="G1003" s="18" t="str">
        <f>IF($A1003="","",INDEX('Logic &amp; Lists'!$J$4:$J$20,$E1003))</f>
        <v/>
      </c>
      <c r="H1003" s="6" t="str">
        <f t="shared" si="76"/>
        <v/>
      </c>
      <c r="I1003" s="18" t="str">
        <f t="shared" ca="1" si="77"/>
        <v/>
      </c>
      <c r="J1003" s="5" t="str">
        <f t="shared" si="78"/>
        <v/>
      </c>
      <c r="K1003" s="25"/>
      <c r="L1003" s="5" t="str">
        <f t="shared" si="79"/>
        <v/>
      </c>
      <c r="M1003" s="7"/>
      <c r="N1003" s="7"/>
      <c r="O1003" s="7"/>
      <c r="P1003" s="20" t="str">
        <f>IF($A1003="","",INDEX(Project_Tracker!$I$2:$I$101,INT((ROW()-6)/17)+1))</f>
        <v/>
      </c>
      <c r="Q1003" s="20" t="str">
        <f>IF($A1003="","",INDEX(Project_Tracker!$K$2:$K$101,INT((ROW()-6)/17)+1))</f>
        <v/>
      </c>
    </row>
    <row r="1004" spans="1:17" x14ac:dyDescent="0.2">
      <c r="A1004" s="20" t="str">
        <f>IF(INDEX(Project_Tracker!$AL$2:$AL$101,INT((ROW()-6)/17)+1)="","",INDEX(Project_Tracker!$AL$2:$AL$101,INT((ROW()-6)/17)+1))</f>
        <v/>
      </c>
      <c r="B1004" s="21" t="str">
        <f>IF($A1004="","",INDEX(Project_Tracker!$AM$2:$AM$101,INT((ROW()-6)/17)+1))</f>
        <v/>
      </c>
      <c r="C1004" s="20" t="str">
        <f>IF($A1004="","",INDEX(Project_Tracker!$C$2:$C$101,INT((ROW()-6)/17)+1))</f>
        <v/>
      </c>
      <c r="D1004" s="6" t="str">
        <f>IF($A1004="","",INDEX(Project_Tracker!$T$2:$T$101,INT((ROW()-6)/17)+1))</f>
        <v/>
      </c>
      <c r="E1004" s="18">
        <f t="shared" si="75"/>
        <v>13</v>
      </c>
      <c r="F1004" s="23" t="str">
        <f>IF($A1004="","",INDEX('Logic &amp; Lists'!$I$4:$I$20,$E1004))</f>
        <v/>
      </c>
      <c r="G1004" s="18" t="str">
        <f>IF($A1004="","",INDEX('Logic &amp; Lists'!$J$4:$J$20,$E1004))</f>
        <v/>
      </c>
      <c r="H1004" s="6" t="str">
        <f t="shared" si="76"/>
        <v/>
      </c>
      <c r="I1004" s="18" t="str">
        <f t="shared" ca="1" si="77"/>
        <v/>
      </c>
      <c r="J1004" s="5" t="str">
        <f t="shared" si="78"/>
        <v/>
      </c>
      <c r="K1004" s="25"/>
      <c r="L1004" s="5" t="str">
        <f t="shared" si="79"/>
        <v/>
      </c>
      <c r="M1004" s="7"/>
      <c r="N1004" s="7"/>
      <c r="O1004" s="7"/>
      <c r="P1004" s="20" t="str">
        <f>IF($A1004="","",INDEX(Project_Tracker!$I$2:$I$101,INT((ROW()-6)/17)+1))</f>
        <v/>
      </c>
      <c r="Q1004" s="20" t="str">
        <f>IF($A1004="","",INDEX(Project_Tracker!$K$2:$K$101,INT((ROW()-6)/17)+1))</f>
        <v/>
      </c>
    </row>
    <row r="1005" spans="1:17" x14ac:dyDescent="0.2">
      <c r="A1005" s="20" t="str">
        <f>IF(INDEX(Project_Tracker!$AL$2:$AL$101,INT((ROW()-6)/17)+1)="","",INDEX(Project_Tracker!$AL$2:$AL$101,INT((ROW()-6)/17)+1))</f>
        <v/>
      </c>
      <c r="B1005" s="21" t="str">
        <f>IF($A1005="","",INDEX(Project_Tracker!$AM$2:$AM$101,INT((ROW()-6)/17)+1))</f>
        <v/>
      </c>
      <c r="C1005" s="20" t="str">
        <f>IF($A1005="","",INDEX(Project_Tracker!$C$2:$C$101,INT((ROW()-6)/17)+1))</f>
        <v/>
      </c>
      <c r="D1005" s="6" t="str">
        <f>IF($A1005="","",INDEX(Project_Tracker!$T$2:$T$101,INT((ROW()-6)/17)+1))</f>
        <v/>
      </c>
      <c r="E1005" s="18">
        <f t="shared" si="75"/>
        <v>14</v>
      </c>
      <c r="F1005" s="23" t="str">
        <f>IF($A1005="","",INDEX('Logic &amp; Lists'!$I$4:$I$20,$E1005))</f>
        <v/>
      </c>
      <c r="G1005" s="18" t="str">
        <f>IF($A1005="","",INDEX('Logic &amp; Lists'!$J$4:$J$20,$E1005))</f>
        <v/>
      </c>
      <c r="H1005" s="6" t="str">
        <f t="shared" si="76"/>
        <v/>
      </c>
      <c r="I1005" s="18" t="str">
        <f t="shared" ca="1" si="77"/>
        <v/>
      </c>
      <c r="J1005" s="5" t="str">
        <f t="shared" si="78"/>
        <v/>
      </c>
      <c r="K1005" s="25"/>
      <c r="L1005" s="5" t="str">
        <f t="shared" si="79"/>
        <v/>
      </c>
      <c r="M1005" s="7"/>
      <c r="N1005" s="7"/>
      <c r="O1005" s="7"/>
      <c r="P1005" s="20" t="str">
        <f>IF($A1005="","",INDEX(Project_Tracker!$I$2:$I$101,INT((ROW()-6)/17)+1))</f>
        <v/>
      </c>
      <c r="Q1005" s="20" t="str">
        <f>IF($A1005="","",INDEX(Project_Tracker!$K$2:$K$101,INT((ROW()-6)/17)+1))</f>
        <v/>
      </c>
    </row>
    <row r="1006" spans="1:17" x14ac:dyDescent="0.2">
      <c r="A1006" s="20" t="str">
        <f>IF(INDEX(Project_Tracker!$AL$2:$AL$101,INT((ROW()-6)/17)+1)="","",INDEX(Project_Tracker!$AL$2:$AL$101,INT((ROW()-6)/17)+1))</f>
        <v/>
      </c>
      <c r="B1006" s="21" t="str">
        <f>IF($A1006="","",INDEX(Project_Tracker!$AM$2:$AM$101,INT((ROW()-6)/17)+1))</f>
        <v/>
      </c>
      <c r="C1006" s="20" t="str">
        <f>IF($A1006="","",INDEX(Project_Tracker!$C$2:$C$101,INT((ROW()-6)/17)+1))</f>
        <v/>
      </c>
      <c r="D1006" s="6" t="str">
        <f>IF($A1006="","",INDEX(Project_Tracker!$T$2:$T$101,INT((ROW()-6)/17)+1))</f>
        <v/>
      </c>
      <c r="E1006" s="18">
        <f t="shared" si="75"/>
        <v>15</v>
      </c>
      <c r="F1006" s="23" t="str">
        <f>IF($A1006="","",INDEX('Logic &amp; Lists'!$I$4:$I$20,$E1006))</f>
        <v/>
      </c>
      <c r="G1006" s="18" t="str">
        <f>IF($A1006="","",INDEX('Logic &amp; Lists'!$J$4:$J$20,$E1006))</f>
        <v/>
      </c>
      <c r="H1006" s="6" t="str">
        <f t="shared" si="76"/>
        <v/>
      </c>
      <c r="I1006" s="18" t="str">
        <f t="shared" ca="1" si="77"/>
        <v/>
      </c>
      <c r="J1006" s="5" t="str">
        <f t="shared" si="78"/>
        <v/>
      </c>
      <c r="K1006" s="25"/>
      <c r="L1006" s="5" t="str">
        <f t="shared" si="79"/>
        <v/>
      </c>
      <c r="M1006" s="7"/>
      <c r="N1006" s="7"/>
      <c r="O1006" s="7"/>
      <c r="P1006" s="20" t="str">
        <f>IF($A1006="","",INDEX(Project_Tracker!$I$2:$I$101,INT((ROW()-6)/17)+1))</f>
        <v/>
      </c>
      <c r="Q1006" s="20" t="str">
        <f>IF($A1006="","",INDEX(Project_Tracker!$K$2:$K$101,INT((ROW()-6)/17)+1))</f>
        <v/>
      </c>
    </row>
    <row r="1007" spans="1:17" x14ac:dyDescent="0.2">
      <c r="A1007" s="20" t="str">
        <f>IF(INDEX(Project_Tracker!$AL$2:$AL$101,INT((ROW()-6)/17)+1)="","",INDEX(Project_Tracker!$AL$2:$AL$101,INT((ROW()-6)/17)+1))</f>
        <v/>
      </c>
      <c r="B1007" s="21" t="str">
        <f>IF($A1007="","",INDEX(Project_Tracker!$AM$2:$AM$101,INT((ROW()-6)/17)+1))</f>
        <v/>
      </c>
      <c r="C1007" s="20" t="str">
        <f>IF($A1007="","",INDEX(Project_Tracker!$C$2:$C$101,INT((ROW()-6)/17)+1))</f>
        <v/>
      </c>
      <c r="D1007" s="6" t="str">
        <f>IF($A1007="","",INDEX(Project_Tracker!$T$2:$T$101,INT((ROW()-6)/17)+1))</f>
        <v/>
      </c>
      <c r="E1007" s="18">
        <f t="shared" si="75"/>
        <v>16</v>
      </c>
      <c r="F1007" s="23" t="str">
        <f>IF($A1007="","",INDEX('Logic &amp; Lists'!$I$4:$I$20,$E1007))</f>
        <v/>
      </c>
      <c r="G1007" s="18" t="str">
        <f>IF($A1007="","",INDEX('Logic &amp; Lists'!$J$4:$J$20,$E1007))</f>
        <v/>
      </c>
      <c r="H1007" s="6" t="str">
        <f t="shared" si="76"/>
        <v/>
      </c>
      <c r="I1007" s="18" t="str">
        <f t="shared" ca="1" si="77"/>
        <v/>
      </c>
      <c r="J1007" s="5" t="str">
        <f t="shared" si="78"/>
        <v/>
      </c>
      <c r="K1007" s="25"/>
      <c r="L1007" s="5" t="str">
        <f t="shared" si="79"/>
        <v/>
      </c>
      <c r="M1007" s="7"/>
      <c r="N1007" s="7"/>
      <c r="O1007" s="7"/>
      <c r="P1007" s="20" t="str">
        <f>IF($A1007="","",INDEX(Project_Tracker!$I$2:$I$101,INT((ROW()-6)/17)+1))</f>
        <v/>
      </c>
      <c r="Q1007" s="20" t="str">
        <f>IF($A1007="","",INDEX(Project_Tracker!$K$2:$K$101,INT((ROW()-6)/17)+1))</f>
        <v/>
      </c>
    </row>
    <row r="1008" spans="1:17" x14ac:dyDescent="0.2">
      <c r="A1008" s="20" t="str">
        <f>IF(INDEX(Project_Tracker!$AL$2:$AL$101,INT((ROW()-6)/17)+1)="","",INDEX(Project_Tracker!$AL$2:$AL$101,INT((ROW()-6)/17)+1))</f>
        <v/>
      </c>
      <c r="B1008" s="21" t="str">
        <f>IF($A1008="","",INDEX(Project_Tracker!$AM$2:$AM$101,INT((ROW()-6)/17)+1))</f>
        <v/>
      </c>
      <c r="C1008" s="20" t="str">
        <f>IF($A1008="","",INDEX(Project_Tracker!$C$2:$C$101,INT((ROW()-6)/17)+1))</f>
        <v/>
      </c>
      <c r="D1008" s="6" t="str">
        <f>IF($A1008="","",INDEX(Project_Tracker!$T$2:$T$101,INT((ROW()-6)/17)+1))</f>
        <v/>
      </c>
      <c r="E1008" s="18">
        <f t="shared" si="75"/>
        <v>17</v>
      </c>
      <c r="F1008" s="23" t="str">
        <f>IF($A1008="","",INDEX('Logic &amp; Lists'!$I$4:$I$20,$E1008))</f>
        <v/>
      </c>
      <c r="G1008" s="18" t="str">
        <f>IF($A1008="","",INDEX('Logic &amp; Lists'!$J$4:$J$20,$E1008))</f>
        <v/>
      </c>
      <c r="H1008" s="6" t="str">
        <f t="shared" si="76"/>
        <v/>
      </c>
      <c r="I1008" s="18" t="str">
        <f t="shared" ca="1" si="77"/>
        <v/>
      </c>
      <c r="J1008" s="5" t="str">
        <f t="shared" si="78"/>
        <v/>
      </c>
      <c r="K1008" s="25"/>
      <c r="L1008" s="5" t="str">
        <f t="shared" si="79"/>
        <v/>
      </c>
      <c r="M1008" s="7"/>
      <c r="N1008" s="7"/>
      <c r="O1008" s="7"/>
      <c r="P1008" s="20" t="str">
        <f>IF($A1008="","",INDEX(Project_Tracker!$I$2:$I$101,INT((ROW()-6)/17)+1))</f>
        <v/>
      </c>
      <c r="Q1008" s="20" t="str">
        <f>IF($A1008="","",INDEX(Project_Tracker!$K$2:$K$101,INT((ROW()-6)/17)+1))</f>
        <v/>
      </c>
    </row>
    <row r="1009" spans="1:17" x14ac:dyDescent="0.2">
      <c r="A1009" s="20" t="str">
        <f>IF(INDEX(Project_Tracker!$AL$2:$AL$101,INT((ROW()-6)/17)+1)="","",INDEX(Project_Tracker!$AL$2:$AL$101,INT((ROW()-6)/17)+1))</f>
        <v/>
      </c>
      <c r="B1009" s="21" t="str">
        <f>IF($A1009="","",INDEX(Project_Tracker!$AM$2:$AM$101,INT((ROW()-6)/17)+1))</f>
        <v/>
      </c>
      <c r="C1009" s="20" t="str">
        <f>IF($A1009="","",INDEX(Project_Tracker!$C$2:$C$101,INT((ROW()-6)/17)+1))</f>
        <v/>
      </c>
      <c r="D1009" s="6" t="str">
        <f>IF($A1009="","",INDEX(Project_Tracker!$T$2:$T$101,INT((ROW()-6)/17)+1))</f>
        <v/>
      </c>
      <c r="E1009" s="18">
        <f t="shared" si="75"/>
        <v>1</v>
      </c>
      <c r="F1009" s="23" t="str">
        <f>IF($A1009="","",INDEX('Logic &amp; Lists'!$I$4:$I$20,$E1009))</f>
        <v/>
      </c>
      <c r="G1009" s="18" t="str">
        <f>IF($A1009="","",INDEX('Logic &amp; Lists'!$J$4:$J$20,$E1009))</f>
        <v/>
      </c>
      <c r="H1009" s="6" t="str">
        <f t="shared" si="76"/>
        <v/>
      </c>
      <c r="I1009" s="18" t="str">
        <f t="shared" ca="1" si="77"/>
        <v/>
      </c>
      <c r="J1009" s="5" t="str">
        <f t="shared" si="78"/>
        <v/>
      </c>
      <c r="K1009" s="25"/>
      <c r="L1009" s="5" t="str">
        <f t="shared" si="79"/>
        <v/>
      </c>
      <c r="M1009" s="7"/>
      <c r="N1009" s="7"/>
      <c r="O1009" s="7"/>
      <c r="P1009" s="20" t="str">
        <f>IF($A1009="","",INDEX(Project_Tracker!$I$2:$I$101,INT((ROW()-6)/17)+1))</f>
        <v/>
      </c>
      <c r="Q1009" s="20" t="str">
        <f>IF($A1009="","",INDEX(Project_Tracker!$K$2:$K$101,INT((ROW()-6)/17)+1))</f>
        <v/>
      </c>
    </row>
    <row r="1010" spans="1:17" x14ac:dyDescent="0.2">
      <c r="A1010" s="20" t="str">
        <f>IF(INDEX(Project_Tracker!$AL$2:$AL$101,INT((ROW()-6)/17)+1)="","",INDEX(Project_Tracker!$AL$2:$AL$101,INT((ROW()-6)/17)+1))</f>
        <v/>
      </c>
      <c r="B1010" s="21" t="str">
        <f>IF($A1010="","",INDEX(Project_Tracker!$AM$2:$AM$101,INT((ROW()-6)/17)+1))</f>
        <v/>
      </c>
      <c r="C1010" s="20" t="str">
        <f>IF($A1010="","",INDEX(Project_Tracker!$C$2:$C$101,INT((ROW()-6)/17)+1))</f>
        <v/>
      </c>
      <c r="D1010" s="6" t="str">
        <f>IF($A1010="","",INDEX(Project_Tracker!$T$2:$T$101,INT((ROW()-6)/17)+1))</f>
        <v/>
      </c>
      <c r="E1010" s="18">
        <f t="shared" si="75"/>
        <v>2</v>
      </c>
      <c r="F1010" s="23" t="str">
        <f>IF($A1010="","",INDEX('Logic &amp; Lists'!$I$4:$I$20,$E1010))</f>
        <v/>
      </c>
      <c r="G1010" s="18" t="str">
        <f>IF($A1010="","",INDEX('Logic &amp; Lists'!$J$4:$J$20,$E1010))</f>
        <v/>
      </c>
      <c r="H1010" s="6" t="str">
        <f t="shared" si="76"/>
        <v/>
      </c>
      <c r="I1010" s="18" t="str">
        <f t="shared" ca="1" si="77"/>
        <v/>
      </c>
      <c r="J1010" s="5" t="str">
        <f t="shared" si="78"/>
        <v/>
      </c>
      <c r="K1010" s="25"/>
      <c r="L1010" s="5" t="str">
        <f t="shared" si="79"/>
        <v/>
      </c>
      <c r="M1010" s="7"/>
      <c r="N1010" s="7"/>
      <c r="O1010" s="7"/>
      <c r="P1010" s="20" t="str">
        <f>IF($A1010="","",INDEX(Project_Tracker!$I$2:$I$101,INT((ROW()-6)/17)+1))</f>
        <v/>
      </c>
      <c r="Q1010" s="20" t="str">
        <f>IF($A1010="","",INDEX(Project_Tracker!$K$2:$K$101,INT((ROW()-6)/17)+1))</f>
        <v/>
      </c>
    </row>
    <row r="1011" spans="1:17" x14ac:dyDescent="0.2">
      <c r="A1011" s="20" t="str">
        <f>IF(INDEX(Project_Tracker!$AL$2:$AL$101,INT((ROW()-6)/17)+1)="","",INDEX(Project_Tracker!$AL$2:$AL$101,INT((ROW()-6)/17)+1))</f>
        <v/>
      </c>
      <c r="B1011" s="21" t="str">
        <f>IF($A1011="","",INDEX(Project_Tracker!$AM$2:$AM$101,INT((ROW()-6)/17)+1))</f>
        <v/>
      </c>
      <c r="C1011" s="20" t="str">
        <f>IF($A1011="","",INDEX(Project_Tracker!$C$2:$C$101,INT((ROW()-6)/17)+1))</f>
        <v/>
      </c>
      <c r="D1011" s="6" t="str">
        <f>IF($A1011="","",INDEX(Project_Tracker!$T$2:$T$101,INT((ROW()-6)/17)+1))</f>
        <v/>
      </c>
      <c r="E1011" s="18">
        <f t="shared" si="75"/>
        <v>3</v>
      </c>
      <c r="F1011" s="23" t="str">
        <f>IF($A1011="","",INDEX('Logic &amp; Lists'!$I$4:$I$20,$E1011))</f>
        <v/>
      </c>
      <c r="G1011" s="18" t="str">
        <f>IF($A1011="","",INDEX('Logic &amp; Lists'!$J$4:$J$20,$E1011))</f>
        <v/>
      </c>
      <c r="H1011" s="6" t="str">
        <f t="shared" si="76"/>
        <v/>
      </c>
      <c r="I1011" s="18" t="str">
        <f t="shared" ca="1" si="77"/>
        <v/>
      </c>
      <c r="J1011" s="5" t="str">
        <f t="shared" si="78"/>
        <v/>
      </c>
      <c r="K1011" s="25"/>
      <c r="L1011" s="5" t="str">
        <f t="shared" si="79"/>
        <v/>
      </c>
      <c r="M1011" s="7"/>
      <c r="N1011" s="7"/>
      <c r="O1011" s="7"/>
      <c r="P1011" s="20" t="str">
        <f>IF($A1011="","",INDEX(Project_Tracker!$I$2:$I$101,INT((ROW()-6)/17)+1))</f>
        <v/>
      </c>
      <c r="Q1011" s="20" t="str">
        <f>IF($A1011="","",INDEX(Project_Tracker!$K$2:$K$101,INT((ROW()-6)/17)+1))</f>
        <v/>
      </c>
    </row>
    <row r="1012" spans="1:17" x14ac:dyDescent="0.2">
      <c r="A1012" s="20" t="str">
        <f>IF(INDEX(Project_Tracker!$AL$2:$AL$101,INT((ROW()-6)/17)+1)="","",INDEX(Project_Tracker!$AL$2:$AL$101,INT((ROW()-6)/17)+1))</f>
        <v/>
      </c>
      <c r="B1012" s="21" t="str">
        <f>IF($A1012="","",INDEX(Project_Tracker!$AM$2:$AM$101,INT((ROW()-6)/17)+1))</f>
        <v/>
      </c>
      <c r="C1012" s="20" t="str">
        <f>IF($A1012="","",INDEX(Project_Tracker!$C$2:$C$101,INT((ROW()-6)/17)+1))</f>
        <v/>
      </c>
      <c r="D1012" s="6" t="str">
        <f>IF($A1012="","",INDEX(Project_Tracker!$T$2:$T$101,INT((ROW()-6)/17)+1))</f>
        <v/>
      </c>
      <c r="E1012" s="18">
        <f t="shared" si="75"/>
        <v>4</v>
      </c>
      <c r="F1012" s="23" t="str">
        <f>IF($A1012="","",INDEX('Logic &amp; Lists'!$I$4:$I$20,$E1012))</f>
        <v/>
      </c>
      <c r="G1012" s="18" t="str">
        <f>IF($A1012="","",INDEX('Logic &amp; Lists'!$J$4:$J$20,$E1012))</f>
        <v/>
      </c>
      <c r="H1012" s="6" t="str">
        <f t="shared" si="76"/>
        <v/>
      </c>
      <c r="I1012" s="18" t="str">
        <f t="shared" ca="1" si="77"/>
        <v/>
      </c>
      <c r="J1012" s="5" t="str">
        <f t="shared" si="78"/>
        <v/>
      </c>
      <c r="K1012" s="25"/>
      <c r="L1012" s="5" t="str">
        <f t="shared" si="79"/>
        <v/>
      </c>
      <c r="M1012" s="7"/>
      <c r="N1012" s="7"/>
      <c r="O1012" s="7"/>
      <c r="P1012" s="20" t="str">
        <f>IF($A1012="","",INDEX(Project_Tracker!$I$2:$I$101,INT((ROW()-6)/17)+1))</f>
        <v/>
      </c>
      <c r="Q1012" s="20" t="str">
        <f>IF($A1012="","",INDEX(Project_Tracker!$K$2:$K$101,INT((ROW()-6)/17)+1))</f>
        <v/>
      </c>
    </row>
    <row r="1013" spans="1:17" x14ac:dyDescent="0.2">
      <c r="A1013" s="20" t="str">
        <f>IF(INDEX(Project_Tracker!$AL$2:$AL$101,INT((ROW()-6)/17)+1)="","",INDEX(Project_Tracker!$AL$2:$AL$101,INT((ROW()-6)/17)+1))</f>
        <v/>
      </c>
      <c r="B1013" s="21" t="str">
        <f>IF($A1013="","",INDEX(Project_Tracker!$AM$2:$AM$101,INT((ROW()-6)/17)+1))</f>
        <v/>
      </c>
      <c r="C1013" s="20" t="str">
        <f>IF($A1013="","",INDEX(Project_Tracker!$C$2:$C$101,INT((ROW()-6)/17)+1))</f>
        <v/>
      </c>
      <c r="D1013" s="6" t="str">
        <f>IF($A1013="","",INDEX(Project_Tracker!$T$2:$T$101,INT((ROW()-6)/17)+1))</f>
        <v/>
      </c>
      <c r="E1013" s="18">
        <f t="shared" si="75"/>
        <v>5</v>
      </c>
      <c r="F1013" s="23" t="str">
        <f>IF($A1013="","",INDEX('Logic &amp; Lists'!$I$4:$I$20,$E1013))</f>
        <v/>
      </c>
      <c r="G1013" s="18" t="str">
        <f>IF($A1013="","",INDEX('Logic &amp; Lists'!$J$4:$J$20,$E1013))</f>
        <v/>
      </c>
      <c r="H1013" s="6" t="str">
        <f t="shared" si="76"/>
        <v/>
      </c>
      <c r="I1013" s="18" t="str">
        <f t="shared" ca="1" si="77"/>
        <v/>
      </c>
      <c r="J1013" s="5" t="str">
        <f t="shared" si="78"/>
        <v/>
      </c>
      <c r="K1013" s="25"/>
      <c r="L1013" s="5" t="str">
        <f t="shared" si="79"/>
        <v/>
      </c>
      <c r="M1013" s="7"/>
      <c r="N1013" s="7"/>
      <c r="O1013" s="7"/>
      <c r="P1013" s="20" t="str">
        <f>IF($A1013="","",INDEX(Project_Tracker!$I$2:$I$101,INT((ROW()-6)/17)+1))</f>
        <v/>
      </c>
      <c r="Q1013" s="20" t="str">
        <f>IF($A1013="","",INDEX(Project_Tracker!$K$2:$K$101,INT((ROW()-6)/17)+1))</f>
        <v/>
      </c>
    </row>
    <row r="1014" spans="1:17" x14ac:dyDescent="0.2">
      <c r="A1014" s="20" t="str">
        <f>IF(INDEX(Project_Tracker!$AL$2:$AL$101,INT((ROW()-6)/17)+1)="","",INDEX(Project_Tracker!$AL$2:$AL$101,INT((ROW()-6)/17)+1))</f>
        <v/>
      </c>
      <c r="B1014" s="21" t="str">
        <f>IF($A1014="","",INDEX(Project_Tracker!$AM$2:$AM$101,INT((ROW()-6)/17)+1))</f>
        <v/>
      </c>
      <c r="C1014" s="20" t="str">
        <f>IF($A1014="","",INDEX(Project_Tracker!$C$2:$C$101,INT((ROW()-6)/17)+1))</f>
        <v/>
      </c>
      <c r="D1014" s="6" t="str">
        <f>IF($A1014="","",INDEX(Project_Tracker!$T$2:$T$101,INT((ROW()-6)/17)+1))</f>
        <v/>
      </c>
      <c r="E1014" s="18">
        <f t="shared" si="75"/>
        <v>6</v>
      </c>
      <c r="F1014" s="23" t="str">
        <f>IF($A1014="","",INDEX('Logic &amp; Lists'!$I$4:$I$20,$E1014))</f>
        <v/>
      </c>
      <c r="G1014" s="18" t="str">
        <f>IF($A1014="","",INDEX('Logic &amp; Lists'!$J$4:$J$20,$E1014))</f>
        <v/>
      </c>
      <c r="H1014" s="6" t="str">
        <f t="shared" si="76"/>
        <v/>
      </c>
      <c r="I1014" s="18" t="str">
        <f t="shared" ca="1" si="77"/>
        <v/>
      </c>
      <c r="J1014" s="5" t="str">
        <f t="shared" si="78"/>
        <v/>
      </c>
      <c r="K1014" s="25"/>
      <c r="L1014" s="5" t="str">
        <f t="shared" si="79"/>
        <v/>
      </c>
      <c r="M1014" s="7"/>
      <c r="N1014" s="7"/>
      <c r="O1014" s="7"/>
      <c r="P1014" s="20" t="str">
        <f>IF($A1014="","",INDEX(Project_Tracker!$I$2:$I$101,INT((ROW()-6)/17)+1))</f>
        <v/>
      </c>
      <c r="Q1014" s="20" t="str">
        <f>IF($A1014="","",INDEX(Project_Tracker!$K$2:$K$101,INT((ROW()-6)/17)+1))</f>
        <v/>
      </c>
    </row>
    <row r="1015" spans="1:17" x14ac:dyDescent="0.2">
      <c r="A1015" s="20" t="str">
        <f>IF(INDEX(Project_Tracker!$AL$2:$AL$101,INT((ROW()-6)/17)+1)="","",INDEX(Project_Tracker!$AL$2:$AL$101,INT((ROW()-6)/17)+1))</f>
        <v/>
      </c>
      <c r="B1015" s="21" t="str">
        <f>IF($A1015="","",INDEX(Project_Tracker!$AM$2:$AM$101,INT((ROW()-6)/17)+1))</f>
        <v/>
      </c>
      <c r="C1015" s="20" t="str">
        <f>IF($A1015="","",INDEX(Project_Tracker!$C$2:$C$101,INT((ROW()-6)/17)+1))</f>
        <v/>
      </c>
      <c r="D1015" s="6" t="str">
        <f>IF($A1015="","",INDEX(Project_Tracker!$T$2:$T$101,INT((ROW()-6)/17)+1))</f>
        <v/>
      </c>
      <c r="E1015" s="18">
        <f t="shared" si="75"/>
        <v>7</v>
      </c>
      <c r="F1015" s="23" t="str">
        <f>IF($A1015="","",INDEX('Logic &amp; Lists'!$I$4:$I$20,$E1015))</f>
        <v/>
      </c>
      <c r="G1015" s="18" t="str">
        <f>IF($A1015="","",INDEX('Logic &amp; Lists'!$J$4:$J$20,$E1015))</f>
        <v/>
      </c>
      <c r="H1015" s="6" t="str">
        <f t="shared" si="76"/>
        <v/>
      </c>
      <c r="I1015" s="18" t="str">
        <f t="shared" ca="1" si="77"/>
        <v/>
      </c>
      <c r="J1015" s="5" t="str">
        <f t="shared" si="78"/>
        <v/>
      </c>
      <c r="K1015" s="25"/>
      <c r="L1015" s="5" t="str">
        <f t="shared" si="79"/>
        <v/>
      </c>
      <c r="M1015" s="7"/>
      <c r="N1015" s="7"/>
      <c r="O1015" s="7"/>
      <c r="P1015" s="20" t="str">
        <f>IF($A1015="","",INDEX(Project_Tracker!$I$2:$I$101,INT((ROW()-6)/17)+1))</f>
        <v/>
      </c>
      <c r="Q1015" s="20" t="str">
        <f>IF($A1015="","",INDEX(Project_Tracker!$K$2:$K$101,INT((ROW()-6)/17)+1))</f>
        <v/>
      </c>
    </row>
    <row r="1016" spans="1:17" x14ac:dyDescent="0.2">
      <c r="A1016" s="20" t="str">
        <f>IF(INDEX(Project_Tracker!$AL$2:$AL$101,INT((ROW()-6)/17)+1)="","",INDEX(Project_Tracker!$AL$2:$AL$101,INT((ROW()-6)/17)+1))</f>
        <v/>
      </c>
      <c r="B1016" s="21" t="str">
        <f>IF($A1016="","",INDEX(Project_Tracker!$AM$2:$AM$101,INT((ROW()-6)/17)+1))</f>
        <v/>
      </c>
      <c r="C1016" s="20" t="str">
        <f>IF($A1016="","",INDEX(Project_Tracker!$C$2:$C$101,INT((ROW()-6)/17)+1))</f>
        <v/>
      </c>
      <c r="D1016" s="6" t="str">
        <f>IF($A1016="","",INDEX(Project_Tracker!$T$2:$T$101,INT((ROW()-6)/17)+1))</f>
        <v/>
      </c>
      <c r="E1016" s="18">
        <f t="shared" si="75"/>
        <v>8</v>
      </c>
      <c r="F1016" s="23" t="str">
        <f>IF($A1016="","",INDEX('Logic &amp; Lists'!$I$4:$I$20,$E1016))</f>
        <v/>
      </c>
      <c r="G1016" s="18" t="str">
        <f>IF($A1016="","",INDEX('Logic &amp; Lists'!$J$4:$J$20,$E1016))</f>
        <v/>
      </c>
      <c r="H1016" s="6" t="str">
        <f t="shared" si="76"/>
        <v/>
      </c>
      <c r="I1016" s="18" t="str">
        <f t="shared" ca="1" si="77"/>
        <v/>
      </c>
      <c r="J1016" s="5" t="str">
        <f t="shared" si="78"/>
        <v/>
      </c>
      <c r="K1016" s="25"/>
      <c r="L1016" s="5" t="str">
        <f t="shared" si="79"/>
        <v/>
      </c>
      <c r="M1016" s="7"/>
      <c r="N1016" s="7"/>
      <c r="O1016" s="7"/>
      <c r="P1016" s="20" t="str">
        <f>IF($A1016="","",INDEX(Project_Tracker!$I$2:$I$101,INT((ROW()-6)/17)+1))</f>
        <v/>
      </c>
      <c r="Q1016" s="20" t="str">
        <f>IF($A1016="","",INDEX(Project_Tracker!$K$2:$K$101,INT((ROW()-6)/17)+1))</f>
        <v/>
      </c>
    </row>
    <row r="1017" spans="1:17" x14ac:dyDescent="0.2">
      <c r="A1017" s="20" t="str">
        <f>IF(INDEX(Project_Tracker!$AL$2:$AL$101,INT((ROW()-6)/17)+1)="","",INDEX(Project_Tracker!$AL$2:$AL$101,INT((ROW()-6)/17)+1))</f>
        <v/>
      </c>
      <c r="B1017" s="21" t="str">
        <f>IF($A1017="","",INDEX(Project_Tracker!$AM$2:$AM$101,INT((ROW()-6)/17)+1))</f>
        <v/>
      </c>
      <c r="C1017" s="20" t="str">
        <f>IF($A1017="","",INDEX(Project_Tracker!$C$2:$C$101,INT((ROW()-6)/17)+1))</f>
        <v/>
      </c>
      <c r="D1017" s="6" t="str">
        <f>IF($A1017="","",INDEX(Project_Tracker!$T$2:$T$101,INT((ROW()-6)/17)+1))</f>
        <v/>
      </c>
      <c r="E1017" s="18">
        <f t="shared" si="75"/>
        <v>9</v>
      </c>
      <c r="F1017" s="23" t="str">
        <f>IF($A1017="","",INDEX('Logic &amp; Lists'!$I$4:$I$20,$E1017))</f>
        <v/>
      </c>
      <c r="G1017" s="18" t="str">
        <f>IF($A1017="","",INDEX('Logic &amp; Lists'!$J$4:$J$20,$E1017))</f>
        <v/>
      </c>
      <c r="H1017" s="6" t="str">
        <f t="shared" si="76"/>
        <v/>
      </c>
      <c r="I1017" s="18" t="str">
        <f t="shared" ca="1" si="77"/>
        <v/>
      </c>
      <c r="J1017" s="5" t="str">
        <f t="shared" si="78"/>
        <v/>
      </c>
      <c r="K1017" s="25"/>
      <c r="L1017" s="5" t="str">
        <f t="shared" si="79"/>
        <v/>
      </c>
      <c r="M1017" s="7"/>
      <c r="N1017" s="7"/>
      <c r="O1017" s="7"/>
      <c r="P1017" s="20" t="str">
        <f>IF($A1017="","",INDEX(Project_Tracker!$I$2:$I$101,INT((ROW()-6)/17)+1))</f>
        <v/>
      </c>
      <c r="Q1017" s="20" t="str">
        <f>IF($A1017="","",INDEX(Project_Tracker!$K$2:$K$101,INT((ROW()-6)/17)+1))</f>
        <v/>
      </c>
    </row>
    <row r="1018" spans="1:17" x14ac:dyDescent="0.2">
      <c r="A1018" s="20" t="str">
        <f>IF(INDEX(Project_Tracker!$AL$2:$AL$101,INT((ROW()-6)/17)+1)="","",INDEX(Project_Tracker!$AL$2:$AL$101,INT((ROW()-6)/17)+1))</f>
        <v/>
      </c>
      <c r="B1018" s="21" t="str">
        <f>IF($A1018="","",INDEX(Project_Tracker!$AM$2:$AM$101,INT((ROW()-6)/17)+1))</f>
        <v/>
      </c>
      <c r="C1018" s="20" t="str">
        <f>IF($A1018="","",INDEX(Project_Tracker!$C$2:$C$101,INT((ROW()-6)/17)+1))</f>
        <v/>
      </c>
      <c r="D1018" s="6" t="str">
        <f>IF($A1018="","",INDEX(Project_Tracker!$T$2:$T$101,INT((ROW()-6)/17)+1))</f>
        <v/>
      </c>
      <c r="E1018" s="18">
        <f t="shared" si="75"/>
        <v>10</v>
      </c>
      <c r="F1018" s="23" t="str">
        <f>IF($A1018="","",INDEX('Logic &amp; Lists'!$I$4:$I$20,$E1018))</f>
        <v/>
      </c>
      <c r="G1018" s="18" t="str">
        <f>IF($A1018="","",INDEX('Logic &amp; Lists'!$J$4:$J$20,$E1018))</f>
        <v/>
      </c>
      <c r="H1018" s="6" t="str">
        <f t="shared" si="76"/>
        <v/>
      </c>
      <c r="I1018" s="18" t="str">
        <f t="shared" ca="1" si="77"/>
        <v/>
      </c>
      <c r="J1018" s="5" t="str">
        <f t="shared" si="78"/>
        <v/>
      </c>
      <c r="K1018" s="25"/>
      <c r="L1018" s="5" t="str">
        <f t="shared" si="79"/>
        <v/>
      </c>
      <c r="M1018" s="7"/>
      <c r="N1018" s="7"/>
      <c r="O1018" s="7"/>
      <c r="P1018" s="20" t="str">
        <f>IF($A1018="","",INDEX(Project_Tracker!$I$2:$I$101,INT((ROW()-6)/17)+1))</f>
        <v/>
      </c>
      <c r="Q1018" s="20" t="str">
        <f>IF($A1018="","",INDEX(Project_Tracker!$K$2:$K$101,INT((ROW()-6)/17)+1))</f>
        <v/>
      </c>
    </row>
    <row r="1019" spans="1:17" x14ac:dyDescent="0.2">
      <c r="A1019" s="20" t="str">
        <f>IF(INDEX(Project_Tracker!$AL$2:$AL$101,INT((ROW()-6)/17)+1)="","",INDEX(Project_Tracker!$AL$2:$AL$101,INT((ROW()-6)/17)+1))</f>
        <v/>
      </c>
      <c r="B1019" s="21" t="str">
        <f>IF($A1019="","",INDEX(Project_Tracker!$AM$2:$AM$101,INT((ROW()-6)/17)+1))</f>
        <v/>
      </c>
      <c r="C1019" s="20" t="str">
        <f>IF($A1019="","",INDEX(Project_Tracker!$C$2:$C$101,INT((ROW()-6)/17)+1))</f>
        <v/>
      </c>
      <c r="D1019" s="6" t="str">
        <f>IF($A1019="","",INDEX(Project_Tracker!$T$2:$T$101,INT((ROW()-6)/17)+1))</f>
        <v/>
      </c>
      <c r="E1019" s="18">
        <f t="shared" si="75"/>
        <v>11</v>
      </c>
      <c r="F1019" s="23" t="str">
        <f>IF($A1019="","",INDEX('Logic &amp; Lists'!$I$4:$I$20,$E1019))</f>
        <v/>
      </c>
      <c r="G1019" s="18" t="str">
        <f>IF($A1019="","",INDEX('Logic &amp; Lists'!$J$4:$J$20,$E1019))</f>
        <v/>
      </c>
      <c r="H1019" s="6" t="str">
        <f t="shared" si="76"/>
        <v/>
      </c>
      <c r="I1019" s="18" t="str">
        <f t="shared" ca="1" si="77"/>
        <v/>
      </c>
      <c r="J1019" s="5" t="str">
        <f t="shared" si="78"/>
        <v/>
      </c>
      <c r="K1019" s="25"/>
      <c r="L1019" s="5" t="str">
        <f t="shared" si="79"/>
        <v/>
      </c>
      <c r="M1019" s="7"/>
      <c r="N1019" s="7"/>
      <c r="O1019" s="7"/>
      <c r="P1019" s="20" t="str">
        <f>IF($A1019="","",INDEX(Project_Tracker!$I$2:$I$101,INT((ROW()-6)/17)+1))</f>
        <v/>
      </c>
      <c r="Q1019" s="20" t="str">
        <f>IF($A1019="","",INDEX(Project_Tracker!$K$2:$K$101,INT((ROW()-6)/17)+1))</f>
        <v/>
      </c>
    </row>
    <row r="1020" spans="1:17" x14ac:dyDescent="0.2">
      <c r="A1020" s="20" t="str">
        <f>IF(INDEX(Project_Tracker!$AL$2:$AL$101,INT((ROW()-6)/17)+1)="","",INDEX(Project_Tracker!$AL$2:$AL$101,INT((ROW()-6)/17)+1))</f>
        <v/>
      </c>
      <c r="B1020" s="21" t="str">
        <f>IF($A1020="","",INDEX(Project_Tracker!$AM$2:$AM$101,INT((ROW()-6)/17)+1))</f>
        <v/>
      </c>
      <c r="C1020" s="20" t="str">
        <f>IF($A1020="","",INDEX(Project_Tracker!$C$2:$C$101,INT((ROW()-6)/17)+1))</f>
        <v/>
      </c>
      <c r="D1020" s="6" t="str">
        <f>IF($A1020="","",INDEX(Project_Tracker!$T$2:$T$101,INT((ROW()-6)/17)+1))</f>
        <v/>
      </c>
      <c r="E1020" s="18">
        <f t="shared" si="75"/>
        <v>12</v>
      </c>
      <c r="F1020" s="23" t="str">
        <f>IF($A1020="","",INDEX('Logic &amp; Lists'!$I$4:$I$20,$E1020))</f>
        <v/>
      </c>
      <c r="G1020" s="18" t="str">
        <f>IF($A1020="","",INDEX('Logic &amp; Lists'!$J$4:$J$20,$E1020))</f>
        <v/>
      </c>
      <c r="H1020" s="6" t="str">
        <f t="shared" si="76"/>
        <v/>
      </c>
      <c r="I1020" s="18" t="str">
        <f t="shared" ca="1" si="77"/>
        <v/>
      </c>
      <c r="J1020" s="5" t="str">
        <f t="shared" si="78"/>
        <v/>
      </c>
      <c r="K1020" s="25"/>
      <c r="L1020" s="5" t="str">
        <f t="shared" si="79"/>
        <v/>
      </c>
      <c r="M1020" s="7"/>
      <c r="N1020" s="7"/>
      <c r="O1020" s="7"/>
      <c r="P1020" s="20" t="str">
        <f>IF($A1020="","",INDEX(Project_Tracker!$I$2:$I$101,INT((ROW()-6)/17)+1))</f>
        <v/>
      </c>
      <c r="Q1020" s="20" t="str">
        <f>IF($A1020="","",INDEX(Project_Tracker!$K$2:$K$101,INT((ROW()-6)/17)+1))</f>
        <v/>
      </c>
    </row>
    <row r="1021" spans="1:17" x14ac:dyDescent="0.2">
      <c r="A1021" s="20" t="str">
        <f>IF(INDEX(Project_Tracker!$AL$2:$AL$101,INT((ROW()-6)/17)+1)="","",INDEX(Project_Tracker!$AL$2:$AL$101,INT((ROW()-6)/17)+1))</f>
        <v/>
      </c>
      <c r="B1021" s="21" t="str">
        <f>IF($A1021="","",INDEX(Project_Tracker!$AM$2:$AM$101,INT((ROW()-6)/17)+1))</f>
        <v/>
      </c>
      <c r="C1021" s="20" t="str">
        <f>IF($A1021="","",INDEX(Project_Tracker!$C$2:$C$101,INT((ROW()-6)/17)+1))</f>
        <v/>
      </c>
      <c r="D1021" s="6" t="str">
        <f>IF($A1021="","",INDEX(Project_Tracker!$T$2:$T$101,INT((ROW()-6)/17)+1))</f>
        <v/>
      </c>
      <c r="E1021" s="18">
        <f t="shared" si="75"/>
        <v>13</v>
      </c>
      <c r="F1021" s="23" t="str">
        <f>IF($A1021="","",INDEX('Logic &amp; Lists'!$I$4:$I$20,$E1021))</f>
        <v/>
      </c>
      <c r="G1021" s="18" t="str">
        <f>IF($A1021="","",INDEX('Logic &amp; Lists'!$J$4:$J$20,$E1021))</f>
        <v/>
      </c>
      <c r="H1021" s="6" t="str">
        <f t="shared" si="76"/>
        <v/>
      </c>
      <c r="I1021" s="18" t="str">
        <f t="shared" ca="1" si="77"/>
        <v/>
      </c>
      <c r="J1021" s="5" t="str">
        <f t="shared" si="78"/>
        <v/>
      </c>
      <c r="K1021" s="25"/>
      <c r="L1021" s="5" t="str">
        <f t="shared" si="79"/>
        <v/>
      </c>
      <c r="M1021" s="7"/>
      <c r="N1021" s="7"/>
      <c r="O1021" s="7"/>
      <c r="P1021" s="20" t="str">
        <f>IF($A1021="","",INDEX(Project_Tracker!$I$2:$I$101,INT((ROW()-6)/17)+1))</f>
        <v/>
      </c>
      <c r="Q1021" s="20" t="str">
        <f>IF($A1021="","",INDEX(Project_Tracker!$K$2:$K$101,INT((ROW()-6)/17)+1))</f>
        <v/>
      </c>
    </row>
    <row r="1022" spans="1:17" x14ac:dyDescent="0.2">
      <c r="A1022" s="20" t="str">
        <f>IF(INDEX(Project_Tracker!$AL$2:$AL$101,INT((ROW()-6)/17)+1)="","",INDEX(Project_Tracker!$AL$2:$AL$101,INT((ROW()-6)/17)+1))</f>
        <v/>
      </c>
      <c r="B1022" s="21" t="str">
        <f>IF($A1022="","",INDEX(Project_Tracker!$AM$2:$AM$101,INT((ROW()-6)/17)+1))</f>
        <v/>
      </c>
      <c r="C1022" s="20" t="str">
        <f>IF($A1022="","",INDEX(Project_Tracker!$C$2:$C$101,INT((ROW()-6)/17)+1))</f>
        <v/>
      </c>
      <c r="D1022" s="6" t="str">
        <f>IF($A1022="","",INDEX(Project_Tracker!$T$2:$T$101,INT((ROW()-6)/17)+1))</f>
        <v/>
      </c>
      <c r="E1022" s="18">
        <f t="shared" si="75"/>
        <v>14</v>
      </c>
      <c r="F1022" s="23" t="str">
        <f>IF($A1022="","",INDEX('Logic &amp; Lists'!$I$4:$I$20,$E1022))</f>
        <v/>
      </c>
      <c r="G1022" s="18" t="str">
        <f>IF($A1022="","",INDEX('Logic &amp; Lists'!$J$4:$J$20,$E1022))</f>
        <v/>
      </c>
      <c r="H1022" s="6" t="str">
        <f t="shared" si="76"/>
        <v/>
      </c>
      <c r="I1022" s="18" t="str">
        <f t="shared" ca="1" si="77"/>
        <v/>
      </c>
      <c r="J1022" s="5" t="str">
        <f t="shared" si="78"/>
        <v/>
      </c>
      <c r="K1022" s="25"/>
      <c r="L1022" s="5" t="str">
        <f t="shared" si="79"/>
        <v/>
      </c>
      <c r="M1022" s="7"/>
      <c r="N1022" s="7"/>
      <c r="O1022" s="7"/>
      <c r="P1022" s="20" t="str">
        <f>IF($A1022="","",INDEX(Project_Tracker!$I$2:$I$101,INT((ROW()-6)/17)+1))</f>
        <v/>
      </c>
      <c r="Q1022" s="20" t="str">
        <f>IF($A1022="","",INDEX(Project_Tracker!$K$2:$K$101,INT((ROW()-6)/17)+1))</f>
        <v/>
      </c>
    </row>
    <row r="1023" spans="1:17" x14ac:dyDescent="0.2">
      <c r="A1023" s="20" t="str">
        <f>IF(INDEX(Project_Tracker!$AL$2:$AL$101,INT((ROW()-6)/17)+1)="","",INDEX(Project_Tracker!$AL$2:$AL$101,INT((ROW()-6)/17)+1))</f>
        <v/>
      </c>
      <c r="B1023" s="21" t="str">
        <f>IF($A1023="","",INDEX(Project_Tracker!$AM$2:$AM$101,INT((ROW()-6)/17)+1))</f>
        <v/>
      </c>
      <c r="C1023" s="20" t="str">
        <f>IF($A1023="","",INDEX(Project_Tracker!$C$2:$C$101,INT((ROW()-6)/17)+1))</f>
        <v/>
      </c>
      <c r="D1023" s="6" t="str">
        <f>IF($A1023="","",INDEX(Project_Tracker!$T$2:$T$101,INT((ROW()-6)/17)+1))</f>
        <v/>
      </c>
      <c r="E1023" s="18">
        <f t="shared" si="75"/>
        <v>15</v>
      </c>
      <c r="F1023" s="23" t="str">
        <f>IF($A1023="","",INDEX('Logic &amp; Lists'!$I$4:$I$20,$E1023))</f>
        <v/>
      </c>
      <c r="G1023" s="18" t="str">
        <f>IF($A1023="","",INDEX('Logic &amp; Lists'!$J$4:$J$20,$E1023))</f>
        <v/>
      </c>
      <c r="H1023" s="6" t="str">
        <f t="shared" si="76"/>
        <v/>
      </c>
      <c r="I1023" s="18" t="str">
        <f t="shared" ca="1" si="77"/>
        <v/>
      </c>
      <c r="J1023" s="5" t="str">
        <f t="shared" si="78"/>
        <v/>
      </c>
      <c r="K1023" s="25"/>
      <c r="L1023" s="5" t="str">
        <f t="shared" si="79"/>
        <v/>
      </c>
      <c r="M1023" s="7"/>
      <c r="N1023" s="7"/>
      <c r="O1023" s="7"/>
      <c r="P1023" s="20" t="str">
        <f>IF($A1023="","",INDEX(Project_Tracker!$I$2:$I$101,INT((ROW()-6)/17)+1))</f>
        <v/>
      </c>
      <c r="Q1023" s="20" t="str">
        <f>IF($A1023="","",INDEX(Project_Tracker!$K$2:$K$101,INT((ROW()-6)/17)+1))</f>
        <v/>
      </c>
    </row>
    <row r="1024" spans="1:17" x14ac:dyDescent="0.2">
      <c r="A1024" s="20" t="str">
        <f>IF(INDEX(Project_Tracker!$AL$2:$AL$101,INT((ROW()-6)/17)+1)="","",INDEX(Project_Tracker!$AL$2:$AL$101,INT((ROW()-6)/17)+1))</f>
        <v/>
      </c>
      <c r="B1024" s="21" t="str">
        <f>IF($A1024="","",INDEX(Project_Tracker!$AM$2:$AM$101,INT((ROW()-6)/17)+1))</f>
        <v/>
      </c>
      <c r="C1024" s="20" t="str">
        <f>IF($A1024="","",INDEX(Project_Tracker!$C$2:$C$101,INT((ROW()-6)/17)+1))</f>
        <v/>
      </c>
      <c r="D1024" s="6" t="str">
        <f>IF($A1024="","",INDEX(Project_Tracker!$T$2:$T$101,INT((ROW()-6)/17)+1))</f>
        <v/>
      </c>
      <c r="E1024" s="18">
        <f t="shared" si="75"/>
        <v>16</v>
      </c>
      <c r="F1024" s="23" t="str">
        <f>IF($A1024="","",INDEX('Logic &amp; Lists'!$I$4:$I$20,$E1024))</f>
        <v/>
      </c>
      <c r="G1024" s="18" t="str">
        <f>IF($A1024="","",INDEX('Logic &amp; Lists'!$J$4:$J$20,$E1024))</f>
        <v/>
      </c>
      <c r="H1024" s="6" t="str">
        <f t="shared" si="76"/>
        <v/>
      </c>
      <c r="I1024" s="18" t="str">
        <f t="shared" ca="1" si="77"/>
        <v/>
      </c>
      <c r="J1024" s="5" t="str">
        <f t="shared" si="78"/>
        <v/>
      </c>
      <c r="K1024" s="25"/>
      <c r="L1024" s="5" t="str">
        <f t="shared" si="79"/>
        <v/>
      </c>
      <c r="M1024" s="7"/>
      <c r="N1024" s="7"/>
      <c r="O1024" s="7"/>
      <c r="P1024" s="20" t="str">
        <f>IF($A1024="","",INDEX(Project_Tracker!$I$2:$I$101,INT((ROW()-6)/17)+1))</f>
        <v/>
      </c>
      <c r="Q1024" s="20" t="str">
        <f>IF($A1024="","",INDEX(Project_Tracker!$K$2:$K$101,INT((ROW()-6)/17)+1))</f>
        <v/>
      </c>
    </row>
    <row r="1025" spans="1:17" x14ac:dyDescent="0.2">
      <c r="A1025" s="20" t="str">
        <f>IF(INDEX(Project_Tracker!$AL$2:$AL$101,INT((ROW()-6)/17)+1)="","",INDEX(Project_Tracker!$AL$2:$AL$101,INT((ROW()-6)/17)+1))</f>
        <v/>
      </c>
      <c r="B1025" s="21" t="str">
        <f>IF($A1025="","",INDEX(Project_Tracker!$AM$2:$AM$101,INT((ROW()-6)/17)+1))</f>
        <v/>
      </c>
      <c r="C1025" s="20" t="str">
        <f>IF($A1025="","",INDEX(Project_Tracker!$C$2:$C$101,INT((ROW()-6)/17)+1))</f>
        <v/>
      </c>
      <c r="D1025" s="6" t="str">
        <f>IF($A1025="","",INDEX(Project_Tracker!$T$2:$T$101,INT((ROW()-6)/17)+1))</f>
        <v/>
      </c>
      <c r="E1025" s="18">
        <f t="shared" si="75"/>
        <v>17</v>
      </c>
      <c r="F1025" s="23" t="str">
        <f>IF($A1025="","",INDEX('Logic &amp; Lists'!$I$4:$I$20,$E1025))</f>
        <v/>
      </c>
      <c r="G1025" s="18" t="str">
        <f>IF($A1025="","",INDEX('Logic &amp; Lists'!$J$4:$J$20,$E1025))</f>
        <v/>
      </c>
      <c r="H1025" s="6" t="str">
        <f t="shared" si="76"/>
        <v/>
      </c>
      <c r="I1025" s="18" t="str">
        <f t="shared" ca="1" si="77"/>
        <v/>
      </c>
      <c r="J1025" s="5" t="str">
        <f t="shared" si="78"/>
        <v/>
      </c>
      <c r="K1025" s="25"/>
      <c r="L1025" s="5" t="str">
        <f t="shared" si="79"/>
        <v/>
      </c>
      <c r="M1025" s="7"/>
      <c r="N1025" s="7"/>
      <c r="O1025" s="7"/>
      <c r="P1025" s="20" t="str">
        <f>IF($A1025="","",INDEX(Project_Tracker!$I$2:$I$101,INT((ROW()-6)/17)+1))</f>
        <v/>
      </c>
      <c r="Q1025" s="20" t="str">
        <f>IF($A1025="","",INDEX(Project_Tracker!$K$2:$K$101,INT((ROW()-6)/17)+1))</f>
        <v/>
      </c>
    </row>
    <row r="1026" spans="1:17" x14ac:dyDescent="0.2">
      <c r="A1026" s="20" t="str">
        <f>IF(INDEX(Project_Tracker!$AL$2:$AL$101,INT((ROW()-6)/17)+1)="","",INDEX(Project_Tracker!$AL$2:$AL$101,INT((ROW()-6)/17)+1))</f>
        <v/>
      </c>
      <c r="B1026" s="21" t="str">
        <f>IF($A1026="","",INDEX(Project_Tracker!$AM$2:$AM$101,INT((ROW()-6)/17)+1))</f>
        <v/>
      </c>
      <c r="C1026" s="20" t="str">
        <f>IF($A1026="","",INDEX(Project_Tracker!$C$2:$C$101,INT((ROW()-6)/17)+1))</f>
        <v/>
      </c>
      <c r="D1026" s="6" t="str">
        <f>IF($A1026="","",INDEX(Project_Tracker!$T$2:$T$101,INT((ROW()-6)/17)+1))</f>
        <v/>
      </c>
      <c r="E1026" s="18">
        <f t="shared" si="75"/>
        <v>1</v>
      </c>
      <c r="F1026" s="23" t="str">
        <f>IF($A1026="","",INDEX('Logic &amp; Lists'!$I$4:$I$20,$E1026))</f>
        <v/>
      </c>
      <c r="G1026" s="18" t="str">
        <f>IF($A1026="","",INDEX('Logic &amp; Lists'!$J$4:$J$20,$E1026))</f>
        <v/>
      </c>
      <c r="H1026" s="6" t="str">
        <f t="shared" si="76"/>
        <v/>
      </c>
      <c r="I1026" s="18" t="str">
        <f t="shared" ca="1" si="77"/>
        <v/>
      </c>
      <c r="J1026" s="5" t="str">
        <f t="shared" si="78"/>
        <v/>
      </c>
      <c r="K1026" s="25"/>
      <c r="L1026" s="5" t="str">
        <f t="shared" si="79"/>
        <v/>
      </c>
      <c r="M1026" s="7"/>
      <c r="N1026" s="7"/>
      <c r="O1026" s="7"/>
      <c r="P1026" s="20" t="str">
        <f>IF($A1026="","",INDEX(Project_Tracker!$I$2:$I$101,INT((ROW()-6)/17)+1))</f>
        <v/>
      </c>
      <c r="Q1026" s="20" t="str">
        <f>IF($A1026="","",INDEX(Project_Tracker!$K$2:$K$101,INT((ROW()-6)/17)+1))</f>
        <v/>
      </c>
    </row>
    <row r="1027" spans="1:17" x14ac:dyDescent="0.2">
      <c r="A1027" s="20" t="str">
        <f>IF(INDEX(Project_Tracker!$AL$2:$AL$101,INT((ROW()-6)/17)+1)="","",INDEX(Project_Tracker!$AL$2:$AL$101,INT((ROW()-6)/17)+1))</f>
        <v/>
      </c>
      <c r="B1027" s="21" t="str">
        <f>IF($A1027="","",INDEX(Project_Tracker!$AM$2:$AM$101,INT((ROW()-6)/17)+1))</f>
        <v/>
      </c>
      <c r="C1027" s="20" t="str">
        <f>IF($A1027="","",INDEX(Project_Tracker!$C$2:$C$101,INT((ROW()-6)/17)+1))</f>
        <v/>
      </c>
      <c r="D1027" s="6" t="str">
        <f>IF($A1027="","",INDEX(Project_Tracker!$T$2:$T$101,INT((ROW()-6)/17)+1))</f>
        <v/>
      </c>
      <c r="E1027" s="18">
        <f t="shared" si="75"/>
        <v>2</v>
      </c>
      <c r="F1027" s="23" t="str">
        <f>IF($A1027="","",INDEX('Logic &amp; Lists'!$I$4:$I$20,$E1027))</f>
        <v/>
      </c>
      <c r="G1027" s="18" t="str">
        <f>IF($A1027="","",INDEX('Logic &amp; Lists'!$J$4:$J$20,$E1027))</f>
        <v/>
      </c>
      <c r="H1027" s="6" t="str">
        <f t="shared" si="76"/>
        <v/>
      </c>
      <c r="I1027" s="18" t="str">
        <f t="shared" ca="1" si="77"/>
        <v/>
      </c>
      <c r="J1027" s="5" t="str">
        <f t="shared" si="78"/>
        <v/>
      </c>
      <c r="K1027" s="25"/>
      <c r="L1027" s="5" t="str">
        <f t="shared" si="79"/>
        <v/>
      </c>
      <c r="M1027" s="7"/>
      <c r="N1027" s="7"/>
      <c r="O1027" s="7"/>
      <c r="P1027" s="20" t="str">
        <f>IF($A1027="","",INDEX(Project_Tracker!$I$2:$I$101,INT((ROW()-6)/17)+1))</f>
        <v/>
      </c>
      <c r="Q1027" s="20" t="str">
        <f>IF($A1027="","",INDEX(Project_Tracker!$K$2:$K$101,INT((ROW()-6)/17)+1))</f>
        <v/>
      </c>
    </row>
    <row r="1028" spans="1:17" x14ac:dyDescent="0.2">
      <c r="A1028" s="20" t="str">
        <f>IF(INDEX(Project_Tracker!$AL$2:$AL$101,INT((ROW()-6)/17)+1)="","",INDEX(Project_Tracker!$AL$2:$AL$101,INT((ROW()-6)/17)+1))</f>
        <v/>
      </c>
      <c r="B1028" s="21" t="str">
        <f>IF($A1028="","",INDEX(Project_Tracker!$AM$2:$AM$101,INT((ROW()-6)/17)+1))</f>
        <v/>
      </c>
      <c r="C1028" s="20" t="str">
        <f>IF($A1028="","",INDEX(Project_Tracker!$C$2:$C$101,INT((ROW()-6)/17)+1))</f>
        <v/>
      </c>
      <c r="D1028" s="6" t="str">
        <f>IF($A1028="","",INDEX(Project_Tracker!$T$2:$T$101,INT((ROW()-6)/17)+1))</f>
        <v/>
      </c>
      <c r="E1028" s="18">
        <f t="shared" si="75"/>
        <v>3</v>
      </c>
      <c r="F1028" s="23" t="str">
        <f>IF($A1028="","",INDEX('Logic &amp; Lists'!$I$4:$I$20,$E1028))</f>
        <v/>
      </c>
      <c r="G1028" s="18" t="str">
        <f>IF($A1028="","",INDEX('Logic &amp; Lists'!$J$4:$J$20,$E1028))</f>
        <v/>
      </c>
      <c r="H1028" s="6" t="str">
        <f t="shared" si="76"/>
        <v/>
      </c>
      <c r="I1028" s="18" t="str">
        <f t="shared" ca="1" si="77"/>
        <v/>
      </c>
      <c r="J1028" s="5" t="str">
        <f t="shared" si="78"/>
        <v/>
      </c>
      <c r="K1028" s="25"/>
      <c r="L1028" s="5" t="str">
        <f t="shared" si="79"/>
        <v/>
      </c>
      <c r="M1028" s="7"/>
      <c r="N1028" s="7"/>
      <c r="O1028" s="7"/>
      <c r="P1028" s="20" t="str">
        <f>IF($A1028="","",INDEX(Project_Tracker!$I$2:$I$101,INT((ROW()-6)/17)+1))</f>
        <v/>
      </c>
      <c r="Q1028" s="20" t="str">
        <f>IF($A1028="","",INDEX(Project_Tracker!$K$2:$K$101,INT((ROW()-6)/17)+1))</f>
        <v/>
      </c>
    </row>
    <row r="1029" spans="1:17" x14ac:dyDescent="0.2">
      <c r="A1029" s="20" t="str">
        <f>IF(INDEX(Project_Tracker!$AL$2:$AL$101,INT((ROW()-6)/17)+1)="","",INDEX(Project_Tracker!$AL$2:$AL$101,INT((ROW()-6)/17)+1))</f>
        <v/>
      </c>
      <c r="B1029" s="21" t="str">
        <f>IF($A1029="","",INDEX(Project_Tracker!$AM$2:$AM$101,INT((ROW()-6)/17)+1))</f>
        <v/>
      </c>
      <c r="C1029" s="20" t="str">
        <f>IF($A1029="","",INDEX(Project_Tracker!$C$2:$C$101,INT((ROW()-6)/17)+1))</f>
        <v/>
      </c>
      <c r="D1029" s="6" t="str">
        <f>IF($A1029="","",INDEX(Project_Tracker!$T$2:$T$101,INT((ROW()-6)/17)+1))</f>
        <v/>
      </c>
      <c r="E1029" s="18">
        <f t="shared" si="75"/>
        <v>4</v>
      </c>
      <c r="F1029" s="23" t="str">
        <f>IF($A1029="","",INDEX('Logic &amp; Lists'!$I$4:$I$20,$E1029))</f>
        <v/>
      </c>
      <c r="G1029" s="18" t="str">
        <f>IF($A1029="","",INDEX('Logic &amp; Lists'!$J$4:$J$20,$E1029))</f>
        <v/>
      </c>
      <c r="H1029" s="6" t="str">
        <f t="shared" si="76"/>
        <v/>
      </c>
      <c r="I1029" s="18" t="str">
        <f t="shared" ca="1" si="77"/>
        <v/>
      </c>
      <c r="J1029" s="5" t="str">
        <f t="shared" si="78"/>
        <v/>
      </c>
      <c r="K1029" s="25"/>
      <c r="L1029" s="5" t="str">
        <f t="shared" si="79"/>
        <v/>
      </c>
      <c r="M1029" s="7"/>
      <c r="N1029" s="7"/>
      <c r="O1029" s="7"/>
      <c r="P1029" s="20" t="str">
        <f>IF($A1029="","",INDEX(Project_Tracker!$I$2:$I$101,INT((ROW()-6)/17)+1))</f>
        <v/>
      </c>
      <c r="Q1029" s="20" t="str">
        <f>IF($A1029="","",INDEX(Project_Tracker!$K$2:$K$101,INT((ROW()-6)/17)+1))</f>
        <v/>
      </c>
    </row>
    <row r="1030" spans="1:17" x14ac:dyDescent="0.2">
      <c r="A1030" s="20" t="str">
        <f>IF(INDEX(Project_Tracker!$AL$2:$AL$101,INT((ROW()-6)/17)+1)="","",INDEX(Project_Tracker!$AL$2:$AL$101,INT((ROW()-6)/17)+1))</f>
        <v/>
      </c>
      <c r="B1030" s="21" t="str">
        <f>IF($A1030="","",INDEX(Project_Tracker!$AM$2:$AM$101,INT((ROW()-6)/17)+1))</f>
        <v/>
      </c>
      <c r="C1030" s="20" t="str">
        <f>IF($A1030="","",INDEX(Project_Tracker!$C$2:$C$101,INT((ROW()-6)/17)+1))</f>
        <v/>
      </c>
      <c r="D1030" s="6" t="str">
        <f>IF($A1030="","",INDEX(Project_Tracker!$T$2:$T$101,INT((ROW()-6)/17)+1))</f>
        <v/>
      </c>
      <c r="E1030" s="18">
        <f t="shared" ref="E1030:E1093" si="80">MOD(ROW()-6,17)+1</f>
        <v>5</v>
      </c>
      <c r="F1030" s="23" t="str">
        <f>IF($A1030="","",INDEX('Logic &amp; Lists'!$I$4:$I$20,$E1030))</f>
        <v/>
      </c>
      <c r="G1030" s="18" t="str">
        <f>IF($A1030="","",INDEX('Logic &amp; Lists'!$J$4:$J$20,$E1030))</f>
        <v/>
      </c>
      <c r="H1030" s="6" t="str">
        <f t="shared" ref="H1030:H1093" si="81">IF($D1030="","",$D1030-$G1030)</f>
        <v/>
      </c>
      <c r="I1030" s="18" t="str">
        <f t="shared" ref="I1030:I1093" ca="1" si="82">IF($H1030="","",$H1030-TODAY())</f>
        <v/>
      </c>
      <c r="J1030" s="5" t="str">
        <f t="shared" ref="J1030:J1093" si="83">IF($A1030="","",IF($K1030&lt;&gt;"","ORDERED",IF($I1030&lt;0,"OVERDUE",IF($I1030&lt;=7,"URGENT",IF($I1030&lt;=14,"PREPARE","OK")))))</f>
        <v/>
      </c>
      <c r="K1030" s="25"/>
      <c r="L1030" s="5" t="str">
        <f t="shared" ref="L1030:L1093" si="84">IF($A1030="","",IF($K1030="",$J1030,IF($K1030&lt;=$H1030,"Ordered On Time","Ordered Late")))</f>
        <v/>
      </c>
      <c r="M1030" s="7"/>
      <c r="N1030" s="7"/>
      <c r="O1030" s="7"/>
      <c r="P1030" s="20" t="str">
        <f>IF($A1030="","",INDEX(Project_Tracker!$I$2:$I$101,INT((ROW()-6)/17)+1))</f>
        <v/>
      </c>
      <c r="Q1030" s="20" t="str">
        <f>IF($A1030="","",INDEX(Project_Tracker!$K$2:$K$101,INT((ROW()-6)/17)+1))</f>
        <v/>
      </c>
    </row>
    <row r="1031" spans="1:17" x14ac:dyDescent="0.2">
      <c r="A1031" s="20" t="str">
        <f>IF(INDEX(Project_Tracker!$AL$2:$AL$101,INT((ROW()-6)/17)+1)="","",INDEX(Project_Tracker!$AL$2:$AL$101,INT((ROW()-6)/17)+1))</f>
        <v/>
      </c>
      <c r="B1031" s="21" t="str">
        <f>IF($A1031="","",INDEX(Project_Tracker!$AM$2:$AM$101,INT((ROW()-6)/17)+1))</f>
        <v/>
      </c>
      <c r="C1031" s="20" t="str">
        <f>IF($A1031="","",INDEX(Project_Tracker!$C$2:$C$101,INT((ROW()-6)/17)+1))</f>
        <v/>
      </c>
      <c r="D1031" s="6" t="str">
        <f>IF($A1031="","",INDEX(Project_Tracker!$T$2:$T$101,INT((ROW()-6)/17)+1))</f>
        <v/>
      </c>
      <c r="E1031" s="18">
        <f t="shared" si="80"/>
        <v>6</v>
      </c>
      <c r="F1031" s="23" t="str">
        <f>IF($A1031="","",INDEX('Logic &amp; Lists'!$I$4:$I$20,$E1031))</f>
        <v/>
      </c>
      <c r="G1031" s="18" t="str">
        <f>IF($A1031="","",INDEX('Logic &amp; Lists'!$J$4:$J$20,$E1031))</f>
        <v/>
      </c>
      <c r="H1031" s="6" t="str">
        <f t="shared" si="81"/>
        <v/>
      </c>
      <c r="I1031" s="18" t="str">
        <f t="shared" ca="1" si="82"/>
        <v/>
      </c>
      <c r="J1031" s="5" t="str">
        <f t="shared" si="83"/>
        <v/>
      </c>
      <c r="K1031" s="25"/>
      <c r="L1031" s="5" t="str">
        <f t="shared" si="84"/>
        <v/>
      </c>
      <c r="M1031" s="7"/>
      <c r="N1031" s="7"/>
      <c r="O1031" s="7"/>
      <c r="P1031" s="20" t="str">
        <f>IF($A1031="","",INDEX(Project_Tracker!$I$2:$I$101,INT((ROW()-6)/17)+1))</f>
        <v/>
      </c>
      <c r="Q1031" s="20" t="str">
        <f>IF($A1031="","",INDEX(Project_Tracker!$K$2:$K$101,INT((ROW()-6)/17)+1))</f>
        <v/>
      </c>
    </row>
    <row r="1032" spans="1:17" x14ac:dyDescent="0.2">
      <c r="A1032" s="20" t="str">
        <f>IF(INDEX(Project_Tracker!$AL$2:$AL$101,INT((ROW()-6)/17)+1)="","",INDEX(Project_Tracker!$AL$2:$AL$101,INT((ROW()-6)/17)+1))</f>
        <v/>
      </c>
      <c r="B1032" s="21" t="str">
        <f>IF($A1032="","",INDEX(Project_Tracker!$AM$2:$AM$101,INT((ROW()-6)/17)+1))</f>
        <v/>
      </c>
      <c r="C1032" s="20" t="str">
        <f>IF($A1032="","",INDEX(Project_Tracker!$C$2:$C$101,INT((ROW()-6)/17)+1))</f>
        <v/>
      </c>
      <c r="D1032" s="6" t="str">
        <f>IF($A1032="","",INDEX(Project_Tracker!$T$2:$T$101,INT((ROW()-6)/17)+1))</f>
        <v/>
      </c>
      <c r="E1032" s="18">
        <f t="shared" si="80"/>
        <v>7</v>
      </c>
      <c r="F1032" s="23" t="str">
        <f>IF($A1032="","",INDEX('Logic &amp; Lists'!$I$4:$I$20,$E1032))</f>
        <v/>
      </c>
      <c r="G1032" s="18" t="str">
        <f>IF($A1032="","",INDEX('Logic &amp; Lists'!$J$4:$J$20,$E1032))</f>
        <v/>
      </c>
      <c r="H1032" s="6" t="str">
        <f t="shared" si="81"/>
        <v/>
      </c>
      <c r="I1032" s="18" t="str">
        <f t="shared" ca="1" si="82"/>
        <v/>
      </c>
      <c r="J1032" s="5" t="str">
        <f t="shared" si="83"/>
        <v/>
      </c>
      <c r="K1032" s="25"/>
      <c r="L1032" s="5" t="str">
        <f t="shared" si="84"/>
        <v/>
      </c>
      <c r="M1032" s="7"/>
      <c r="N1032" s="7"/>
      <c r="O1032" s="7"/>
      <c r="P1032" s="20" t="str">
        <f>IF($A1032="","",INDEX(Project_Tracker!$I$2:$I$101,INT((ROW()-6)/17)+1))</f>
        <v/>
      </c>
      <c r="Q1032" s="20" t="str">
        <f>IF($A1032="","",INDEX(Project_Tracker!$K$2:$K$101,INT((ROW()-6)/17)+1))</f>
        <v/>
      </c>
    </row>
    <row r="1033" spans="1:17" x14ac:dyDescent="0.2">
      <c r="A1033" s="20" t="str">
        <f>IF(INDEX(Project_Tracker!$AL$2:$AL$101,INT((ROW()-6)/17)+1)="","",INDEX(Project_Tracker!$AL$2:$AL$101,INT((ROW()-6)/17)+1))</f>
        <v/>
      </c>
      <c r="B1033" s="21" t="str">
        <f>IF($A1033="","",INDEX(Project_Tracker!$AM$2:$AM$101,INT((ROW()-6)/17)+1))</f>
        <v/>
      </c>
      <c r="C1033" s="20" t="str">
        <f>IF($A1033="","",INDEX(Project_Tracker!$C$2:$C$101,INT((ROW()-6)/17)+1))</f>
        <v/>
      </c>
      <c r="D1033" s="6" t="str">
        <f>IF($A1033="","",INDEX(Project_Tracker!$T$2:$T$101,INT((ROW()-6)/17)+1))</f>
        <v/>
      </c>
      <c r="E1033" s="18">
        <f t="shared" si="80"/>
        <v>8</v>
      </c>
      <c r="F1033" s="23" t="str">
        <f>IF($A1033="","",INDEX('Logic &amp; Lists'!$I$4:$I$20,$E1033))</f>
        <v/>
      </c>
      <c r="G1033" s="18" t="str">
        <f>IF($A1033="","",INDEX('Logic &amp; Lists'!$J$4:$J$20,$E1033))</f>
        <v/>
      </c>
      <c r="H1033" s="6" t="str">
        <f t="shared" si="81"/>
        <v/>
      </c>
      <c r="I1033" s="18" t="str">
        <f t="shared" ca="1" si="82"/>
        <v/>
      </c>
      <c r="J1033" s="5" t="str">
        <f t="shared" si="83"/>
        <v/>
      </c>
      <c r="K1033" s="25"/>
      <c r="L1033" s="5" t="str">
        <f t="shared" si="84"/>
        <v/>
      </c>
      <c r="M1033" s="7"/>
      <c r="N1033" s="7"/>
      <c r="O1033" s="7"/>
      <c r="P1033" s="20" t="str">
        <f>IF($A1033="","",INDEX(Project_Tracker!$I$2:$I$101,INT((ROW()-6)/17)+1))</f>
        <v/>
      </c>
      <c r="Q1033" s="20" t="str">
        <f>IF($A1033="","",INDEX(Project_Tracker!$K$2:$K$101,INT((ROW()-6)/17)+1))</f>
        <v/>
      </c>
    </row>
    <row r="1034" spans="1:17" x14ac:dyDescent="0.2">
      <c r="A1034" s="20" t="str">
        <f>IF(INDEX(Project_Tracker!$AL$2:$AL$101,INT((ROW()-6)/17)+1)="","",INDEX(Project_Tracker!$AL$2:$AL$101,INT((ROW()-6)/17)+1))</f>
        <v/>
      </c>
      <c r="B1034" s="21" t="str">
        <f>IF($A1034="","",INDEX(Project_Tracker!$AM$2:$AM$101,INT((ROW()-6)/17)+1))</f>
        <v/>
      </c>
      <c r="C1034" s="20" t="str">
        <f>IF($A1034="","",INDEX(Project_Tracker!$C$2:$C$101,INT((ROW()-6)/17)+1))</f>
        <v/>
      </c>
      <c r="D1034" s="6" t="str">
        <f>IF($A1034="","",INDEX(Project_Tracker!$T$2:$T$101,INT((ROW()-6)/17)+1))</f>
        <v/>
      </c>
      <c r="E1034" s="18">
        <f t="shared" si="80"/>
        <v>9</v>
      </c>
      <c r="F1034" s="23" t="str">
        <f>IF($A1034="","",INDEX('Logic &amp; Lists'!$I$4:$I$20,$E1034))</f>
        <v/>
      </c>
      <c r="G1034" s="18" t="str">
        <f>IF($A1034="","",INDEX('Logic &amp; Lists'!$J$4:$J$20,$E1034))</f>
        <v/>
      </c>
      <c r="H1034" s="6" t="str">
        <f t="shared" si="81"/>
        <v/>
      </c>
      <c r="I1034" s="18" t="str">
        <f t="shared" ca="1" si="82"/>
        <v/>
      </c>
      <c r="J1034" s="5" t="str">
        <f t="shared" si="83"/>
        <v/>
      </c>
      <c r="K1034" s="25"/>
      <c r="L1034" s="5" t="str">
        <f t="shared" si="84"/>
        <v/>
      </c>
      <c r="M1034" s="7"/>
      <c r="N1034" s="7"/>
      <c r="O1034" s="7"/>
      <c r="P1034" s="20" t="str">
        <f>IF($A1034="","",INDEX(Project_Tracker!$I$2:$I$101,INT((ROW()-6)/17)+1))</f>
        <v/>
      </c>
      <c r="Q1034" s="20" t="str">
        <f>IF($A1034="","",INDEX(Project_Tracker!$K$2:$K$101,INT((ROW()-6)/17)+1))</f>
        <v/>
      </c>
    </row>
    <row r="1035" spans="1:17" x14ac:dyDescent="0.2">
      <c r="A1035" s="20" t="str">
        <f>IF(INDEX(Project_Tracker!$AL$2:$AL$101,INT((ROW()-6)/17)+1)="","",INDEX(Project_Tracker!$AL$2:$AL$101,INT((ROW()-6)/17)+1))</f>
        <v/>
      </c>
      <c r="B1035" s="21" t="str">
        <f>IF($A1035="","",INDEX(Project_Tracker!$AM$2:$AM$101,INT((ROW()-6)/17)+1))</f>
        <v/>
      </c>
      <c r="C1035" s="20" t="str">
        <f>IF($A1035="","",INDEX(Project_Tracker!$C$2:$C$101,INT((ROW()-6)/17)+1))</f>
        <v/>
      </c>
      <c r="D1035" s="6" t="str">
        <f>IF($A1035="","",INDEX(Project_Tracker!$T$2:$T$101,INT((ROW()-6)/17)+1))</f>
        <v/>
      </c>
      <c r="E1035" s="18">
        <f t="shared" si="80"/>
        <v>10</v>
      </c>
      <c r="F1035" s="23" t="str">
        <f>IF($A1035="","",INDEX('Logic &amp; Lists'!$I$4:$I$20,$E1035))</f>
        <v/>
      </c>
      <c r="G1035" s="18" t="str">
        <f>IF($A1035="","",INDEX('Logic &amp; Lists'!$J$4:$J$20,$E1035))</f>
        <v/>
      </c>
      <c r="H1035" s="6" t="str">
        <f t="shared" si="81"/>
        <v/>
      </c>
      <c r="I1035" s="18" t="str">
        <f t="shared" ca="1" si="82"/>
        <v/>
      </c>
      <c r="J1035" s="5" t="str">
        <f t="shared" si="83"/>
        <v/>
      </c>
      <c r="K1035" s="25"/>
      <c r="L1035" s="5" t="str">
        <f t="shared" si="84"/>
        <v/>
      </c>
      <c r="M1035" s="7"/>
      <c r="N1035" s="7"/>
      <c r="O1035" s="7"/>
      <c r="P1035" s="20" t="str">
        <f>IF($A1035="","",INDEX(Project_Tracker!$I$2:$I$101,INT((ROW()-6)/17)+1))</f>
        <v/>
      </c>
      <c r="Q1035" s="20" t="str">
        <f>IF($A1035="","",INDEX(Project_Tracker!$K$2:$K$101,INT((ROW()-6)/17)+1))</f>
        <v/>
      </c>
    </row>
    <row r="1036" spans="1:17" x14ac:dyDescent="0.2">
      <c r="A1036" s="20" t="str">
        <f>IF(INDEX(Project_Tracker!$AL$2:$AL$101,INT((ROW()-6)/17)+1)="","",INDEX(Project_Tracker!$AL$2:$AL$101,INT((ROW()-6)/17)+1))</f>
        <v/>
      </c>
      <c r="B1036" s="21" t="str">
        <f>IF($A1036="","",INDEX(Project_Tracker!$AM$2:$AM$101,INT((ROW()-6)/17)+1))</f>
        <v/>
      </c>
      <c r="C1036" s="20" t="str">
        <f>IF($A1036="","",INDEX(Project_Tracker!$C$2:$C$101,INT((ROW()-6)/17)+1))</f>
        <v/>
      </c>
      <c r="D1036" s="6" t="str">
        <f>IF($A1036="","",INDEX(Project_Tracker!$T$2:$T$101,INT((ROW()-6)/17)+1))</f>
        <v/>
      </c>
      <c r="E1036" s="18">
        <f t="shared" si="80"/>
        <v>11</v>
      </c>
      <c r="F1036" s="23" t="str">
        <f>IF($A1036="","",INDEX('Logic &amp; Lists'!$I$4:$I$20,$E1036))</f>
        <v/>
      </c>
      <c r="G1036" s="18" t="str">
        <f>IF($A1036="","",INDEX('Logic &amp; Lists'!$J$4:$J$20,$E1036))</f>
        <v/>
      </c>
      <c r="H1036" s="6" t="str">
        <f t="shared" si="81"/>
        <v/>
      </c>
      <c r="I1036" s="18" t="str">
        <f t="shared" ca="1" si="82"/>
        <v/>
      </c>
      <c r="J1036" s="5" t="str">
        <f t="shared" si="83"/>
        <v/>
      </c>
      <c r="K1036" s="25"/>
      <c r="L1036" s="5" t="str">
        <f t="shared" si="84"/>
        <v/>
      </c>
      <c r="M1036" s="7"/>
      <c r="N1036" s="7"/>
      <c r="O1036" s="7"/>
      <c r="P1036" s="20" t="str">
        <f>IF($A1036="","",INDEX(Project_Tracker!$I$2:$I$101,INT((ROW()-6)/17)+1))</f>
        <v/>
      </c>
      <c r="Q1036" s="20" t="str">
        <f>IF($A1036="","",INDEX(Project_Tracker!$K$2:$K$101,INT((ROW()-6)/17)+1))</f>
        <v/>
      </c>
    </row>
    <row r="1037" spans="1:17" x14ac:dyDescent="0.2">
      <c r="A1037" s="20" t="str">
        <f>IF(INDEX(Project_Tracker!$AL$2:$AL$101,INT((ROW()-6)/17)+1)="","",INDEX(Project_Tracker!$AL$2:$AL$101,INT((ROW()-6)/17)+1))</f>
        <v/>
      </c>
      <c r="B1037" s="21" t="str">
        <f>IF($A1037="","",INDEX(Project_Tracker!$AM$2:$AM$101,INT((ROW()-6)/17)+1))</f>
        <v/>
      </c>
      <c r="C1037" s="20" t="str">
        <f>IF($A1037="","",INDEX(Project_Tracker!$C$2:$C$101,INT((ROW()-6)/17)+1))</f>
        <v/>
      </c>
      <c r="D1037" s="6" t="str">
        <f>IF($A1037="","",INDEX(Project_Tracker!$T$2:$T$101,INT((ROW()-6)/17)+1))</f>
        <v/>
      </c>
      <c r="E1037" s="18">
        <f t="shared" si="80"/>
        <v>12</v>
      </c>
      <c r="F1037" s="23" t="str">
        <f>IF($A1037="","",INDEX('Logic &amp; Lists'!$I$4:$I$20,$E1037))</f>
        <v/>
      </c>
      <c r="G1037" s="18" t="str">
        <f>IF($A1037="","",INDEX('Logic &amp; Lists'!$J$4:$J$20,$E1037))</f>
        <v/>
      </c>
      <c r="H1037" s="6" t="str">
        <f t="shared" si="81"/>
        <v/>
      </c>
      <c r="I1037" s="18" t="str">
        <f t="shared" ca="1" si="82"/>
        <v/>
      </c>
      <c r="J1037" s="5" t="str">
        <f t="shared" si="83"/>
        <v/>
      </c>
      <c r="K1037" s="25"/>
      <c r="L1037" s="5" t="str">
        <f t="shared" si="84"/>
        <v/>
      </c>
      <c r="M1037" s="7"/>
      <c r="N1037" s="7"/>
      <c r="O1037" s="7"/>
      <c r="P1037" s="20" t="str">
        <f>IF($A1037="","",INDEX(Project_Tracker!$I$2:$I$101,INT((ROW()-6)/17)+1))</f>
        <v/>
      </c>
      <c r="Q1037" s="20" t="str">
        <f>IF($A1037="","",INDEX(Project_Tracker!$K$2:$K$101,INT((ROW()-6)/17)+1))</f>
        <v/>
      </c>
    </row>
    <row r="1038" spans="1:17" x14ac:dyDescent="0.2">
      <c r="A1038" s="20" t="str">
        <f>IF(INDEX(Project_Tracker!$AL$2:$AL$101,INT((ROW()-6)/17)+1)="","",INDEX(Project_Tracker!$AL$2:$AL$101,INT((ROW()-6)/17)+1))</f>
        <v/>
      </c>
      <c r="B1038" s="21" t="str">
        <f>IF($A1038="","",INDEX(Project_Tracker!$AM$2:$AM$101,INT((ROW()-6)/17)+1))</f>
        <v/>
      </c>
      <c r="C1038" s="20" t="str">
        <f>IF($A1038="","",INDEX(Project_Tracker!$C$2:$C$101,INT((ROW()-6)/17)+1))</f>
        <v/>
      </c>
      <c r="D1038" s="6" t="str">
        <f>IF($A1038="","",INDEX(Project_Tracker!$T$2:$T$101,INT((ROW()-6)/17)+1))</f>
        <v/>
      </c>
      <c r="E1038" s="18">
        <f t="shared" si="80"/>
        <v>13</v>
      </c>
      <c r="F1038" s="23" t="str">
        <f>IF($A1038="","",INDEX('Logic &amp; Lists'!$I$4:$I$20,$E1038))</f>
        <v/>
      </c>
      <c r="G1038" s="18" t="str">
        <f>IF($A1038="","",INDEX('Logic &amp; Lists'!$J$4:$J$20,$E1038))</f>
        <v/>
      </c>
      <c r="H1038" s="6" t="str">
        <f t="shared" si="81"/>
        <v/>
      </c>
      <c r="I1038" s="18" t="str">
        <f t="shared" ca="1" si="82"/>
        <v/>
      </c>
      <c r="J1038" s="5" t="str">
        <f t="shared" si="83"/>
        <v/>
      </c>
      <c r="K1038" s="25"/>
      <c r="L1038" s="5" t="str">
        <f t="shared" si="84"/>
        <v/>
      </c>
      <c r="M1038" s="7"/>
      <c r="N1038" s="7"/>
      <c r="O1038" s="7"/>
      <c r="P1038" s="20" t="str">
        <f>IF($A1038="","",INDEX(Project_Tracker!$I$2:$I$101,INT((ROW()-6)/17)+1))</f>
        <v/>
      </c>
      <c r="Q1038" s="20" t="str">
        <f>IF($A1038="","",INDEX(Project_Tracker!$K$2:$K$101,INT((ROW()-6)/17)+1))</f>
        <v/>
      </c>
    </row>
    <row r="1039" spans="1:17" x14ac:dyDescent="0.2">
      <c r="A1039" s="20" t="str">
        <f>IF(INDEX(Project_Tracker!$AL$2:$AL$101,INT((ROW()-6)/17)+1)="","",INDEX(Project_Tracker!$AL$2:$AL$101,INT((ROW()-6)/17)+1))</f>
        <v/>
      </c>
      <c r="B1039" s="21" t="str">
        <f>IF($A1039="","",INDEX(Project_Tracker!$AM$2:$AM$101,INT((ROW()-6)/17)+1))</f>
        <v/>
      </c>
      <c r="C1039" s="20" t="str">
        <f>IF($A1039="","",INDEX(Project_Tracker!$C$2:$C$101,INT((ROW()-6)/17)+1))</f>
        <v/>
      </c>
      <c r="D1039" s="6" t="str">
        <f>IF($A1039="","",INDEX(Project_Tracker!$T$2:$T$101,INT((ROW()-6)/17)+1))</f>
        <v/>
      </c>
      <c r="E1039" s="18">
        <f t="shared" si="80"/>
        <v>14</v>
      </c>
      <c r="F1039" s="23" t="str">
        <f>IF($A1039="","",INDEX('Logic &amp; Lists'!$I$4:$I$20,$E1039))</f>
        <v/>
      </c>
      <c r="G1039" s="18" t="str">
        <f>IF($A1039="","",INDEX('Logic &amp; Lists'!$J$4:$J$20,$E1039))</f>
        <v/>
      </c>
      <c r="H1039" s="6" t="str">
        <f t="shared" si="81"/>
        <v/>
      </c>
      <c r="I1039" s="18" t="str">
        <f t="shared" ca="1" si="82"/>
        <v/>
      </c>
      <c r="J1039" s="5" t="str">
        <f t="shared" si="83"/>
        <v/>
      </c>
      <c r="K1039" s="25"/>
      <c r="L1039" s="5" t="str">
        <f t="shared" si="84"/>
        <v/>
      </c>
      <c r="M1039" s="7"/>
      <c r="N1039" s="7"/>
      <c r="O1039" s="7"/>
      <c r="P1039" s="20" t="str">
        <f>IF($A1039="","",INDEX(Project_Tracker!$I$2:$I$101,INT((ROW()-6)/17)+1))</f>
        <v/>
      </c>
      <c r="Q1039" s="20" t="str">
        <f>IF($A1039="","",INDEX(Project_Tracker!$K$2:$K$101,INT((ROW()-6)/17)+1))</f>
        <v/>
      </c>
    </row>
    <row r="1040" spans="1:17" x14ac:dyDescent="0.2">
      <c r="A1040" s="20" t="str">
        <f>IF(INDEX(Project_Tracker!$AL$2:$AL$101,INT((ROW()-6)/17)+1)="","",INDEX(Project_Tracker!$AL$2:$AL$101,INT((ROW()-6)/17)+1))</f>
        <v/>
      </c>
      <c r="B1040" s="21" t="str">
        <f>IF($A1040="","",INDEX(Project_Tracker!$AM$2:$AM$101,INT((ROW()-6)/17)+1))</f>
        <v/>
      </c>
      <c r="C1040" s="20" t="str">
        <f>IF($A1040="","",INDEX(Project_Tracker!$C$2:$C$101,INT((ROW()-6)/17)+1))</f>
        <v/>
      </c>
      <c r="D1040" s="6" t="str">
        <f>IF($A1040="","",INDEX(Project_Tracker!$T$2:$T$101,INT((ROW()-6)/17)+1))</f>
        <v/>
      </c>
      <c r="E1040" s="18">
        <f t="shared" si="80"/>
        <v>15</v>
      </c>
      <c r="F1040" s="23" t="str">
        <f>IF($A1040="","",INDEX('Logic &amp; Lists'!$I$4:$I$20,$E1040))</f>
        <v/>
      </c>
      <c r="G1040" s="18" t="str">
        <f>IF($A1040="","",INDEX('Logic &amp; Lists'!$J$4:$J$20,$E1040))</f>
        <v/>
      </c>
      <c r="H1040" s="6" t="str">
        <f t="shared" si="81"/>
        <v/>
      </c>
      <c r="I1040" s="18" t="str">
        <f t="shared" ca="1" si="82"/>
        <v/>
      </c>
      <c r="J1040" s="5" t="str">
        <f t="shared" si="83"/>
        <v/>
      </c>
      <c r="K1040" s="25"/>
      <c r="L1040" s="5" t="str">
        <f t="shared" si="84"/>
        <v/>
      </c>
      <c r="M1040" s="7"/>
      <c r="N1040" s="7"/>
      <c r="O1040" s="7"/>
      <c r="P1040" s="20" t="str">
        <f>IF($A1040="","",INDEX(Project_Tracker!$I$2:$I$101,INT((ROW()-6)/17)+1))</f>
        <v/>
      </c>
      <c r="Q1040" s="20" t="str">
        <f>IF($A1040="","",INDEX(Project_Tracker!$K$2:$K$101,INT((ROW()-6)/17)+1))</f>
        <v/>
      </c>
    </row>
    <row r="1041" spans="1:17" x14ac:dyDescent="0.2">
      <c r="A1041" s="20" t="str">
        <f>IF(INDEX(Project_Tracker!$AL$2:$AL$101,INT((ROW()-6)/17)+1)="","",INDEX(Project_Tracker!$AL$2:$AL$101,INT((ROW()-6)/17)+1))</f>
        <v/>
      </c>
      <c r="B1041" s="21" t="str">
        <f>IF($A1041="","",INDEX(Project_Tracker!$AM$2:$AM$101,INT((ROW()-6)/17)+1))</f>
        <v/>
      </c>
      <c r="C1041" s="20" t="str">
        <f>IF($A1041="","",INDEX(Project_Tracker!$C$2:$C$101,INT((ROW()-6)/17)+1))</f>
        <v/>
      </c>
      <c r="D1041" s="6" t="str">
        <f>IF($A1041="","",INDEX(Project_Tracker!$T$2:$T$101,INT((ROW()-6)/17)+1))</f>
        <v/>
      </c>
      <c r="E1041" s="18">
        <f t="shared" si="80"/>
        <v>16</v>
      </c>
      <c r="F1041" s="23" t="str">
        <f>IF($A1041="","",INDEX('Logic &amp; Lists'!$I$4:$I$20,$E1041))</f>
        <v/>
      </c>
      <c r="G1041" s="18" t="str">
        <f>IF($A1041="","",INDEX('Logic &amp; Lists'!$J$4:$J$20,$E1041))</f>
        <v/>
      </c>
      <c r="H1041" s="6" t="str">
        <f t="shared" si="81"/>
        <v/>
      </c>
      <c r="I1041" s="18" t="str">
        <f t="shared" ca="1" si="82"/>
        <v/>
      </c>
      <c r="J1041" s="5" t="str">
        <f t="shared" si="83"/>
        <v/>
      </c>
      <c r="K1041" s="25"/>
      <c r="L1041" s="5" t="str">
        <f t="shared" si="84"/>
        <v/>
      </c>
      <c r="M1041" s="7"/>
      <c r="N1041" s="7"/>
      <c r="O1041" s="7"/>
      <c r="P1041" s="20" t="str">
        <f>IF($A1041="","",INDEX(Project_Tracker!$I$2:$I$101,INT((ROW()-6)/17)+1))</f>
        <v/>
      </c>
      <c r="Q1041" s="20" t="str">
        <f>IF($A1041="","",INDEX(Project_Tracker!$K$2:$K$101,INT((ROW()-6)/17)+1))</f>
        <v/>
      </c>
    </row>
    <row r="1042" spans="1:17" x14ac:dyDescent="0.2">
      <c r="A1042" s="20" t="str">
        <f>IF(INDEX(Project_Tracker!$AL$2:$AL$101,INT((ROW()-6)/17)+1)="","",INDEX(Project_Tracker!$AL$2:$AL$101,INT((ROW()-6)/17)+1))</f>
        <v/>
      </c>
      <c r="B1042" s="21" t="str">
        <f>IF($A1042="","",INDEX(Project_Tracker!$AM$2:$AM$101,INT((ROW()-6)/17)+1))</f>
        <v/>
      </c>
      <c r="C1042" s="20" t="str">
        <f>IF($A1042="","",INDEX(Project_Tracker!$C$2:$C$101,INT((ROW()-6)/17)+1))</f>
        <v/>
      </c>
      <c r="D1042" s="6" t="str">
        <f>IF($A1042="","",INDEX(Project_Tracker!$T$2:$T$101,INT((ROW()-6)/17)+1))</f>
        <v/>
      </c>
      <c r="E1042" s="18">
        <f t="shared" si="80"/>
        <v>17</v>
      </c>
      <c r="F1042" s="23" t="str">
        <f>IF($A1042="","",INDEX('Logic &amp; Lists'!$I$4:$I$20,$E1042))</f>
        <v/>
      </c>
      <c r="G1042" s="18" t="str">
        <f>IF($A1042="","",INDEX('Logic &amp; Lists'!$J$4:$J$20,$E1042))</f>
        <v/>
      </c>
      <c r="H1042" s="6" t="str">
        <f t="shared" si="81"/>
        <v/>
      </c>
      <c r="I1042" s="18" t="str">
        <f t="shared" ca="1" si="82"/>
        <v/>
      </c>
      <c r="J1042" s="5" t="str">
        <f t="shared" si="83"/>
        <v/>
      </c>
      <c r="K1042" s="25"/>
      <c r="L1042" s="5" t="str">
        <f t="shared" si="84"/>
        <v/>
      </c>
      <c r="M1042" s="7"/>
      <c r="N1042" s="7"/>
      <c r="O1042" s="7"/>
      <c r="P1042" s="20" t="str">
        <f>IF($A1042="","",INDEX(Project_Tracker!$I$2:$I$101,INT((ROW()-6)/17)+1))</f>
        <v/>
      </c>
      <c r="Q1042" s="20" t="str">
        <f>IF($A1042="","",INDEX(Project_Tracker!$K$2:$K$101,INT((ROW()-6)/17)+1))</f>
        <v/>
      </c>
    </row>
    <row r="1043" spans="1:17" x14ac:dyDescent="0.2">
      <c r="A1043" s="20" t="str">
        <f>IF(INDEX(Project_Tracker!$AL$2:$AL$101,INT((ROW()-6)/17)+1)="","",INDEX(Project_Tracker!$AL$2:$AL$101,INT((ROW()-6)/17)+1))</f>
        <v/>
      </c>
      <c r="B1043" s="21" t="str">
        <f>IF($A1043="","",INDEX(Project_Tracker!$AM$2:$AM$101,INT((ROW()-6)/17)+1))</f>
        <v/>
      </c>
      <c r="C1043" s="20" t="str">
        <f>IF($A1043="","",INDEX(Project_Tracker!$C$2:$C$101,INT((ROW()-6)/17)+1))</f>
        <v/>
      </c>
      <c r="D1043" s="6" t="str">
        <f>IF($A1043="","",INDEX(Project_Tracker!$T$2:$T$101,INT((ROW()-6)/17)+1))</f>
        <v/>
      </c>
      <c r="E1043" s="18">
        <f t="shared" si="80"/>
        <v>1</v>
      </c>
      <c r="F1043" s="23" t="str">
        <f>IF($A1043="","",INDEX('Logic &amp; Lists'!$I$4:$I$20,$E1043))</f>
        <v/>
      </c>
      <c r="G1043" s="18" t="str">
        <f>IF($A1043="","",INDEX('Logic &amp; Lists'!$J$4:$J$20,$E1043))</f>
        <v/>
      </c>
      <c r="H1043" s="6" t="str">
        <f t="shared" si="81"/>
        <v/>
      </c>
      <c r="I1043" s="18" t="str">
        <f t="shared" ca="1" si="82"/>
        <v/>
      </c>
      <c r="J1043" s="5" t="str">
        <f t="shared" si="83"/>
        <v/>
      </c>
      <c r="K1043" s="25"/>
      <c r="L1043" s="5" t="str">
        <f t="shared" si="84"/>
        <v/>
      </c>
      <c r="M1043" s="7"/>
      <c r="N1043" s="7"/>
      <c r="O1043" s="7"/>
      <c r="P1043" s="20" t="str">
        <f>IF($A1043="","",INDEX(Project_Tracker!$I$2:$I$101,INT((ROW()-6)/17)+1))</f>
        <v/>
      </c>
      <c r="Q1043" s="20" t="str">
        <f>IF($A1043="","",INDEX(Project_Tracker!$K$2:$K$101,INT((ROW()-6)/17)+1))</f>
        <v/>
      </c>
    </row>
    <row r="1044" spans="1:17" x14ac:dyDescent="0.2">
      <c r="A1044" s="20" t="str">
        <f>IF(INDEX(Project_Tracker!$AL$2:$AL$101,INT((ROW()-6)/17)+1)="","",INDEX(Project_Tracker!$AL$2:$AL$101,INT((ROW()-6)/17)+1))</f>
        <v/>
      </c>
      <c r="B1044" s="21" t="str">
        <f>IF($A1044="","",INDEX(Project_Tracker!$AM$2:$AM$101,INT((ROW()-6)/17)+1))</f>
        <v/>
      </c>
      <c r="C1044" s="20" t="str">
        <f>IF($A1044="","",INDEX(Project_Tracker!$C$2:$C$101,INT((ROW()-6)/17)+1))</f>
        <v/>
      </c>
      <c r="D1044" s="6" t="str">
        <f>IF($A1044="","",INDEX(Project_Tracker!$T$2:$T$101,INT((ROW()-6)/17)+1))</f>
        <v/>
      </c>
      <c r="E1044" s="18">
        <f t="shared" si="80"/>
        <v>2</v>
      </c>
      <c r="F1044" s="23" t="str">
        <f>IF($A1044="","",INDEX('Logic &amp; Lists'!$I$4:$I$20,$E1044))</f>
        <v/>
      </c>
      <c r="G1044" s="18" t="str">
        <f>IF($A1044="","",INDEX('Logic &amp; Lists'!$J$4:$J$20,$E1044))</f>
        <v/>
      </c>
      <c r="H1044" s="6" t="str">
        <f t="shared" si="81"/>
        <v/>
      </c>
      <c r="I1044" s="18" t="str">
        <f t="shared" ca="1" si="82"/>
        <v/>
      </c>
      <c r="J1044" s="5" t="str">
        <f t="shared" si="83"/>
        <v/>
      </c>
      <c r="K1044" s="25"/>
      <c r="L1044" s="5" t="str">
        <f t="shared" si="84"/>
        <v/>
      </c>
      <c r="M1044" s="7"/>
      <c r="N1044" s="7"/>
      <c r="O1044" s="7"/>
      <c r="P1044" s="20" t="str">
        <f>IF($A1044="","",INDEX(Project_Tracker!$I$2:$I$101,INT((ROW()-6)/17)+1))</f>
        <v/>
      </c>
      <c r="Q1044" s="20" t="str">
        <f>IF($A1044="","",INDEX(Project_Tracker!$K$2:$K$101,INT((ROW()-6)/17)+1))</f>
        <v/>
      </c>
    </row>
    <row r="1045" spans="1:17" x14ac:dyDescent="0.2">
      <c r="A1045" s="20" t="str">
        <f>IF(INDEX(Project_Tracker!$AL$2:$AL$101,INT((ROW()-6)/17)+1)="","",INDEX(Project_Tracker!$AL$2:$AL$101,INT((ROW()-6)/17)+1))</f>
        <v/>
      </c>
      <c r="B1045" s="21" t="str">
        <f>IF($A1045="","",INDEX(Project_Tracker!$AM$2:$AM$101,INT((ROW()-6)/17)+1))</f>
        <v/>
      </c>
      <c r="C1045" s="20" t="str">
        <f>IF($A1045="","",INDEX(Project_Tracker!$C$2:$C$101,INT((ROW()-6)/17)+1))</f>
        <v/>
      </c>
      <c r="D1045" s="6" t="str">
        <f>IF($A1045="","",INDEX(Project_Tracker!$T$2:$T$101,INT((ROW()-6)/17)+1))</f>
        <v/>
      </c>
      <c r="E1045" s="18">
        <f t="shared" si="80"/>
        <v>3</v>
      </c>
      <c r="F1045" s="23" t="str">
        <f>IF($A1045="","",INDEX('Logic &amp; Lists'!$I$4:$I$20,$E1045))</f>
        <v/>
      </c>
      <c r="G1045" s="18" t="str">
        <f>IF($A1045="","",INDEX('Logic &amp; Lists'!$J$4:$J$20,$E1045))</f>
        <v/>
      </c>
      <c r="H1045" s="6" t="str">
        <f t="shared" si="81"/>
        <v/>
      </c>
      <c r="I1045" s="18" t="str">
        <f t="shared" ca="1" si="82"/>
        <v/>
      </c>
      <c r="J1045" s="5" t="str">
        <f t="shared" si="83"/>
        <v/>
      </c>
      <c r="K1045" s="25"/>
      <c r="L1045" s="5" t="str">
        <f t="shared" si="84"/>
        <v/>
      </c>
      <c r="M1045" s="7"/>
      <c r="N1045" s="7"/>
      <c r="O1045" s="7"/>
      <c r="P1045" s="20" t="str">
        <f>IF($A1045="","",INDEX(Project_Tracker!$I$2:$I$101,INT((ROW()-6)/17)+1))</f>
        <v/>
      </c>
      <c r="Q1045" s="20" t="str">
        <f>IF($A1045="","",INDEX(Project_Tracker!$K$2:$K$101,INT((ROW()-6)/17)+1))</f>
        <v/>
      </c>
    </row>
    <row r="1046" spans="1:17" x14ac:dyDescent="0.2">
      <c r="A1046" s="20" t="str">
        <f>IF(INDEX(Project_Tracker!$AL$2:$AL$101,INT((ROW()-6)/17)+1)="","",INDEX(Project_Tracker!$AL$2:$AL$101,INT((ROW()-6)/17)+1))</f>
        <v/>
      </c>
      <c r="B1046" s="21" t="str">
        <f>IF($A1046="","",INDEX(Project_Tracker!$AM$2:$AM$101,INT((ROW()-6)/17)+1))</f>
        <v/>
      </c>
      <c r="C1046" s="20" t="str">
        <f>IF($A1046="","",INDEX(Project_Tracker!$C$2:$C$101,INT((ROW()-6)/17)+1))</f>
        <v/>
      </c>
      <c r="D1046" s="6" t="str">
        <f>IF($A1046="","",INDEX(Project_Tracker!$T$2:$T$101,INT((ROW()-6)/17)+1))</f>
        <v/>
      </c>
      <c r="E1046" s="18">
        <f t="shared" si="80"/>
        <v>4</v>
      </c>
      <c r="F1046" s="23" t="str">
        <f>IF($A1046="","",INDEX('Logic &amp; Lists'!$I$4:$I$20,$E1046))</f>
        <v/>
      </c>
      <c r="G1046" s="18" t="str">
        <f>IF($A1046="","",INDEX('Logic &amp; Lists'!$J$4:$J$20,$E1046))</f>
        <v/>
      </c>
      <c r="H1046" s="6" t="str">
        <f t="shared" si="81"/>
        <v/>
      </c>
      <c r="I1046" s="18" t="str">
        <f t="shared" ca="1" si="82"/>
        <v/>
      </c>
      <c r="J1046" s="5" t="str">
        <f t="shared" si="83"/>
        <v/>
      </c>
      <c r="K1046" s="25"/>
      <c r="L1046" s="5" t="str">
        <f t="shared" si="84"/>
        <v/>
      </c>
      <c r="M1046" s="7"/>
      <c r="N1046" s="7"/>
      <c r="O1046" s="7"/>
      <c r="P1046" s="20" t="str">
        <f>IF($A1046="","",INDEX(Project_Tracker!$I$2:$I$101,INT((ROW()-6)/17)+1))</f>
        <v/>
      </c>
      <c r="Q1046" s="20" t="str">
        <f>IF($A1046="","",INDEX(Project_Tracker!$K$2:$K$101,INT((ROW()-6)/17)+1))</f>
        <v/>
      </c>
    </row>
    <row r="1047" spans="1:17" x14ac:dyDescent="0.2">
      <c r="A1047" s="20" t="str">
        <f>IF(INDEX(Project_Tracker!$AL$2:$AL$101,INT((ROW()-6)/17)+1)="","",INDEX(Project_Tracker!$AL$2:$AL$101,INT((ROW()-6)/17)+1))</f>
        <v/>
      </c>
      <c r="B1047" s="21" t="str">
        <f>IF($A1047="","",INDEX(Project_Tracker!$AM$2:$AM$101,INT((ROW()-6)/17)+1))</f>
        <v/>
      </c>
      <c r="C1047" s="20" t="str">
        <f>IF($A1047="","",INDEX(Project_Tracker!$C$2:$C$101,INT((ROW()-6)/17)+1))</f>
        <v/>
      </c>
      <c r="D1047" s="6" t="str">
        <f>IF($A1047="","",INDEX(Project_Tracker!$T$2:$T$101,INT((ROW()-6)/17)+1))</f>
        <v/>
      </c>
      <c r="E1047" s="18">
        <f t="shared" si="80"/>
        <v>5</v>
      </c>
      <c r="F1047" s="23" t="str">
        <f>IF($A1047="","",INDEX('Logic &amp; Lists'!$I$4:$I$20,$E1047))</f>
        <v/>
      </c>
      <c r="G1047" s="18" t="str">
        <f>IF($A1047="","",INDEX('Logic &amp; Lists'!$J$4:$J$20,$E1047))</f>
        <v/>
      </c>
      <c r="H1047" s="6" t="str">
        <f t="shared" si="81"/>
        <v/>
      </c>
      <c r="I1047" s="18" t="str">
        <f t="shared" ca="1" si="82"/>
        <v/>
      </c>
      <c r="J1047" s="5" t="str">
        <f t="shared" si="83"/>
        <v/>
      </c>
      <c r="K1047" s="25"/>
      <c r="L1047" s="5" t="str">
        <f t="shared" si="84"/>
        <v/>
      </c>
      <c r="M1047" s="7"/>
      <c r="N1047" s="7"/>
      <c r="O1047" s="7"/>
      <c r="P1047" s="20" t="str">
        <f>IF($A1047="","",INDEX(Project_Tracker!$I$2:$I$101,INT((ROW()-6)/17)+1))</f>
        <v/>
      </c>
      <c r="Q1047" s="20" t="str">
        <f>IF($A1047="","",INDEX(Project_Tracker!$K$2:$K$101,INT((ROW()-6)/17)+1))</f>
        <v/>
      </c>
    </row>
    <row r="1048" spans="1:17" x14ac:dyDescent="0.2">
      <c r="A1048" s="20" t="str">
        <f>IF(INDEX(Project_Tracker!$AL$2:$AL$101,INT((ROW()-6)/17)+1)="","",INDEX(Project_Tracker!$AL$2:$AL$101,INT((ROW()-6)/17)+1))</f>
        <v/>
      </c>
      <c r="B1048" s="21" t="str">
        <f>IF($A1048="","",INDEX(Project_Tracker!$AM$2:$AM$101,INT((ROW()-6)/17)+1))</f>
        <v/>
      </c>
      <c r="C1048" s="20" t="str">
        <f>IF($A1048="","",INDEX(Project_Tracker!$C$2:$C$101,INT((ROW()-6)/17)+1))</f>
        <v/>
      </c>
      <c r="D1048" s="6" t="str">
        <f>IF($A1048="","",INDEX(Project_Tracker!$T$2:$T$101,INT((ROW()-6)/17)+1))</f>
        <v/>
      </c>
      <c r="E1048" s="18">
        <f t="shared" si="80"/>
        <v>6</v>
      </c>
      <c r="F1048" s="23" t="str">
        <f>IF($A1048="","",INDEX('Logic &amp; Lists'!$I$4:$I$20,$E1048))</f>
        <v/>
      </c>
      <c r="G1048" s="18" t="str">
        <f>IF($A1048="","",INDEX('Logic &amp; Lists'!$J$4:$J$20,$E1048))</f>
        <v/>
      </c>
      <c r="H1048" s="6" t="str">
        <f t="shared" si="81"/>
        <v/>
      </c>
      <c r="I1048" s="18" t="str">
        <f t="shared" ca="1" si="82"/>
        <v/>
      </c>
      <c r="J1048" s="5" t="str">
        <f t="shared" si="83"/>
        <v/>
      </c>
      <c r="K1048" s="25"/>
      <c r="L1048" s="5" t="str">
        <f t="shared" si="84"/>
        <v/>
      </c>
      <c r="M1048" s="7"/>
      <c r="N1048" s="7"/>
      <c r="O1048" s="7"/>
      <c r="P1048" s="20" t="str">
        <f>IF($A1048="","",INDEX(Project_Tracker!$I$2:$I$101,INT((ROW()-6)/17)+1))</f>
        <v/>
      </c>
      <c r="Q1048" s="20" t="str">
        <f>IF($A1048="","",INDEX(Project_Tracker!$K$2:$K$101,INT((ROW()-6)/17)+1))</f>
        <v/>
      </c>
    </row>
    <row r="1049" spans="1:17" x14ac:dyDescent="0.2">
      <c r="A1049" s="20" t="str">
        <f>IF(INDEX(Project_Tracker!$AL$2:$AL$101,INT((ROW()-6)/17)+1)="","",INDEX(Project_Tracker!$AL$2:$AL$101,INT((ROW()-6)/17)+1))</f>
        <v/>
      </c>
      <c r="B1049" s="21" t="str">
        <f>IF($A1049="","",INDEX(Project_Tracker!$AM$2:$AM$101,INT((ROW()-6)/17)+1))</f>
        <v/>
      </c>
      <c r="C1049" s="20" t="str">
        <f>IF($A1049="","",INDEX(Project_Tracker!$C$2:$C$101,INT((ROW()-6)/17)+1))</f>
        <v/>
      </c>
      <c r="D1049" s="6" t="str">
        <f>IF($A1049="","",INDEX(Project_Tracker!$T$2:$T$101,INT((ROW()-6)/17)+1))</f>
        <v/>
      </c>
      <c r="E1049" s="18">
        <f t="shared" si="80"/>
        <v>7</v>
      </c>
      <c r="F1049" s="23" t="str">
        <f>IF($A1049="","",INDEX('Logic &amp; Lists'!$I$4:$I$20,$E1049))</f>
        <v/>
      </c>
      <c r="G1049" s="18" t="str">
        <f>IF($A1049="","",INDEX('Logic &amp; Lists'!$J$4:$J$20,$E1049))</f>
        <v/>
      </c>
      <c r="H1049" s="6" t="str">
        <f t="shared" si="81"/>
        <v/>
      </c>
      <c r="I1049" s="18" t="str">
        <f t="shared" ca="1" si="82"/>
        <v/>
      </c>
      <c r="J1049" s="5" t="str">
        <f t="shared" si="83"/>
        <v/>
      </c>
      <c r="K1049" s="25"/>
      <c r="L1049" s="5" t="str">
        <f t="shared" si="84"/>
        <v/>
      </c>
      <c r="M1049" s="7"/>
      <c r="N1049" s="7"/>
      <c r="O1049" s="7"/>
      <c r="P1049" s="20" t="str">
        <f>IF($A1049="","",INDEX(Project_Tracker!$I$2:$I$101,INT((ROW()-6)/17)+1))</f>
        <v/>
      </c>
      <c r="Q1049" s="20" t="str">
        <f>IF($A1049="","",INDEX(Project_Tracker!$K$2:$K$101,INT((ROW()-6)/17)+1))</f>
        <v/>
      </c>
    </row>
    <row r="1050" spans="1:17" x14ac:dyDescent="0.2">
      <c r="A1050" s="20" t="str">
        <f>IF(INDEX(Project_Tracker!$AL$2:$AL$101,INT((ROW()-6)/17)+1)="","",INDEX(Project_Tracker!$AL$2:$AL$101,INT((ROW()-6)/17)+1))</f>
        <v/>
      </c>
      <c r="B1050" s="21" t="str">
        <f>IF($A1050="","",INDEX(Project_Tracker!$AM$2:$AM$101,INT((ROW()-6)/17)+1))</f>
        <v/>
      </c>
      <c r="C1050" s="20" t="str">
        <f>IF($A1050="","",INDEX(Project_Tracker!$C$2:$C$101,INT((ROW()-6)/17)+1))</f>
        <v/>
      </c>
      <c r="D1050" s="6" t="str">
        <f>IF($A1050="","",INDEX(Project_Tracker!$T$2:$T$101,INT((ROW()-6)/17)+1))</f>
        <v/>
      </c>
      <c r="E1050" s="18">
        <f t="shared" si="80"/>
        <v>8</v>
      </c>
      <c r="F1050" s="23" t="str">
        <f>IF($A1050="","",INDEX('Logic &amp; Lists'!$I$4:$I$20,$E1050))</f>
        <v/>
      </c>
      <c r="G1050" s="18" t="str">
        <f>IF($A1050="","",INDEX('Logic &amp; Lists'!$J$4:$J$20,$E1050))</f>
        <v/>
      </c>
      <c r="H1050" s="6" t="str">
        <f t="shared" si="81"/>
        <v/>
      </c>
      <c r="I1050" s="18" t="str">
        <f t="shared" ca="1" si="82"/>
        <v/>
      </c>
      <c r="J1050" s="5" t="str">
        <f t="shared" si="83"/>
        <v/>
      </c>
      <c r="K1050" s="25"/>
      <c r="L1050" s="5" t="str">
        <f t="shared" si="84"/>
        <v/>
      </c>
      <c r="M1050" s="7"/>
      <c r="N1050" s="7"/>
      <c r="O1050" s="7"/>
      <c r="P1050" s="20" t="str">
        <f>IF($A1050="","",INDEX(Project_Tracker!$I$2:$I$101,INT((ROW()-6)/17)+1))</f>
        <v/>
      </c>
      <c r="Q1050" s="20" t="str">
        <f>IF($A1050="","",INDEX(Project_Tracker!$K$2:$K$101,INT((ROW()-6)/17)+1))</f>
        <v/>
      </c>
    </row>
    <row r="1051" spans="1:17" x14ac:dyDescent="0.2">
      <c r="A1051" s="20" t="str">
        <f>IF(INDEX(Project_Tracker!$AL$2:$AL$101,INT((ROW()-6)/17)+1)="","",INDEX(Project_Tracker!$AL$2:$AL$101,INT((ROW()-6)/17)+1))</f>
        <v/>
      </c>
      <c r="B1051" s="21" t="str">
        <f>IF($A1051="","",INDEX(Project_Tracker!$AM$2:$AM$101,INT((ROW()-6)/17)+1))</f>
        <v/>
      </c>
      <c r="C1051" s="20" t="str">
        <f>IF($A1051="","",INDEX(Project_Tracker!$C$2:$C$101,INT((ROW()-6)/17)+1))</f>
        <v/>
      </c>
      <c r="D1051" s="6" t="str">
        <f>IF($A1051="","",INDEX(Project_Tracker!$T$2:$T$101,INT((ROW()-6)/17)+1))</f>
        <v/>
      </c>
      <c r="E1051" s="18">
        <f t="shared" si="80"/>
        <v>9</v>
      </c>
      <c r="F1051" s="23" t="str">
        <f>IF($A1051="","",INDEX('Logic &amp; Lists'!$I$4:$I$20,$E1051))</f>
        <v/>
      </c>
      <c r="G1051" s="18" t="str">
        <f>IF($A1051="","",INDEX('Logic &amp; Lists'!$J$4:$J$20,$E1051))</f>
        <v/>
      </c>
      <c r="H1051" s="6" t="str">
        <f t="shared" si="81"/>
        <v/>
      </c>
      <c r="I1051" s="18" t="str">
        <f t="shared" ca="1" si="82"/>
        <v/>
      </c>
      <c r="J1051" s="5" t="str">
        <f t="shared" si="83"/>
        <v/>
      </c>
      <c r="K1051" s="25"/>
      <c r="L1051" s="5" t="str">
        <f t="shared" si="84"/>
        <v/>
      </c>
      <c r="M1051" s="7"/>
      <c r="N1051" s="7"/>
      <c r="O1051" s="7"/>
      <c r="P1051" s="20" t="str">
        <f>IF($A1051="","",INDEX(Project_Tracker!$I$2:$I$101,INT((ROW()-6)/17)+1))</f>
        <v/>
      </c>
      <c r="Q1051" s="20" t="str">
        <f>IF($A1051="","",INDEX(Project_Tracker!$K$2:$K$101,INT((ROW()-6)/17)+1))</f>
        <v/>
      </c>
    </row>
    <row r="1052" spans="1:17" x14ac:dyDescent="0.2">
      <c r="A1052" s="20" t="str">
        <f>IF(INDEX(Project_Tracker!$AL$2:$AL$101,INT((ROW()-6)/17)+1)="","",INDEX(Project_Tracker!$AL$2:$AL$101,INT((ROW()-6)/17)+1))</f>
        <v/>
      </c>
      <c r="B1052" s="21" t="str">
        <f>IF($A1052="","",INDEX(Project_Tracker!$AM$2:$AM$101,INT((ROW()-6)/17)+1))</f>
        <v/>
      </c>
      <c r="C1052" s="20" t="str">
        <f>IF($A1052="","",INDEX(Project_Tracker!$C$2:$C$101,INT((ROW()-6)/17)+1))</f>
        <v/>
      </c>
      <c r="D1052" s="6" t="str">
        <f>IF($A1052="","",INDEX(Project_Tracker!$T$2:$T$101,INT((ROW()-6)/17)+1))</f>
        <v/>
      </c>
      <c r="E1052" s="18">
        <f t="shared" si="80"/>
        <v>10</v>
      </c>
      <c r="F1052" s="23" t="str">
        <f>IF($A1052="","",INDEX('Logic &amp; Lists'!$I$4:$I$20,$E1052))</f>
        <v/>
      </c>
      <c r="G1052" s="18" t="str">
        <f>IF($A1052="","",INDEX('Logic &amp; Lists'!$J$4:$J$20,$E1052))</f>
        <v/>
      </c>
      <c r="H1052" s="6" t="str">
        <f t="shared" si="81"/>
        <v/>
      </c>
      <c r="I1052" s="18" t="str">
        <f t="shared" ca="1" si="82"/>
        <v/>
      </c>
      <c r="J1052" s="5" t="str">
        <f t="shared" si="83"/>
        <v/>
      </c>
      <c r="K1052" s="25"/>
      <c r="L1052" s="5" t="str">
        <f t="shared" si="84"/>
        <v/>
      </c>
      <c r="M1052" s="7"/>
      <c r="N1052" s="7"/>
      <c r="O1052" s="7"/>
      <c r="P1052" s="20" t="str">
        <f>IF($A1052="","",INDEX(Project_Tracker!$I$2:$I$101,INT((ROW()-6)/17)+1))</f>
        <v/>
      </c>
      <c r="Q1052" s="20" t="str">
        <f>IF($A1052="","",INDEX(Project_Tracker!$K$2:$K$101,INT((ROW()-6)/17)+1))</f>
        <v/>
      </c>
    </row>
    <row r="1053" spans="1:17" x14ac:dyDescent="0.2">
      <c r="A1053" s="20" t="str">
        <f>IF(INDEX(Project_Tracker!$AL$2:$AL$101,INT((ROW()-6)/17)+1)="","",INDEX(Project_Tracker!$AL$2:$AL$101,INT((ROW()-6)/17)+1))</f>
        <v/>
      </c>
      <c r="B1053" s="21" t="str">
        <f>IF($A1053="","",INDEX(Project_Tracker!$AM$2:$AM$101,INT((ROW()-6)/17)+1))</f>
        <v/>
      </c>
      <c r="C1053" s="20" t="str">
        <f>IF($A1053="","",INDEX(Project_Tracker!$C$2:$C$101,INT((ROW()-6)/17)+1))</f>
        <v/>
      </c>
      <c r="D1053" s="6" t="str">
        <f>IF($A1053="","",INDEX(Project_Tracker!$T$2:$T$101,INT((ROW()-6)/17)+1))</f>
        <v/>
      </c>
      <c r="E1053" s="18">
        <f t="shared" si="80"/>
        <v>11</v>
      </c>
      <c r="F1053" s="23" t="str">
        <f>IF($A1053="","",INDEX('Logic &amp; Lists'!$I$4:$I$20,$E1053))</f>
        <v/>
      </c>
      <c r="G1053" s="18" t="str">
        <f>IF($A1053="","",INDEX('Logic &amp; Lists'!$J$4:$J$20,$E1053))</f>
        <v/>
      </c>
      <c r="H1053" s="6" t="str">
        <f t="shared" si="81"/>
        <v/>
      </c>
      <c r="I1053" s="18" t="str">
        <f t="shared" ca="1" si="82"/>
        <v/>
      </c>
      <c r="J1053" s="5" t="str">
        <f t="shared" si="83"/>
        <v/>
      </c>
      <c r="K1053" s="25"/>
      <c r="L1053" s="5" t="str">
        <f t="shared" si="84"/>
        <v/>
      </c>
      <c r="M1053" s="7"/>
      <c r="N1053" s="7"/>
      <c r="O1053" s="7"/>
      <c r="P1053" s="20" t="str">
        <f>IF($A1053="","",INDEX(Project_Tracker!$I$2:$I$101,INT((ROW()-6)/17)+1))</f>
        <v/>
      </c>
      <c r="Q1053" s="20" t="str">
        <f>IF($A1053="","",INDEX(Project_Tracker!$K$2:$K$101,INT((ROW()-6)/17)+1))</f>
        <v/>
      </c>
    </row>
    <row r="1054" spans="1:17" x14ac:dyDescent="0.2">
      <c r="A1054" s="20" t="str">
        <f>IF(INDEX(Project_Tracker!$AL$2:$AL$101,INT((ROW()-6)/17)+1)="","",INDEX(Project_Tracker!$AL$2:$AL$101,INT((ROW()-6)/17)+1))</f>
        <v/>
      </c>
      <c r="B1054" s="21" t="str">
        <f>IF($A1054="","",INDEX(Project_Tracker!$AM$2:$AM$101,INT((ROW()-6)/17)+1))</f>
        <v/>
      </c>
      <c r="C1054" s="20" t="str">
        <f>IF($A1054="","",INDEX(Project_Tracker!$C$2:$C$101,INT((ROW()-6)/17)+1))</f>
        <v/>
      </c>
      <c r="D1054" s="6" t="str">
        <f>IF($A1054="","",INDEX(Project_Tracker!$T$2:$T$101,INT((ROW()-6)/17)+1))</f>
        <v/>
      </c>
      <c r="E1054" s="18">
        <f t="shared" si="80"/>
        <v>12</v>
      </c>
      <c r="F1054" s="23" t="str">
        <f>IF($A1054="","",INDEX('Logic &amp; Lists'!$I$4:$I$20,$E1054))</f>
        <v/>
      </c>
      <c r="G1054" s="18" t="str">
        <f>IF($A1054="","",INDEX('Logic &amp; Lists'!$J$4:$J$20,$E1054))</f>
        <v/>
      </c>
      <c r="H1054" s="6" t="str">
        <f t="shared" si="81"/>
        <v/>
      </c>
      <c r="I1054" s="18" t="str">
        <f t="shared" ca="1" si="82"/>
        <v/>
      </c>
      <c r="J1054" s="5" t="str">
        <f t="shared" si="83"/>
        <v/>
      </c>
      <c r="K1054" s="25"/>
      <c r="L1054" s="5" t="str">
        <f t="shared" si="84"/>
        <v/>
      </c>
      <c r="M1054" s="7"/>
      <c r="N1054" s="7"/>
      <c r="O1054" s="7"/>
      <c r="P1054" s="20" t="str">
        <f>IF($A1054="","",INDEX(Project_Tracker!$I$2:$I$101,INT((ROW()-6)/17)+1))</f>
        <v/>
      </c>
      <c r="Q1054" s="20" t="str">
        <f>IF($A1054="","",INDEX(Project_Tracker!$K$2:$K$101,INT((ROW()-6)/17)+1))</f>
        <v/>
      </c>
    </row>
    <row r="1055" spans="1:17" x14ac:dyDescent="0.2">
      <c r="A1055" s="20" t="str">
        <f>IF(INDEX(Project_Tracker!$AL$2:$AL$101,INT((ROW()-6)/17)+1)="","",INDEX(Project_Tracker!$AL$2:$AL$101,INT((ROW()-6)/17)+1))</f>
        <v/>
      </c>
      <c r="B1055" s="21" t="str">
        <f>IF($A1055="","",INDEX(Project_Tracker!$AM$2:$AM$101,INT((ROW()-6)/17)+1))</f>
        <v/>
      </c>
      <c r="C1055" s="20" t="str">
        <f>IF($A1055="","",INDEX(Project_Tracker!$C$2:$C$101,INT((ROW()-6)/17)+1))</f>
        <v/>
      </c>
      <c r="D1055" s="6" t="str">
        <f>IF($A1055="","",INDEX(Project_Tracker!$T$2:$T$101,INT((ROW()-6)/17)+1))</f>
        <v/>
      </c>
      <c r="E1055" s="18">
        <f t="shared" si="80"/>
        <v>13</v>
      </c>
      <c r="F1055" s="23" t="str">
        <f>IF($A1055="","",INDEX('Logic &amp; Lists'!$I$4:$I$20,$E1055))</f>
        <v/>
      </c>
      <c r="G1055" s="18" t="str">
        <f>IF($A1055="","",INDEX('Logic &amp; Lists'!$J$4:$J$20,$E1055))</f>
        <v/>
      </c>
      <c r="H1055" s="6" t="str">
        <f t="shared" si="81"/>
        <v/>
      </c>
      <c r="I1055" s="18" t="str">
        <f t="shared" ca="1" si="82"/>
        <v/>
      </c>
      <c r="J1055" s="5" t="str">
        <f t="shared" si="83"/>
        <v/>
      </c>
      <c r="K1055" s="25"/>
      <c r="L1055" s="5" t="str">
        <f t="shared" si="84"/>
        <v/>
      </c>
      <c r="M1055" s="7"/>
      <c r="N1055" s="7"/>
      <c r="O1055" s="7"/>
      <c r="P1055" s="20" t="str">
        <f>IF($A1055="","",INDEX(Project_Tracker!$I$2:$I$101,INT((ROW()-6)/17)+1))</f>
        <v/>
      </c>
      <c r="Q1055" s="20" t="str">
        <f>IF($A1055="","",INDEX(Project_Tracker!$K$2:$K$101,INT((ROW()-6)/17)+1))</f>
        <v/>
      </c>
    </row>
    <row r="1056" spans="1:17" x14ac:dyDescent="0.2">
      <c r="A1056" s="20" t="str">
        <f>IF(INDEX(Project_Tracker!$AL$2:$AL$101,INT((ROW()-6)/17)+1)="","",INDEX(Project_Tracker!$AL$2:$AL$101,INT((ROW()-6)/17)+1))</f>
        <v/>
      </c>
      <c r="B1056" s="21" t="str">
        <f>IF($A1056="","",INDEX(Project_Tracker!$AM$2:$AM$101,INT((ROW()-6)/17)+1))</f>
        <v/>
      </c>
      <c r="C1056" s="20" t="str">
        <f>IF($A1056="","",INDEX(Project_Tracker!$C$2:$C$101,INT((ROW()-6)/17)+1))</f>
        <v/>
      </c>
      <c r="D1056" s="6" t="str">
        <f>IF($A1056="","",INDEX(Project_Tracker!$T$2:$T$101,INT((ROW()-6)/17)+1))</f>
        <v/>
      </c>
      <c r="E1056" s="18">
        <f t="shared" si="80"/>
        <v>14</v>
      </c>
      <c r="F1056" s="23" t="str">
        <f>IF($A1056="","",INDEX('Logic &amp; Lists'!$I$4:$I$20,$E1056))</f>
        <v/>
      </c>
      <c r="G1056" s="18" t="str">
        <f>IF($A1056="","",INDEX('Logic &amp; Lists'!$J$4:$J$20,$E1056))</f>
        <v/>
      </c>
      <c r="H1056" s="6" t="str">
        <f t="shared" si="81"/>
        <v/>
      </c>
      <c r="I1056" s="18" t="str">
        <f t="shared" ca="1" si="82"/>
        <v/>
      </c>
      <c r="J1056" s="5" t="str">
        <f t="shared" si="83"/>
        <v/>
      </c>
      <c r="K1056" s="25"/>
      <c r="L1056" s="5" t="str">
        <f t="shared" si="84"/>
        <v/>
      </c>
      <c r="M1056" s="7"/>
      <c r="N1056" s="7"/>
      <c r="O1056" s="7"/>
      <c r="P1056" s="20" t="str">
        <f>IF($A1056="","",INDEX(Project_Tracker!$I$2:$I$101,INT((ROW()-6)/17)+1))</f>
        <v/>
      </c>
      <c r="Q1056" s="20" t="str">
        <f>IF($A1056="","",INDEX(Project_Tracker!$K$2:$K$101,INT((ROW()-6)/17)+1))</f>
        <v/>
      </c>
    </row>
    <row r="1057" spans="1:17" x14ac:dyDescent="0.2">
      <c r="A1057" s="20" t="str">
        <f>IF(INDEX(Project_Tracker!$AL$2:$AL$101,INT((ROW()-6)/17)+1)="","",INDEX(Project_Tracker!$AL$2:$AL$101,INT((ROW()-6)/17)+1))</f>
        <v/>
      </c>
      <c r="B1057" s="21" t="str">
        <f>IF($A1057="","",INDEX(Project_Tracker!$AM$2:$AM$101,INT((ROW()-6)/17)+1))</f>
        <v/>
      </c>
      <c r="C1057" s="20" t="str">
        <f>IF($A1057="","",INDEX(Project_Tracker!$C$2:$C$101,INT((ROW()-6)/17)+1))</f>
        <v/>
      </c>
      <c r="D1057" s="6" t="str">
        <f>IF($A1057="","",INDEX(Project_Tracker!$T$2:$T$101,INT((ROW()-6)/17)+1))</f>
        <v/>
      </c>
      <c r="E1057" s="18">
        <f t="shared" si="80"/>
        <v>15</v>
      </c>
      <c r="F1057" s="23" t="str">
        <f>IF($A1057="","",INDEX('Logic &amp; Lists'!$I$4:$I$20,$E1057))</f>
        <v/>
      </c>
      <c r="G1057" s="18" t="str">
        <f>IF($A1057="","",INDEX('Logic &amp; Lists'!$J$4:$J$20,$E1057))</f>
        <v/>
      </c>
      <c r="H1057" s="6" t="str">
        <f t="shared" si="81"/>
        <v/>
      </c>
      <c r="I1057" s="18" t="str">
        <f t="shared" ca="1" si="82"/>
        <v/>
      </c>
      <c r="J1057" s="5" t="str">
        <f t="shared" si="83"/>
        <v/>
      </c>
      <c r="K1057" s="25"/>
      <c r="L1057" s="5" t="str">
        <f t="shared" si="84"/>
        <v/>
      </c>
      <c r="M1057" s="7"/>
      <c r="N1057" s="7"/>
      <c r="O1057" s="7"/>
      <c r="P1057" s="20" t="str">
        <f>IF($A1057="","",INDEX(Project_Tracker!$I$2:$I$101,INT((ROW()-6)/17)+1))</f>
        <v/>
      </c>
      <c r="Q1057" s="20" t="str">
        <f>IF($A1057="","",INDEX(Project_Tracker!$K$2:$K$101,INT((ROW()-6)/17)+1))</f>
        <v/>
      </c>
    </row>
    <row r="1058" spans="1:17" x14ac:dyDescent="0.2">
      <c r="A1058" s="20" t="str">
        <f>IF(INDEX(Project_Tracker!$AL$2:$AL$101,INT((ROW()-6)/17)+1)="","",INDEX(Project_Tracker!$AL$2:$AL$101,INT((ROW()-6)/17)+1))</f>
        <v/>
      </c>
      <c r="B1058" s="21" t="str">
        <f>IF($A1058="","",INDEX(Project_Tracker!$AM$2:$AM$101,INT((ROW()-6)/17)+1))</f>
        <v/>
      </c>
      <c r="C1058" s="20" t="str">
        <f>IF($A1058="","",INDEX(Project_Tracker!$C$2:$C$101,INT((ROW()-6)/17)+1))</f>
        <v/>
      </c>
      <c r="D1058" s="6" t="str">
        <f>IF($A1058="","",INDEX(Project_Tracker!$T$2:$T$101,INT((ROW()-6)/17)+1))</f>
        <v/>
      </c>
      <c r="E1058" s="18">
        <f t="shared" si="80"/>
        <v>16</v>
      </c>
      <c r="F1058" s="23" t="str">
        <f>IF($A1058="","",INDEX('Logic &amp; Lists'!$I$4:$I$20,$E1058))</f>
        <v/>
      </c>
      <c r="G1058" s="18" t="str">
        <f>IF($A1058="","",INDEX('Logic &amp; Lists'!$J$4:$J$20,$E1058))</f>
        <v/>
      </c>
      <c r="H1058" s="6" t="str">
        <f t="shared" si="81"/>
        <v/>
      </c>
      <c r="I1058" s="18" t="str">
        <f t="shared" ca="1" si="82"/>
        <v/>
      </c>
      <c r="J1058" s="5" t="str">
        <f t="shared" si="83"/>
        <v/>
      </c>
      <c r="K1058" s="25"/>
      <c r="L1058" s="5" t="str">
        <f t="shared" si="84"/>
        <v/>
      </c>
      <c r="M1058" s="7"/>
      <c r="N1058" s="7"/>
      <c r="O1058" s="7"/>
      <c r="P1058" s="20" t="str">
        <f>IF($A1058="","",INDEX(Project_Tracker!$I$2:$I$101,INT((ROW()-6)/17)+1))</f>
        <v/>
      </c>
      <c r="Q1058" s="20" t="str">
        <f>IF($A1058="","",INDEX(Project_Tracker!$K$2:$K$101,INT((ROW()-6)/17)+1))</f>
        <v/>
      </c>
    </row>
    <row r="1059" spans="1:17" x14ac:dyDescent="0.2">
      <c r="A1059" s="20" t="str">
        <f>IF(INDEX(Project_Tracker!$AL$2:$AL$101,INT((ROW()-6)/17)+1)="","",INDEX(Project_Tracker!$AL$2:$AL$101,INT((ROW()-6)/17)+1))</f>
        <v/>
      </c>
      <c r="B1059" s="21" t="str">
        <f>IF($A1059="","",INDEX(Project_Tracker!$AM$2:$AM$101,INT((ROW()-6)/17)+1))</f>
        <v/>
      </c>
      <c r="C1059" s="20" t="str">
        <f>IF($A1059="","",INDEX(Project_Tracker!$C$2:$C$101,INT((ROW()-6)/17)+1))</f>
        <v/>
      </c>
      <c r="D1059" s="6" t="str">
        <f>IF($A1059="","",INDEX(Project_Tracker!$T$2:$T$101,INT((ROW()-6)/17)+1))</f>
        <v/>
      </c>
      <c r="E1059" s="18">
        <f t="shared" si="80"/>
        <v>17</v>
      </c>
      <c r="F1059" s="23" t="str">
        <f>IF($A1059="","",INDEX('Logic &amp; Lists'!$I$4:$I$20,$E1059))</f>
        <v/>
      </c>
      <c r="G1059" s="18" t="str">
        <f>IF($A1059="","",INDEX('Logic &amp; Lists'!$J$4:$J$20,$E1059))</f>
        <v/>
      </c>
      <c r="H1059" s="6" t="str">
        <f t="shared" si="81"/>
        <v/>
      </c>
      <c r="I1059" s="18" t="str">
        <f t="shared" ca="1" si="82"/>
        <v/>
      </c>
      <c r="J1059" s="5" t="str">
        <f t="shared" si="83"/>
        <v/>
      </c>
      <c r="K1059" s="25"/>
      <c r="L1059" s="5" t="str">
        <f t="shared" si="84"/>
        <v/>
      </c>
      <c r="M1059" s="7"/>
      <c r="N1059" s="7"/>
      <c r="O1059" s="7"/>
      <c r="P1059" s="20" t="str">
        <f>IF($A1059="","",INDEX(Project_Tracker!$I$2:$I$101,INT((ROW()-6)/17)+1))</f>
        <v/>
      </c>
      <c r="Q1059" s="20" t="str">
        <f>IF($A1059="","",INDEX(Project_Tracker!$K$2:$K$101,INT((ROW()-6)/17)+1))</f>
        <v/>
      </c>
    </row>
    <row r="1060" spans="1:17" x14ac:dyDescent="0.2">
      <c r="A1060" s="20" t="str">
        <f>IF(INDEX(Project_Tracker!$AL$2:$AL$101,INT((ROW()-6)/17)+1)="","",INDEX(Project_Tracker!$AL$2:$AL$101,INT((ROW()-6)/17)+1))</f>
        <v/>
      </c>
      <c r="B1060" s="21" t="str">
        <f>IF($A1060="","",INDEX(Project_Tracker!$AM$2:$AM$101,INT((ROW()-6)/17)+1))</f>
        <v/>
      </c>
      <c r="C1060" s="20" t="str">
        <f>IF($A1060="","",INDEX(Project_Tracker!$C$2:$C$101,INT((ROW()-6)/17)+1))</f>
        <v/>
      </c>
      <c r="D1060" s="6" t="str">
        <f>IF($A1060="","",INDEX(Project_Tracker!$T$2:$T$101,INT((ROW()-6)/17)+1))</f>
        <v/>
      </c>
      <c r="E1060" s="18">
        <f t="shared" si="80"/>
        <v>1</v>
      </c>
      <c r="F1060" s="23" t="str">
        <f>IF($A1060="","",INDEX('Logic &amp; Lists'!$I$4:$I$20,$E1060))</f>
        <v/>
      </c>
      <c r="G1060" s="18" t="str">
        <f>IF($A1060="","",INDEX('Logic &amp; Lists'!$J$4:$J$20,$E1060))</f>
        <v/>
      </c>
      <c r="H1060" s="6" t="str">
        <f t="shared" si="81"/>
        <v/>
      </c>
      <c r="I1060" s="18" t="str">
        <f t="shared" ca="1" si="82"/>
        <v/>
      </c>
      <c r="J1060" s="5" t="str">
        <f t="shared" si="83"/>
        <v/>
      </c>
      <c r="K1060" s="25"/>
      <c r="L1060" s="5" t="str">
        <f t="shared" si="84"/>
        <v/>
      </c>
      <c r="M1060" s="7"/>
      <c r="N1060" s="7"/>
      <c r="O1060" s="7"/>
      <c r="P1060" s="20" t="str">
        <f>IF($A1060="","",INDEX(Project_Tracker!$I$2:$I$101,INT((ROW()-6)/17)+1))</f>
        <v/>
      </c>
      <c r="Q1060" s="20" t="str">
        <f>IF($A1060="","",INDEX(Project_Tracker!$K$2:$K$101,INT((ROW()-6)/17)+1))</f>
        <v/>
      </c>
    </row>
    <row r="1061" spans="1:17" x14ac:dyDescent="0.2">
      <c r="A1061" s="20" t="str">
        <f>IF(INDEX(Project_Tracker!$AL$2:$AL$101,INT((ROW()-6)/17)+1)="","",INDEX(Project_Tracker!$AL$2:$AL$101,INT((ROW()-6)/17)+1))</f>
        <v/>
      </c>
      <c r="B1061" s="21" t="str">
        <f>IF($A1061="","",INDEX(Project_Tracker!$AM$2:$AM$101,INT((ROW()-6)/17)+1))</f>
        <v/>
      </c>
      <c r="C1061" s="20" t="str">
        <f>IF($A1061="","",INDEX(Project_Tracker!$C$2:$C$101,INT((ROW()-6)/17)+1))</f>
        <v/>
      </c>
      <c r="D1061" s="6" t="str">
        <f>IF($A1061="","",INDEX(Project_Tracker!$T$2:$T$101,INT((ROW()-6)/17)+1))</f>
        <v/>
      </c>
      <c r="E1061" s="18">
        <f t="shared" si="80"/>
        <v>2</v>
      </c>
      <c r="F1061" s="23" t="str">
        <f>IF($A1061="","",INDEX('Logic &amp; Lists'!$I$4:$I$20,$E1061))</f>
        <v/>
      </c>
      <c r="G1061" s="18" t="str">
        <f>IF($A1061="","",INDEX('Logic &amp; Lists'!$J$4:$J$20,$E1061))</f>
        <v/>
      </c>
      <c r="H1061" s="6" t="str">
        <f t="shared" si="81"/>
        <v/>
      </c>
      <c r="I1061" s="18" t="str">
        <f t="shared" ca="1" si="82"/>
        <v/>
      </c>
      <c r="J1061" s="5" t="str">
        <f t="shared" si="83"/>
        <v/>
      </c>
      <c r="K1061" s="25"/>
      <c r="L1061" s="5" t="str">
        <f t="shared" si="84"/>
        <v/>
      </c>
      <c r="M1061" s="7"/>
      <c r="N1061" s="7"/>
      <c r="O1061" s="7"/>
      <c r="P1061" s="20" t="str">
        <f>IF($A1061="","",INDEX(Project_Tracker!$I$2:$I$101,INT((ROW()-6)/17)+1))</f>
        <v/>
      </c>
      <c r="Q1061" s="20" t="str">
        <f>IF($A1061="","",INDEX(Project_Tracker!$K$2:$K$101,INT((ROW()-6)/17)+1))</f>
        <v/>
      </c>
    </row>
    <row r="1062" spans="1:17" x14ac:dyDescent="0.2">
      <c r="A1062" s="20" t="str">
        <f>IF(INDEX(Project_Tracker!$AL$2:$AL$101,INT((ROW()-6)/17)+1)="","",INDEX(Project_Tracker!$AL$2:$AL$101,INT((ROW()-6)/17)+1))</f>
        <v/>
      </c>
      <c r="B1062" s="21" t="str">
        <f>IF($A1062="","",INDEX(Project_Tracker!$AM$2:$AM$101,INT((ROW()-6)/17)+1))</f>
        <v/>
      </c>
      <c r="C1062" s="20" t="str">
        <f>IF($A1062="","",INDEX(Project_Tracker!$C$2:$C$101,INT((ROW()-6)/17)+1))</f>
        <v/>
      </c>
      <c r="D1062" s="6" t="str">
        <f>IF($A1062="","",INDEX(Project_Tracker!$T$2:$T$101,INT((ROW()-6)/17)+1))</f>
        <v/>
      </c>
      <c r="E1062" s="18">
        <f t="shared" si="80"/>
        <v>3</v>
      </c>
      <c r="F1062" s="23" t="str">
        <f>IF($A1062="","",INDEX('Logic &amp; Lists'!$I$4:$I$20,$E1062))</f>
        <v/>
      </c>
      <c r="G1062" s="18" t="str">
        <f>IF($A1062="","",INDEX('Logic &amp; Lists'!$J$4:$J$20,$E1062))</f>
        <v/>
      </c>
      <c r="H1062" s="6" t="str">
        <f t="shared" si="81"/>
        <v/>
      </c>
      <c r="I1062" s="18" t="str">
        <f t="shared" ca="1" si="82"/>
        <v/>
      </c>
      <c r="J1062" s="5" t="str">
        <f t="shared" si="83"/>
        <v/>
      </c>
      <c r="K1062" s="25"/>
      <c r="L1062" s="5" t="str">
        <f t="shared" si="84"/>
        <v/>
      </c>
      <c r="M1062" s="7"/>
      <c r="N1062" s="7"/>
      <c r="O1062" s="7"/>
      <c r="P1062" s="20" t="str">
        <f>IF($A1062="","",INDEX(Project_Tracker!$I$2:$I$101,INT((ROW()-6)/17)+1))</f>
        <v/>
      </c>
      <c r="Q1062" s="20" t="str">
        <f>IF($A1062="","",INDEX(Project_Tracker!$K$2:$K$101,INT((ROW()-6)/17)+1))</f>
        <v/>
      </c>
    </row>
    <row r="1063" spans="1:17" x14ac:dyDescent="0.2">
      <c r="A1063" s="20" t="str">
        <f>IF(INDEX(Project_Tracker!$AL$2:$AL$101,INT((ROW()-6)/17)+1)="","",INDEX(Project_Tracker!$AL$2:$AL$101,INT((ROW()-6)/17)+1))</f>
        <v/>
      </c>
      <c r="B1063" s="21" t="str">
        <f>IF($A1063="","",INDEX(Project_Tracker!$AM$2:$AM$101,INT((ROW()-6)/17)+1))</f>
        <v/>
      </c>
      <c r="C1063" s="20" t="str">
        <f>IF($A1063="","",INDEX(Project_Tracker!$C$2:$C$101,INT((ROW()-6)/17)+1))</f>
        <v/>
      </c>
      <c r="D1063" s="6" t="str">
        <f>IF($A1063="","",INDEX(Project_Tracker!$T$2:$T$101,INT((ROW()-6)/17)+1))</f>
        <v/>
      </c>
      <c r="E1063" s="18">
        <f t="shared" si="80"/>
        <v>4</v>
      </c>
      <c r="F1063" s="23" t="str">
        <f>IF($A1063="","",INDEX('Logic &amp; Lists'!$I$4:$I$20,$E1063))</f>
        <v/>
      </c>
      <c r="G1063" s="18" t="str">
        <f>IF($A1063="","",INDEX('Logic &amp; Lists'!$J$4:$J$20,$E1063))</f>
        <v/>
      </c>
      <c r="H1063" s="6" t="str">
        <f t="shared" si="81"/>
        <v/>
      </c>
      <c r="I1063" s="18" t="str">
        <f t="shared" ca="1" si="82"/>
        <v/>
      </c>
      <c r="J1063" s="5" t="str">
        <f t="shared" si="83"/>
        <v/>
      </c>
      <c r="K1063" s="25"/>
      <c r="L1063" s="5" t="str">
        <f t="shared" si="84"/>
        <v/>
      </c>
      <c r="M1063" s="7"/>
      <c r="N1063" s="7"/>
      <c r="O1063" s="7"/>
      <c r="P1063" s="20" t="str">
        <f>IF($A1063="","",INDEX(Project_Tracker!$I$2:$I$101,INT((ROW()-6)/17)+1))</f>
        <v/>
      </c>
      <c r="Q1063" s="20" t="str">
        <f>IF($A1063="","",INDEX(Project_Tracker!$K$2:$K$101,INT((ROW()-6)/17)+1))</f>
        <v/>
      </c>
    </row>
    <row r="1064" spans="1:17" x14ac:dyDescent="0.2">
      <c r="A1064" s="20" t="str">
        <f>IF(INDEX(Project_Tracker!$AL$2:$AL$101,INT((ROW()-6)/17)+1)="","",INDEX(Project_Tracker!$AL$2:$AL$101,INT((ROW()-6)/17)+1))</f>
        <v/>
      </c>
      <c r="B1064" s="21" t="str">
        <f>IF($A1064="","",INDEX(Project_Tracker!$AM$2:$AM$101,INT((ROW()-6)/17)+1))</f>
        <v/>
      </c>
      <c r="C1064" s="20" t="str">
        <f>IF($A1064="","",INDEX(Project_Tracker!$C$2:$C$101,INT((ROW()-6)/17)+1))</f>
        <v/>
      </c>
      <c r="D1064" s="6" t="str">
        <f>IF($A1064="","",INDEX(Project_Tracker!$T$2:$T$101,INT((ROW()-6)/17)+1))</f>
        <v/>
      </c>
      <c r="E1064" s="18">
        <f t="shared" si="80"/>
        <v>5</v>
      </c>
      <c r="F1064" s="23" t="str">
        <f>IF($A1064="","",INDEX('Logic &amp; Lists'!$I$4:$I$20,$E1064))</f>
        <v/>
      </c>
      <c r="G1064" s="18" t="str">
        <f>IF($A1064="","",INDEX('Logic &amp; Lists'!$J$4:$J$20,$E1064))</f>
        <v/>
      </c>
      <c r="H1064" s="6" t="str">
        <f t="shared" si="81"/>
        <v/>
      </c>
      <c r="I1064" s="18" t="str">
        <f t="shared" ca="1" si="82"/>
        <v/>
      </c>
      <c r="J1064" s="5" t="str">
        <f t="shared" si="83"/>
        <v/>
      </c>
      <c r="K1064" s="25"/>
      <c r="L1064" s="5" t="str">
        <f t="shared" si="84"/>
        <v/>
      </c>
      <c r="M1064" s="7"/>
      <c r="N1064" s="7"/>
      <c r="O1064" s="7"/>
      <c r="P1064" s="20" t="str">
        <f>IF($A1064="","",INDEX(Project_Tracker!$I$2:$I$101,INT((ROW()-6)/17)+1))</f>
        <v/>
      </c>
      <c r="Q1064" s="20" t="str">
        <f>IF($A1064="","",INDEX(Project_Tracker!$K$2:$K$101,INT((ROW()-6)/17)+1))</f>
        <v/>
      </c>
    </row>
    <row r="1065" spans="1:17" x14ac:dyDescent="0.2">
      <c r="A1065" s="20" t="str">
        <f>IF(INDEX(Project_Tracker!$AL$2:$AL$101,INT((ROW()-6)/17)+1)="","",INDEX(Project_Tracker!$AL$2:$AL$101,INT((ROW()-6)/17)+1))</f>
        <v/>
      </c>
      <c r="B1065" s="21" t="str">
        <f>IF($A1065="","",INDEX(Project_Tracker!$AM$2:$AM$101,INT((ROW()-6)/17)+1))</f>
        <v/>
      </c>
      <c r="C1065" s="20" t="str">
        <f>IF($A1065="","",INDEX(Project_Tracker!$C$2:$C$101,INT((ROW()-6)/17)+1))</f>
        <v/>
      </c>
      <c r="D1065" s="6" t="str">
        <f>IF($A1065="","",INDEX(Project_Tracker!$T$2:$T$101,INT((ROW()-6)/17)+1))</f>
        <v/>
      </c>
      <c r="E1065" s="18">
        <f t="shared" si="80"/>
        <v>6</v>
      </c>
      <c r="F1065" s="23" t="str">
        <f>IF($A1065="","",INDEX('Logic &amp; Lists'!$I$4:$I$20,$E1065))</f>
        <v/>
      </c>
      <c r="G1065" s="18" t="str">
        <f>IF($A1065="","",INDEX('Logic &amp; Lists'!$J$4:$J$20,$E1065))</f>
        <v/>
      </c>
      <c r="H1065" s="6" t="str">
        <f t="shared" si="81"/>
        <v/>
      </c>
      <c r="I1065" s="18" t="str">
        <f t="shared" ca="1" si="82"/>
        <v/>
      </c>
      <c r="J1065" s="5" t="str">
        <f t="shared" si="83"/>
        <v/>
      </c>
      <c r="K1065" s="25"/>
      <c r="L1065" s="5" t="str">
        <f t="shared" si="84"/>
        <v/>
      </c>
      <c r="M1065" s="7"/>
      <c r="N1065" s="7"/>
      <c r="O1065" s="7"/>
      <c r="P1065" s="20" t="str">
        <f>IF($A1065="","",INDEX(Project_Tracker!$I$2:$I$101,INT((ROW()-6)/17)+1))</f>
        <v/>
      </c>
      <c r="Q1065" s="20" t="str">
        <f>IF($A1065="","",INDEX(Project_Tracker!$K$2:$K$101,INT((ROW()-6)/17)+1))</f>
        <v/>
      </c>
    </row>
    <row r="1066" spans="1:17" x14ac:dyDescent="0.2">
      <c r="A1066" s="20" t="str">
        <f>IF(INDEX(Project_Tracker!$AL$2:$AL$101,INT((ROW()-6)/17)+1)="","",INDEX(Project_Tracker!$AL$2:$AL$101,INT((ROW()-6)/17)+1))</f>
        <v/>
      </c>
      <c r="B1066" s="21" t="str">
        <f>IF($A1066="","",INDEX(Project_Tracker!$AM$2:$AM$101,INT((ROW()-6)/17)+1))</f>
        <v/>
      </c>
      <c r="C1066" s="20" t="str">
        <f>IF($A1066="","",INDEX(Project_Tracker!$C$2:$C$101,INT((ROW()-6)/17)+1))</f>
        <v/>
      </c>
      <c r="D1066" s="6" t="str">
        <f>IF($A1066="","",INDEX(Project_Tracker!$T$2:$T$101,INT((ROW()-6)/17)+1))</f>
        <v/>
      </c>
      <c r="E1066" s="18">
        <f t="shared" si="80"/>
        <v>7</v>
      </c>
      <c r="F1066" s="23" t="str">
        <f>IF($A1066="","",INDEX('Logic &amp; Lists'!$I$4:$I$20,$E1066))</f>
        <v/>
      </c>
      <c r="G1066" s="18" t="str">
        <f>IF($A1066="","",INDEX('Logic &amp; Lists'!$J$4:$J$20,$E1066))</f>
        <v/>
      </c>
      <c r="H1066" s="6" t="str">
        <f t="shared" si="81"/>
        <v/>
      </c>
      <c r="I1066" s="18" t="str">
        <f t="shared" ca="1" si="82"/>
        <v/>
      </c>
      <c r="J1066" s="5" t="str">
        <f t="shared" si="83"/>
        <v/>
      </c>
      <c r="K1066" s="25"/>
      <c r="L1066" s="5" t="str">
        <f t="shared" si="84"/>
        <v/>
      </c>
      <c r="M1066" s="7"/>
      <c r="N1066" s="7"/>
      <c r="O1066" s="7"/>
      <c r="P1066" s="20" t="str">
        <f>IF($A1066="","",INDEX(Project_Tracker!$I$2:$I$101,INT((ROW()-6)/17)+1))</f>
        <v/>
      </c>
      <c r="Q1066" s="20" t="str">
        <f>IF($A1066="","",INDEX(Project_Tracker!$K$2:$K$101,INT((ROW()-6)/17)+1))</f>
        <v/>
      </c>
    </row>
    <row r="1067" spans="1:17" x14ac:dyDescent="0.2">
      <c r="A1067" s="20" t="str">
        <f>IF(INDEX(Project_Tracker!$AL$2:$AL$101,INT((ROW()-6)/17)+1)="","",INDEX(Project_Tracker!$AL$2:$AL$101,INT((ROW()-6)/17)+1))</f>
        <v/>
      </c>
      <c r="B1067" s="21" t="str">
        <f>IF($A1067="","",INDEX(Project_Tracker!$AM$2:$AM$101,INT((ROW()-6)/17)+1))</f>
        <v/>
      </c>
      <c r="C1067" s="20" t="str">
        <f>IF($A1067="","",INDEX(Project_Tracker!$C$2:$C$101,INT((ROW()-6)/17)+1))</f>
        <v/>
      </c>
      <c r="D1067" s="6" t="str">
        <f>IF($A1067="","",INDEX(Project_Tracker!$T$2:$T$101,INT((ROW()-6)/17)+1))</f>
        <v/>
      </c>
      <c r="E1067" s="18">
        <f t="shared" si="80"/>
        <v>8</v>
      </c>
      <c r="F1067" s="23" t="str">
        <f>IF($A1067="","",INDEX('Logic &amp; Lists'!$I$4:$I$20,$E1067))</f>
        <v/>
      </c>
      <c r="G1067" s="18" t="str">
        <f>IF($A1067="","",INDEX('Logic &amp; Lists'!$J$4:$J$20,$E1067))</f>
        <v/>
      </c>
      <c r="H1067" s="6" t="str">
        <f t="shared" si="81"/>
        <v/>
      </c>
      <c r="I1067" s="18" t="str">
        <f t="shared" ca="1" si="82"/>
        <v/>
      </c>
      <c r="J1067" s="5" t="str">
        <f t="shared" si="83"/>
        <v/>
      </c>
      <c r="K1067" s="25"/>
      <c r="L1067" s="5" t="str">
        <f t="shared" si="84"/>
        <v/>
      </c>
      <c r="M1067" s="7"/>
      <c r="N1067" s="7"/>
      <c r="O1067" s="7"/>
      <c r="P1067" s="20" t="str">
        <f>IF($A1067="","",INDEX(Project_Tracker!$I$2:$I$101,INT((ROW()-6)/17)+1))</f>
        <v/>
      </c>
      <c r="Q1067" s="20" t="str">
        <f>IF($A1067="","",INDEX(Project_Tracker!$K$2:$K$101,INT((ROW()-6)/17)+1))</f>
        <v/>
      </c>
    </row>
    <row r="1068" spans="1:17" x14ac:dyDescent="0.2">
      <c r="A1068" s="20" t="str">
        <f>IF(INDEX(Project_Tracker!$AL$2:$AL$101,INT((ROW()-6)/17)+1)="","",INDEX(Project_Tracker!$AL$2:$AL$101,INT((ROW()-6)/17)+1))</f>
        <v/>
      </c>
      <c r="B1068" s="21" t="str">
        <f>IF($A1068="","",INDEX(Project_Tracker!$AM$2:$AM$101,INT((ROW()-6)/17)+1))</f>
        <v/>
      </c>
      <c r="C1068" s="20" t="str">
        <f>IF($A1068="","",INDEX(Project_Tracker!$C$2:$C$101,INT((ROW()-6)/17)+1))</f>
        <v/>
      </c>
      <c r="D1068" s="6" t="str">
        <f>IF($A1068="","",INDEX(Project_Tracker!$T$2:$T$101,INT((ROW()-6)/17)+1))</f>
        <v/>
      </c>
      <c r="E1068" s="18">
        <f t="shared" si="80"/>
        <v>9</v>
      </c>
      <c r="F1068" s="23" t="str">
        <f>IF($A1068="","",INDEX('Logic &amp; Lists'!$I$4:$I$20,$E1068))</f>
        <v/>
      </c>
      <c r="G1068" s="18" t="str">
        <f>IF($A1068="","",INDEX('Logic &amp; Lists'!$J$4:$J$20,$E1068))</f>
        <v/>
      </c>
      <c r="H1068" s="6" t="str">
        <f t="shared" si="81"/>
        <v/>
      </c>
      <c r="I1068" s="18" t="str">
        <f t="shared" ca="1" si="82"/>
        <v/>
      </c>
      <c r="J1068" s="5" t="str">
        <f t="shared" si="83"/>
        <v/>
      </c>
      <c r="K1068" s="25"/>
      <c r="L1068" s="5" t="str">
        <f t="shared" si="84"/>
        <v/>
      </c>
      <c r="M1068" s="7"/>
      <c r="N1068" s="7"/>
      <c r="O1068" s="7"/>
      <c r="P1068" s="20" t="str">
        <f>IF($A1068="","",INDEX(Project_Tracker!$I$2:$I$101,INT((ROW()-6)/17)+1))</f>
        <v/>
      </c>
      <c r="Q1068" s="20" t="str">
        <f>IF($A1068="","",INDEX(Project_Tracker!$K$2:$K$101,INT((ROW()-6)/17)+1))</f>
        <v/>
      </c>
    </row>
    <row r="1069" spans="1:17" x14ac:dyDescent="0.2">
      <c r="A1069" s="20" t="str">
        <f>IF(INDEX(Project_Tracker!$AL$2:$AL$101,INT((ROW()-6)/17)+1)="","",INDEX(Project_Tracker!$AL$2:$AL$101,INT((ROW()-6)/17)+1))</f>
        <v/>
      </c>
      <c r="B1069" s="21" t="str">
        <f>IF($A1069="","",INDEX(Project_Tracker!$AM$2:$AM$101,INT((ROW()-6)/17)+1))</f>
        <v/>
      </c>
      <c r="C1069" s="20" t="str">
        <f>IF($A1069="","",INDEX(Project_Tracker!$C$2:$C$101,INT((ROW()-6)/17)+1))</f>
        <v/>
      </c>
      <c r="D1069" s="6" t="str">
        <f>IF($A1069="","",INDEX(Project_Tracker!$T$2:$T$101,INT((ROW()-6)/17)+1))</f>
        <v/>
      </c>
      <c r="E1069" s="18">
        <f t="shared" si="80"/>
        <v>10</v>
      </c>
      <c r="F1069" s="23" t="str">
        <f>IF($A1069="","",INDEX('Logic &amp; Lists'!$I$4:$I$20,$E1069))</f>
        <v/>
      </c>
      <c r="G1069" s="18" t="str">
        <f>IF($A1069="","",INDEX('Logic &amp; Lists'!$J$4:$J$20,$E1069))</f>
        <v/>
      </c>
      <c r="H1069" s="6" t="str">
        <f t="shared" si="81"/>
        <v/>
      </c>
      <c r="I1069" s="18" t="str">
        <f t="shared" ca="1" si="82"/>
        <v/>
      </c>
      <c r="J1069" s="5" t="str">
        <f t="shared" si="83"/>
        <v/>
      </c>
      <c r="K1069" s="25"/>
      <c r="L1069" s="5" t="str">
        <f t="shared" si="84"/>
        <v/>
      </c>
      <c r="M1069" s="7"/>
      <c r="N1069" s="7"/>
      <c r="O1069" s="7"/>
      <c r="P1069" s="20" t="str">
        <f>IF($A1069="","",INDEX(Project_Tracker!$I$2:$I$101,INT((ROW()-6)/17)+1))</f>
        <v/>
      </c>
      <c r="Q1069" s="20" t="str">
        <f>IF($A1069="","",INDEX(Project_Tracker!$K$2:$K$101,INT((ROW()-6)/17)+1))</f>
        <v/>
      </c>
    </row>
    <row r="1070" spans="1:17" x14ac:dyDescent="0.2">
      <c r="A1070" s="20" t="str">
        <f>IF(INDEX(Project_Tracker!$AL$2:$AL$101,INT((ROW()-6)/17)+1)="","",INDEX(Project_Tracker!$AL$2:$AL$101,INT((ROW()-6)/17)+1))</f>
        <v/>
      </c>
      <c r="B1070" s="21" t="str">
        <f>IF($A1070="","",INDEX(Project_Tracker!$AM$2:$AM$101,INT((ROW()-6)/17)+1))</f>
        <v/>
      </c>
      <c r="C1070" s="20" t="str">
        <f>IF($A1070="","",INDEX(Project_Tracker!$C$2:$C$101,INT((ROW()-6)/17)+1))</f>
        <v/>
      </c>
      <c r="D1070" s="6" t="str">
        <f>IF($A1070="","",INDEX(Project_Tracker!$T$2:$T$101,INT((ROW()-6)/17)+1))</f>
        <v/>
      </c>
      <c r="E1070" s="18">
        <f t="shared" si="80"/>
        <v>11</v>
      </c>
      <c r="F1070" s="23" t="str">
        <f>IF($A1070="","",INDEX('Logic &amp; Lists'!$I$4:$I$20,$E1070))</f>
        <v/>
      </c>
      <c r="G1070" s="18" t="str">
        <f>IF($A1070="","",INDEX('Logic &amp; Lists'!$J$4:$J$20,$E1070))</f>
        <v/>
      </c>
      <c r="H1070" s="6" t="str">
        <f t="shared" si="81"/>
        <v/>
      </c>
      <c r="I1070" s="18" t="str">
        <f t="shared" ca="1" si="82"/>
        <v/>
      </c>
      <c r="J1070" s="5" t="str">
        <f t="shared" si="83"/>
        <v/>
      </c>
      <c r="K1070" s="25"/>
      <c r="L1070" s="5" t="str">
        <f t="shared" si="84"/>
        <v/>
      </c>
      <c r="M1070" s="7"/>
      <c r="N1070" s="7"/>
      <c r="O1070" s="7"/>
      <c r="P1070" s="20" t="str">
        <f>IF($A1070="","",INDEX(Project_Tracker!$I$2:$I$101,INT((ROW()-6)/17)+1))</f>
        <v/>
      </c>
      <c r="Q1070" s="20" t="str">
        <f>IF($A1070="","",INDEX(Project_Tracker!$K$2:$K$101,INT((ROW()-6)/17)+1))</f>
        <v/>
      </c>
    </row>
    <row r="1071" spans="1:17" x14ac:dyDescent="0.2">
      <c r="A1071" s="20" t="str">
        <f>IF(INDEX(Project_Tracker!$AL$2:$AL$101,INT((ROW()-6)/17)+1)="","",INDEX(Project_Tracker!$AL$2:$AL$101,INT((ROW()-6)/17)+1))</f>
        <v/>
      </c>
      <c r="B1071" s="21" t="str">
        <f>IF($A1071="","",INDEX(Project_Tracker!$AM$2:$AM$101,INT((ROW()-6)/17)+1))</f>
        <v/>
      </c>
      <c r="C1071" s="20" t="str">
        <f>IF($A1071="","",INDEX(Project_Tracker!$C$2:$C$101,INT((ROW()-6)/17)+1))</f>
        <v/>
      </c>
      <c r="D1071" s="6" t="str">
        <f>IF($A1071="","",INDEX(Project_Tracker!$T$2:$T$101,INT((ROW()-6)/17)+1))</f>
        <v/>
      </c>
      <c r="E1071" s="18">
        <f t="shared" si="80"/>
        <v>12</v>
      </c>
      <c r="F1071" s="23" t="str">
        <f>IF($A1071="","",INDEX('Logic &amp; Lists'!$I$4:$I$20,$E1071))</f>
        <v/>
      </c>
      <c r="G1071" s="18" t="str">
        <f>IF($A1071="","",INDEX('Logic &amp; Lists'!$J$4:$J$20,$E1071))</f>
        <v/>
      </c>
      <c r="H1071" s="6" t="str">
        <f t="shared" si="81"/>
        <v/>
      </c>
      <c r="I1071" s="18" t="str">
        <f t="shared" ca="1" si="82"/>
        <v/>
      </c>
      <c r="J1071" s="5" t="str">
        <f t="shared" si="83"/>
        <v/>
      </c>
      <c r="K1071" s="25"/>
      <c r="L1071" s="5" t="str">
        <f t="shared" si="84"/>
        <v/>
      </c>
      <c r="M1071" s="7"/>
      <c r="N1071" s="7"/>
      <c r="O1071" s="7"/>
      <c r="P1071" s="20" t="str">
        <f>IF($A1071="","",INDEX(Project_Tracker!$I$2:$I$101,INT((ROW()-6)/17)+1))</f>
        <v/>
      </c>
      <c r="Q1071" s="20" t="str">
        <f>IF($A1071="","",INDEX(Project_Tracker!$K$2:$K$101,INT((ROW()-6)/17)+1))</f>
        <v/>
      </c>
    </row>
    <row r="1072" spans="1:17" x14ac:dyDescent="0.2">
      <c r="A1072" s="20" t="str">
        <f>IF(INDEX(Project_Tracker!$AL$2:$AL$101,INT((ROW()-6)/17)+1)="","",INDEX(Project_Tracker!$AL$2:$AL$101,INT((ROW()-6)/17)+1))</f>
        <v/>
      </c>
      <c r="B1072" s="21" t="str">
        <f>IF($A1072="","",INDEX(Project_Tracker!$AM$2:$AM$101,INT((ROW()-6)/17)+1))</f>
        <v/>
      </c>
      <c r="C1072" s="20" t="str">
        <f>IF($A1072="","",INDEX(Project_Tracker!$C$2:$C$101,INT((ROW()-6)/17)+1))</f>
        <v/>
      </c>
      <c r="D1072" s="6" t="str">
        <f>IF($A1072="","",INDEX(Project_Tracker!$T$2:$T$101,INT((ROW()-6)/17)+1))</f>
        <v/>
      </c>
      <c r="E1072" s="18">
        <f t="shared" si="80"/>
        <v>13</v>
      </c>
      <c r="F1072" s="23" t="str">
        <f>IF($A1072="","",INDEX('Logic &amp; Lists'!$I$4:$I$20,$E1072))</f>
        <v/>
      </c>
      <c r="G1072" s="18" t="str">
        <f>IF($A1072="","",INDEX('Logic &amp; Lists'!$J$4:$J$20,$E1072))</f>
        <v/>
      </c>
      <c r="H1072" s="6" t="str">
        <f t="shared" si="81"/>
        <v/>
      </c>
      <c r="I1072" s="18" t="str">
        <f t="shared" ca="1" si="82"/>
        <v/>
      </c>
      <c r="J1072" s="5" t="str">
        <f t="shared" si="83"/>
        <v/>
      </c>
      <c r="K1072" s="25"/>
      <c r="L1072" s="5" t="str">
        <f t="shared" si="84"/>
        <v/>
      </c>
      <c r="M1072" s="7"/>
      <c r="N1072" s="7"/>
      <c r="O1072" s="7"/>
      <c r="P1072" s="20" t="str">
        <f>IF($A1072="","",INDEX(Project_Tracker!$I$2:$I$101,INT((ROW()-6)/17)+1))</f>
        <v/>
      </c>
      <c r="Q1072" s="20" t="str">
        <f>IF($A1072="","",INDEX(Project_Tracker!$K$2:$K$101,INT((ROW()-6)/17)+1))</f>
        <v/>
      </c>
    </row>
    <row r="1073" spans="1:17" x14ac:dyDescent="0.2">
      <c r="A1073" s="20" t="str">
        <f>IF(INDEX(Project_Tracker!$AL$2:$AL$101,INT((ROW()-6)/17)+1)="","",INDEX(Project_Tracker!$AL$2:$AL$101,INT((ROW()-6)/17)+1))</f>
        <v/>
      </c>
      <c r="B1073" s="21" t="str">
        <f>IF($A1073="","",INDEX(Project_Tracker!$AM$2:$AM$101,INT((ROW()-6)/17)+1))</f>
        <v/>
      </c>
      <c r="C1073" s="20" t="str">
        <f>IF($A1073="","",INDEX(Project_Tracker!$C$2:$C$101,INT((ROW()-6)/17)+1))</f>
        <v/>
      </c>
      <c r="D1073" s="6" t="str">
        <f>IF($A1073="","",INDEX(Project_Tracker!$T$2:$T$101,INT((ROW()-6)/17)+1))</f>
        <v/>
      </c>
      <c r="E1073" s="18">
        <f t="shared" si="80"/>
        <v>14</v>
      </c>
      <c r="F1073" s="23" t="str">
        <f>IF($A1073="","",INDEX('Logic &amp; Lists'!$I$4:$I$20,$E1073))</f>
        <v/>
      </c>
      <c r="G1073" s="18" t="str">
        <f>IF($A1073="","",INDEX('Logic &amp; Lists'!$J$4:$J$20,$E1073))</f>
        <v/>
      </c>
      <c r="H1073" s="6" t="str">
        <f t="shared" si="81"/>
        <v/>
      </c>
      <c r="I1073" s="18" t="str">
        <f t="shared" ca="1" si="82"/>
        <v/>
      </c>
      <c r="J1073" s="5" t="str">
        <f t="shared" si="83"/>
        <v/>
      </c>
      <c r="K1073" s="25"/>
      <c r="L1073" s="5" t="str">
        <f t="shared" si="84"/>
        <v/>
      </c>
      <c r="M1073" s="7"/>
      <c r="N1073" s="7"/>
      <c r="O1073" s="7"/>
      <c r="P1073" s="20" t="str">
        <f>IF($A1073="","",INDEX(Project_Tracker!$I$2:$I$101,INT((ROW()-6)/17)+1))</f>
        <v/>
      </c>
      <c r="Q1073" s="20" t="str">
        <f>IF($A1073="","",INDEX(Project_Tracker!$K$2:$K$101,INT((ROW()-6)/17)+1))</f>
        <v/>
      </c>
    </row>
    <row r="1074" spans="1:17" x14ac:dyDescent="0.2">
      <c r="A1074" s="20" t="str">
        <f>IF(INDEX(Project_Tracker!$AL$2:$AL$101,INT((ROW()-6)/17)+1)="","",INDEX(Project_Tracker!$AL$2:$AL$101,INT((ROW()-6)/17)+1))</f>
        <v/>
      </c>
      <c r="B1074" s="21" t="str">
        <f>IF($A1074="","",INDEX(Project_Tracker!$AM$2:$AM$101,INT((ROW()-6)/17)+1))</f>
        <v/>
      </c>
      <c r="C1074" s="20" t="str">
        <f>IF($A1074="","",INDEX(Project_Tracker!$C$2:$C$101,INT((ROW()-6)/17)+1))</f>
        <v/>
      </c>
      <c r="D1074" s="6" t="str">
        <f>IF($A1074="","",INDEX(Project_Tracker!$T$2:$T$101,INT((ROW()-6)/17)+1))</f>
        <v/>
      </c>
      <c r="E1074" s="18">
        <f t="shared" si="80"/>
        <v>15</v>
      </c>
      <c r="F1074" s="23" t="str">
        <f>IF($A1074="","",INDEX('Logic &amp; Lists'!$I$4:$I$20,$E1074))</f>
        <v/>
      </c>
      <c r="G1074" s="18" t="str">
        <f>IF($A1074="","",INDEX('Logic &amp; Lists'!$J$4:$J$20,$E1074))</f>
        <v/>
      </c>
      <c r="H1074" s="6" t="str">
        <f t="shared" si="81"/>
        <v/>
      </c>
      <c r="I1074" s="18" t="str">
        <f t="shared" ca="1" si="82"/>
        <v/>
      </c>
      <c r="J1074" s="5" t="str">
        <f t="shared" si="83"/>
        <v/>
      </c>
      <c r="K1074" s="25"/>
      <c r="L1074" s="5" t="str">
        <f t="shared" si="84"/>
        <v/>
      </c>
      <c r="M1074" s="7"/>
      <c r="N1074" s="7"/>
      <c r="O1074" s="7"/>
      <c r="P1074" s="20" t="str">
        <f>IF($A1074="","",INDEX(Project_Tracker!$I$2:$I$101,INT((ROW()-6)/17)+1))</f>
        <v/>
      </c>
      <c r="Q1074" s="20" t="str">
        <f>IF($A1074="","",INDEX(Project_Tracker!$K$2:$K$101,INT((ROW()-6)/17)+1))</f>
        <v/>
      </c>
    </row>
    <row r="1075" spans="1:17" x14ac:dyDescent="0.2">
      <c r="A1075" s="20" t="str">
        <f>IF(INDEX(Project_Tracker!$AL$2:$AL$101,INT((ROW()-6)/17)+1)="","",INDEX(Project_Tracker!$AL$2:$AL$101,INT((ROW()-6)/17)+1))</f>
        <v/>
      </c>
      <c r="B1075" s="21" t="str">
        <f>IF($A1075="","",INDEX(Project_Tracker!$AM$2:$AM$101,INT((ROW()-6)/17)+1))</f>
        <v/>
      </c>
      <c r="C1075" s="20" t="str">
        <f>IF($A1075="","",INDEX(Project_Tracker!$C$2:$C$101,INT((ROW()-6)/17)+1))</f>
        <v/>
      </c>
      <c r="D1075" s="6" t="str">
        <f>IF($A1075="","",INDEX(Project_Tracker!$T$2:$T$101,INT((ROW()-6)/17)+1))</f>
        <v/>
      </c>
      <c r="E1075" s="18">
        <f t="shared" si="80"/>
        <v>16</v>
      </c>
      <c r="F1075" s="23" t="str">
        <f>IF($A1075="","",INDEX('Logic &amp; Lists'!$I$4:$I$20,$E1075))</f>
        <v/>
      </c>
      <c r="G1075" s="18" t="str">
        <f>IF($A1075="","",INDEX('Logic &amp; Lists'!$J$4:$J$20,$E1075))</f>
        <v/>
      </c>
      <c r="H1075" s="6" t="str">
        <f t="shared" si="81"/>
        <v/>
      </c>
      <c r="I1075" s="18" t="str">
        <f t="shared" ca="1" si="82"/>
        <v/>
      </c>
      <c r="J1075" s="5" t="str">
        <f t="shared" si="83"/>
        <v/>
      </c>
      <c r="K1075" s="25"/>
      <c r="L1075" s="5" t="str">
        <f t="shared" si="84"/>
        <v/>
      </c>
      <c r="M1075" s="7"/>
      <c r="N1075" s="7"/>
      <c r="O1075" s="7"/>
      <c r="P1075" s="20" t="str">
        <f>IF($A1075="","",INDEX(Project_Tracker!$I$2:$I$101,INT((ROW()-6)/17)+1))</f>
        <v/>
      </c>
      <c r="Q1075" s="20" t="str">
        <f>IF($A1075="","",INDEX(Project_Tracker!$K$2:$K$101,INT((ROW()-6)/17)+1))</f>
        <v/>
      </c>
    </row>
    <row r="1076" spans="1:17" x14ac:dyDescent="0.2">
      <c r="A1076" s="20" t="str">
        <f>IF(INDEX(Project_Tracker!$AL$2:$AL$101,INT((ROW()-6)/17)+1)="","",INDEX(Project_Tracker!$AL$2:$AL$101,INT((ROW()-6)/17)+1))</f>
        <v/>
      </c>
      <c r="B1076" s="21" t="str">
        <f>IF($A1076="","",INDEX(Project_Tracker!$AM$2:$AM$101,INT((ROW()-6)/17)+1))</f>
        <v/>
      </c>
      <c r="C1076" s="20" t="str">
        <f>IF($A1076="","",INDEX(Project_Tracker!$C$2:$C$101,INT((ROW()-6)/17)+1))</f>
        <v/>
      </c>
      <c r="D1076" s="6" t="str">
        <f>IF($A1076="","",INDEX(Project_Tracker!$T$2:$T$101,INT((ROW()-6)/17)+1))</f>
        <v/>
      </c>
      <c r="E1076" s="18">
        <f t="shared" si="80"/>
        <v>17</v>
      </c>
      <c r="F1076" s="23" t="str">
        <f>IF($A1076="","",INDEX('Logic &amp; Lists'!$I$4:$I$20,$E1076))</f>
        <v/>
      </c>
      <c r="G1076" s="18" t="str">
        <f>IF($A1076="","",INDEX('Logic &amp; Lists'!$J$4:$J$20,$E1076))</f>
        <v/>
      </c>
      <c r="H1076" s="6" t="str">
        <f t="shared" si="81"/>
        <v/>
      </c>
      <c r="I1076" s="18" t="str">
        <f t="shared" ca="1" si="82"/>
        <v/>
      </c>
      <c r="J1076" s="5" t="str">
        <f t="shared" si="83"/>
        <v/>
      </c>
      <c r="K1076" s="25"/>
      <c r="L1076" s="5" t="str">
        <f t="shared" si="84"/>
        <v/>
      </c>
      <c r="M1076" s="7"/>
      <c r="N1076" s="7"/>
      <c r="O1076" s="7"/>
      <c r="P1076" s="20" t="str">
        <f>IF($A1076="","",INDEX(Project_Tracker!$I$2:$I$101,INT((ROW()-6)/17)+1))</f>
        <v/>
      </c>
      <c r="Q1076" s="20" t="str">
        <f>IF($A1076="","",INDEX(Project_Tracker!$K$2:$K$101,INT((ROW()-6)/17)+1))</f>
        <v/>
      </c>
    </row>
    <row r="1077" spans="1:17" x14ac:dyDescent="0.2">
      <c r="A1077" s="20" t="str">
        <f>IF(INDEX(Project_Tracker!$AL$2:$AL$101,INT((ROW()-6)/17)+1)="","",INDEX(Project_Tracker!$AL$2:$AL$101,INT((ROW()-6)/17)+1))</f>
        <v/>
      </c>
      <c r="B1077" s="21" t="str">
        <f>IF($A1077="","",INDEX(Project_Tracker!$AM$2:$AM$101,INT((ROW()-6)/17)+1))</f>
        <v/>
      </c>
      <c r="C1077" s="20" t="str">
        <f>IF($A1077="","",INDEX(Project_Tracker!$C$2:$C$101,INT((ROW()-6)/17)+1))</f>
        <v/>
      </c>
      <c r="D1077" s="6" t="str">
        <f>IF($A1077="","",INDEX(Project_Tracker!$T$2:$T$101,INT((ROW()-6)/17)+1))</f>
        <v/>
      </c>
      <c r="E1077" s="18">
        <f t="shared" si="80"/>
        <v>1</v>
      </c>
      <c r="F1077" s="23" t="str">
        <f>IF($A1077="","",INDEX('Logic &amp; Lists'!$I$4:$I$20,$E1077))</f>
        <v/>
      </c>
      <c r="G1077" s="18" t="str">
        <f>IF($A1077="","",INDEX('Logic &amp; Lists'!$J$4:$J$20,$E1077))</f>
        <v/>
      </c>
      <c r="H1077" s="6" t="str">
        <f t="shared" si="81"/>
        <v/>
      </c>
      <c r="I1077" s="18" t="str">
        <f t="shared" ca="1" si="82"/>
        <v/>
      </c>
      <c r="J1077" s="5" t="str">
        <f t="shared" si="83"/>
        <v/>
      </c>
      <c r="K1077" s="25"/>
      <c r="L1077" s="5" t="str">
        <f t="shared" si="84"/>
        <v/>
      </c>
      <c r="M1077" s="7"/>
      <c r="N1077" s="7"/>
      <c r="O1077" s="7"/>
      <c r="P1077" s="20" t="str">
        <f>IF($A1077="","",INDEX(Project_Tracker!$I$2:$I$101,INT((ROW()-6)/17)+1))</f>
        <v/>
      </c>
      <c r="Q1077" s="20" t="str">
        <f>IF($A1077="","",INDEX(Project_Tracker!$K$2:$K$101,INT((ROW()-6)/17)+1))</f>
        <v/>
      </c>
    </row>
    <row r="1078" spans="1:17" x14ac:dyDescent="0.2">
      <c r="A1078" s="20" t="str">
        <f>IF(INDEX(Project_Tracker!$AL$2:$AL$101,INT((ROW()-6)/17)+1)="","",INDEX(Project_Tracker!$AL$2:$AL$101,INT((ROW()-6)/17)+1))</f>
        <v/>
      </c>
      <c r="B1078" s="21" t="str">
        <f>IF($A1078="","",INDEX(Project_Tracker!$AM$2:$AM$101,INT((ROW()-6)/17)+1))</f>
        <v/>
      </c>
      <c r="C1078" s="20" t="str">
        <f>IF($A1078="","",INDEX(Project_Tracker!$C$2:$C$101,INT((ROW()-6)/17)+1))</f>
        <v/>
      </c>
      <c r="D1078" s="6" t="str">
        <f>IF($A1078="","",INDEX(Project_Tracker!$T$2:$T$101,INT((ROW()-6)/17)+1))</f>
        <v/>
      </c>
      <c r="E1078" s="18">
        <f t="shared" si="80"/>
        <v>2</v>
      </c>
      <c r="F1078" s="23" t="str">
        <f>IF($A1078="","",INDEX('Logic &amp; Lists'!$I$4:$I$20,$E1078))</f>
        <v/>
      </c>
      <c r="G1078" s="18" t="str">
        <f>IF($A1078="","",INDEX('Logic &amp; Lists'!$J$4:$J$20,$E1078))</f>
        <v/>
      </c>
      <c r="H1078" s="6" t="str">
        <f t="shared" si="81"/>
        <v/>
      </c>
      <c r="I1078" s="18" t="str">
        <f t="shared" ca="1" si="82"/>
        <v/>
      </c>
      <c r="J1078" s="5" t="str">
        <f t="shared" si="83"/>
        <v/>
      </c>
      <c r="K1078" s="25"/>
      <c r="L1078" s="5" t="str">
        <f t="shared" si="84"/>
        <v/>
      </c>
      <c r="M1078" s="7"/>
      <c r="N1078" s="7"/>
      <c r="O1078" s="7"/>
      <c r="P1078" s="20" t="str">
        <f>IF($A1078="","",INDEX(Project_Tracker!$I$2:$I$101,INT((ROW()-6)/17)+1))</f>
        <v/>
      </c>
      <c r="Q1078" s="20" t="str">
        <f>IF($A1078="","",INDEX(Project_Tracker!$K$2:$K$101,INT((ROW()-6)/17)+1))</f>
        <v/>
      </c>
    </row>
    <row r="1079" spans="1:17" x14ac:dyDescent="0.2">
      <c r="A1079" s="20" t="str">
        <f>IF(INDEX(Project_Tracker!$AL$2:$AL$101,INT((ROW()-6)/17)+1)="","",INDEX(Project_Tracker!$AL$2:$AL$101,INT((ROW()-6)/17)+1))</f>
        <v/>
      </c>
      <c r="B1079" s="21" t="str">
        <f>IF($A1079="","",INDEX(Project_Tracker!$AM$2:$AM$101,INT((ROW()-6)/17)+1))</f>
        <v/>
      </c>
      <c r="C1079" s="20" t="str">
        <f>IF($A1079="","",INDEX(Project_Tracker!$C$2:$C$101,INT((ROW()-6)/17)+1))</f>
        <v/>
      </c>
      <c r="D1079" s="6" t="str">
        <f>IF($A1079="","",INDEX(Project_Tracker!$T$2:$T$101,INT((ROW()-6)/17)+1))</f>
        <v/>
      </c>
      <c r="E1079" s="18">
        <f t="shared" si="80"/>
        <v>3</v>
      </c>
      <c r="F1079" s="23" t="str">
        <f>IF($A1079="","",INDEX('Logic &amp; Lists'!$I$4:$I$20,$E1079))</f>
        <v/>
      </c>
      <c r="G1079" s="18" t="str">
        <f>IF($A1079="","",INDEX('Logic &amp; Lists'!$J$4:$J$20,$E1079))</f>
        <v/>
      </c>
      <c r="H1079" s="6" t="str">
        <f t="shared" si="81"/>
        <v/>
      </c>
      <c r="I1079" s="18" t="str">
        <f t="shared" ca="1" si="82"/>
        <v/>
      </c>
      <c r="J1079" s="5" t="str">
        <f t="shared" si="83"/>
        <v/>
      </c>
      <c r="K1079" s="25"/>
      <c r="L1079" s="5" t="str">
        <f t="shared" si="84"/>
        <v/>
      </c>
      <c r="M1079" s="7"/>
      <c r="N1079" s="7"/>
      <c r="O1079" s="7"/>
      <c r="P1079" s="20" t="str">
        <f>IF($A1079="","",INDEX(Project_Tracker!$I$2:$I$101,INT((ROW()-6)/17)+1))</f>
        <v/>
      </c>
      <c r="Q1079" s="20" t="str">
        <f>IF($A1079="","",INDEX(Project_Tracker!$K$2:$K$101,INT((ROW()-6)/17)+1))</f>
        <v/>
      </c>
    </row>
    <row r="1080" spans="1:17" x14ac:dyDescent="0.2">
      <c r="A1080" s="20" t="str">
        <f>IF(INDEX(Project_Tracker!$AL$2:$AL$101,INT((ROW()-6)/17)+1)="","",INDEX(Project_Tracker!$AL$2:$AL$101,INT((ROW()-6)/17)+1))</f>
        <v/>
      </c>
      <c r="B1080" s="21" t="str">
        <f>IF($A1080="","",INDEX(Project_Tracker!$AM$2:$AM$101,INT((ROW()-6)/17)+1))</f>
        <v/>
      </c>
      <c r="C1080" s="20" t="str">
        <f>IF($A1080="","",INDEX(Project_Tracker!$C$2:$C$101,INT((ROW()-6)/17)+1))</f>
        <v/>
      </c>
      <c r="D1080" s="6" t="str">
        <f>IF($A1080="","",INDEX(Project_Tracker!$T$2:$T$101,INT((ROW()-6)/17)+1))</f>
        <v/>
      </c>
      <c r="E1080" s="18">
        <f t="shared" si="80"/>
        <v>4</v>
      </c>
      <c r="F1080" s="23" t="str">
        <f>IF($A1080="","",INDEX('Logic &amp; Lists'!$I$4:$I$20,$E1080))</f>
        <v/>
      </c>
      <c r="G1080" s="18" t="str">
        <f>IF($A1080="","",INDEX('Logic &amp; Lists'!$J$4:$J$20,$E1080))</f>
        <v/>
      </c>
      <c r="H1080" s="6" t="str">
        <f t="shared" si="81"/>
        <v/>
      </c>
      <c r="I1080" s="18" t="str">
        <f t="shared" ca="1" si="82"/>
        <v/>
      </c>
      <c r="J1080" s="5" t="str">
        <f t="shared" si="83"/>
        <v/>
      </c>
      <c r="K1080" s="25"/>
      <c r="L1080" s="5" t="str">
        <f t="shared" si="84"/>
        <v/>
      </c>
      <c r="M1080" s="7"/>
      <c r="N1080" s="7"/>
      <c r="O1080" s="7"/>
      <c r="P1080" s="20" t="str">
        <f>IF($A1080="","",INDEX(Project_Tracker!$I$2:$I$101,INT((ROW()-6)/17)+1))</f>
        <v/>
      </c>
      <c r="Q1080" s="20" t="str">
        <f>IF($A1080="","",INDEX(Project_Tracker!$K$2:$K$101,INT((ROW()-6)/17)+1))</f>
        <v/>
      </c>
    </row>
    <row r="1081" spans="1:17" x14ac:dyDescent="0.2">
      <c r="A1081" s="20" t="str">
        <f>IF(INDEX(Project_Tracker!$AL$2:$AL$101,INT((ROW()-6)/17)+1)="","",INDEX(Project_Tracker!$AL$2:$AL$101,INT((ROW()-6)/17)+1))</f>
        <v/>
      </c>
      <c r="B1081" s="21" t="str">
        <f>IF($A1081="","",INDEX(Project_Tracker!$AM$2:$AM$101,INT((ROW()-6)/17)+1))</f>
        <v/>
      </c>
      <c r="C1081" s="20" t="str">
        <f>IF($A1081="","",INDEX(Project_Tracker!$C$2:$C$101,INT((ROW()-6)/17)+1))</f>
        <v/>
      </c>
      <c r="D1081" s="6" t="str">
        <f>IF($A1081="","",INDEX(Project_Tracker!$T$2:$T$101,INT((ROW()-6)/17)+1))</f>
        <v/>
      </c>
      <c r="E1081" s="18">
        <f t="shared" si="80"/>
        <v>5</v>
      </c>
      <c r="F1081" s="23" t="str">
        <f>IF($A1081="","",INDEX('Logic &amp; Lists'!$I$4:$I$20,$E1081))</f>
        <v/>
      </c>
      <c r="G1081" s="18" t="str">
        <f>IF($A1081="","",INDEX('Logic &amp; Lists'!$J$4:$J$20,$E1081))</f>
        <v/>
      </c>
      <c r="H1081" s="6" t="str">
        <f t="shared" si="81"/>
        <v/>
      </c>
      <c r="I1081" s="18" t="str">
        <f t="shared" ca="1" si="82"/>
        <v/>
      </c>
      <c r="J1081" s="5" t="str">
        <f t="shared" si="83"/>
        <v/>
      </c>
      <c r="K1081" s="25"/>
      <c r="L1081" s="5" t="str">
        <f t="shared" si="84"/>
        <v/>
      </c>
      <c r="M1081" s="7"/>
      <c r="N1081" s="7"/>
      <c r="O1081" s="7"/>
      <c r="P1081" s="20" t="str">
        <f>IF($A1081="","",INDEX(Project_Tracker!$I$2:$I$101,INT((ROW()-6)/17)+1))</f>
        <v/>
      </c>
      <c r="Q1081" s="20" t="str">
        <f>IF($A1081="","",INDEX(Project_Tracker!$K$2:$K$101,INT((ROW()-6)/17)+1))</f>
        <v/>
      </c>
    </row>
    <row r="1082" spans="1:17" x14ac:dyDescent="0.2">
      <c r="A1082" s="20" t="str">
        <f>IF(INDEX(Project_Tracker!$AL$2:$AL$101,INT((ROW()-6)/17)+1)="","",INDEX(Project_Tracker!$AL$2:$AL$101,INT((ROW()-6)/17)+1))</f>
        <v/>
      </c>
      <c r="B1082" s="21" t="str">
        <f>IF($A1082="","",INDEX(Project_Tracker!$AM$2:$AM$101,INT((ROW()-6)/17)+1))</f>
        <v/>
      </c>
      <c r="C1082" s="20" t="str">
        <f>IF($A1082="","",INDEX(Project_Tracker!$C$2:$C$101,INT((ROW()-6)/17)+1))</f>
        <v/>
      </c>
      <c r="D1082" s="6" t="str">
        <f>IF($A1082="","",INDEX(Project_Tracker!$T$2:$T$101,INT((ROW()-6)/17)+1))</f>
        <v/>
      </c>
      <c r="E1082" s="18">
        <f t="shared" si="80"/>
        <v>6</v>
      </c>
      <c r="F1082" s="23" t="str">
        <f>IF($A1082="","",INDEX('Logic &amp; Lists'!$I$4:$I$20,$E1082))</f>
        <v/>
      </c>
      <c r="G1082" s="18" t="str">
        <f>IF($A1082="","",INDEX('Logic &amp; Lists'!$J$4:$J$20,$E1082))</f>
        <v/>
      </c>
      <c r="H1082" s="6" t="str">
        <f t="shared" si="81"/>
        <v/>
      </c>
      <c r="I1082" s="18" t="str">
        <f t="shared" ca="1" si="82"/>
        <v/>
      </c>
      <c r="J1082" s="5" t="str">
        <f t="shared" si="83"/>
        <v/>
      </c>
      <c r="K1082" s="25"/>
      <c r="L1082" s="5" t="str">
        <f t="shared" si="84"/>
        <v/>
      </c>
      <c r="M1082" s="7"/>
      <c r="N1082" s="7"/>
      <c r="O1082" s="7"/>
      <c r="P1082" s="20" t="str">
        <f>IF($A1082="","",INDEX(Project_Tracker!$I$2:$I$101,INT((ROW()-6)/17)+1))</f>
        <v/>
      </c>
      <c r="Q1082" s="20" t="str">
        <f>IF($A1082="","",INDEX(Project_Tracker!$K$2:$K$101,INT((ROW()-6)/17)+1))</f>
        <v/>
      </c>
    </row>
    <row r="1083" spans="1:17" x14ac:dyDescent="0.2">
      <c r="A1083" s="20" t="str">
        <f>IF(INDEX(Project_Tracker!$AL$2:$AL$101,INT((ROW()-6)/17)+1)="","",INDEX(Project_Tracker!$AL$2:$AL$101,INT((ROW()-6)/17)+1))</f>
        <v/>
      </c>
      <c r="B1083" s="21" t="str">
        <f>IF($A1083="","",INDEX(Project_Tracker!$AM$2:$AM$101,INT((ROW()-6)/17)+1))</f>
        <v/>
      </c>
      <c r="C1083" s="20" t="str">
        <f>IF($A1083="","",INDEX(Project_Tracker!$C$2:$C$101,INT((ROW()-6)/17)+1))</f>
        <v/>
      </c>
      <c r="D1083" s="6" t="str">
        <f>IF($A1083="","",INDEX(Project_Tracker!$T$2:$T$101,INT((ROW()-6)/17)+1))</f>
        <v/>
      </c>
      <c r="E1083" s="18">
        <f t="shared" si="80"/>
        <v>7</v>
      </c>
      <c r="F1083" s="23" t="str">
        <f>IF($A1083="","",INDEX('Logic &amp; Lists'!$I$4:$I$20,$E1083))</f>
        <v/>
      </c>
      <c r="G1083" s="18" t="str">
        <f>IF($A1083="","",INDEX('Logic &amp; Lists'!$J$4:$J$20,$E1083))</f>
        <v/>
      </c>
      <c r="H1083" s="6" t="str">
        <f t="shared" si="81"/>
        <v/>
      </c>
      <c r="I1083" s="18" t="str">
        <f t="shared" ca="1" si="82"/>
        <v/>
      </c>
      <c r="J1083" s="5" t="str">
        <f t="shared" si="83"/>
        <v/>
      </c>
      <c r="K1083" s="25"/>
      <c r="L1083" s="5" t="str">
        <f t="shared" si="84"/>
        <v/>
      </c>
      <c r="M1083" s="7"/>
      <c r="N1083" s="7"/>
      <c r="O1083" s="7"/>
      <c r="P1083" s="20" t="str">
        <f>IF($A1083="","",INDEX(Project_Tracker!$I$2:$I$101,INT((ROW()-6)/17)+1))</f>
        <v/>
      </c>
      <c r="Q1083" s="20" t="str">
        <f>IF($A1083="","",INDEX(Project_Tracker!$K$2:$K$101,INT((ROW()-6)/17)+1))</f>
        <v/>
      </c>
    </row>
    <row r="1084" spans="1:17" x14ac:dyDescent="0.2">
      <c r="A1084" s="20" t="str">
        <f>IF(INDEX(Project_Tracker!$AL$2:$AL$101,INT((ROW()-6)/17)+1)="","",INDEX(Project_Tracker!$AL$2:$AL$101,INT((ROW()-6)/17)+1))</f>
        <v/>
      </c>
      <c r="B1084" s="21" t="str">
        <f>IF($A1084="","",INDEX(Project_Tracker!$AM$2:$AM$101,INT((ROW()-6)/17)+1))</f>
        <v/>
      </c>
      <c r="C1084" s="20" t="str">
        <f>IF($A1084="","",INDEX(Project_Tracker!$C$2:$C$101,INT((ROW()-6)/17)+1))</f>
        <v/>
      </c>
      <c r="D1084" s="6" t="str">
        <f>IF($A1084="","",INDEX(Project_Tracker!$T$2:$T$101,INT((ROW()-6)/17)+1))</f>
        <v/>
      </c>
      <c r="E1084" s="18">
        <f t="shared" si="80"/>
        <v>8</v>
      </c>
      <c r="F1084" s="23" t="str">
        <f>IF($A1084="","",INDEX('Logic &amp; Lists'!$I$4:$I$20,$E1084))</f>
        <v/>
      </c>
      <c r="G1084" s="18" t="str">
        <f>IF($A1084="","",INDEX('Logic &amp; Lists'!$J$4:$J$20,$E1084))</f>
        <v/>
      </c>
      <c r="H1084" s="6" t="str">
        <f t="shared" si="81"/>
        <v/>
      </c>
      <c r="I1084" s="18" t="str">
        <f t="shared" ca="1" si="82"/>
        <v/>
      </c>
      <c r="J1084" s="5" t="str">
        <f t="shared" si="83"/>
        <v/>
      </c>
      <c r="K1084" s="25"/>
      <c r="L1084" s="5" t="str">
        <f t="shared" si="84"/>
        <v/>
      </c>
      <c r="M1084" s="7"/>
      <c r="N1084" s="7"/>
      <c r="O1084" s="7"/>
      <c r="P1084" s="20" t="str">
        <f>IF($A1084="","",INDEX(Project_Tracker!$I$2:$I$101,INT((ROW()-6)/17)+1))</f>
        <v/>
      </c>
      <c r="Q1084" s="20" t="str">
        <f>IF($A1084="","",INDEX(Project_Tracker!$K$2:$K$101,INT((ROW()-6)/17)+1))</f>
        <v/>
      </c>
    </row>
    <row r="1085" spans="1:17" x14ac:dyDescent="0.2">
      <c r="A1085" s="20" t="str">
        <f>IF(INDEX(Project_Tracker!$AL$2:$AL$101,INT((ROW()-6)/17)+1)="","",INDEX(Project_Tracker!$AL$2:$AL$101,INT((ROW()-6)/17)+1))</f>
        <v/>
      </c>
      <c r="B1085" s="21" t="str">
        <f>IF($A1085="","",INDEX(Project_Tracker!$AM$2:$AM$101,INT((ROW()-6)/17)+1))</f>
        <v/>
      </c>
      <c r="C1085" s="20" t="str">
        <f>IF($A1085="","",INDEX(Project_Tracker!$C$2:$C$101,INT((ROW()-6)/17)+1))</f>
        <v/>
      </c>
      <c r="D1085" s="6" t="str">
        <f>IF($A1085="","",INDEX(Project_Tracker!$T$2:$T$101,INT((ROW()-6)/17)+1))</f>
        <v/>
      </c>
      <c r="E1085" s="18">
        <f t="shared" si="80"/>
        <v>9</v>
      </c>
      <c r="F1085" s="23" t="str">
        <f>IF($A1085="","",INDEX('Logic &amp; Lists'!$I$4:$I$20,$E1085))</f>
        <v/>
      </c>
      <c r="G1085" s="18" t="str">
        <f>IF($A1085="","",INDEX('Logic &amp; Lists'!$J$4:$J$20,$E1085))</f>
        <v/>
      </c>
      <c r="H1085" s="6" t="str">
        <f t="shared" si="81"/>
        <v/>
      </c>
      <c r="I1085" s="18" t="str">
        <f t="shared" ca="1" si="82"/>
        <v/>
      </c>
      <c r="J1085" s="5" t="str">
        <f t="shared" si="83"/>
        <v/>
      </c>
      <c r="K1085" s="25"/>
      <c r="L1085" s="5" t="str">
        <f t="shared" si="84"/>
        <v/>
      </c>
      <c r="M1085" s="7"/>
      <c r="N1085" s="7"/>
      <c r="O1085" s="7"/>
      <c r="P1085" s="20" t="str">
        <f>IF($A1085="","",INDEX(Project_Tracker!$I$2:$I$101,INT((ROW()-6)/17)+1))</f>
        <v/>
      </c>
      <c r="Q1085" s="20" t="str">
        <f>IF($A1085="","",INDEX(Project_Tracker!$K$2:$K$101,INT((ROW()-6)/17)+1))</f>
        <v/>
      </c>
    </row>
    <row r="1086" spans="1:17" x14ac:dyDescent="0.2">
      <c r="A1086" s="20" t="str">
        <f>IF(INDEX(Project_Tracker!$AL$2:$AL$101,INT((ROW()-6)/17)+1)="","",INDEX(Project_Tracker!$AL$2:$AL$101,INT((ROW()-6)/17)+1))</f>
        <v/>
      </c>
      <c r="B1086" s="21" t="str">
        <f>IF($A1086="","",INDEX(Project_Tracker!$AM$2:$AM$101,INT((ROW()-6)/17)+1))</f>
        <v/>
      </c>
      <c r="C1086" s="20" t="str">
        <f>IF($A1086="","",INDEX(Project_Tracker!$C$2:$C$101,INT((ROW()-6)/17)+1))</f>
        <v/>
      </c>
      <c r="D1086" s="6" t="str">
        <f>IF($A1086="","",INDEX(Project_Tracker!$T$2:$T$101,INT((ROW()-6)/17)+1))</f>
        <v/>
      </c>
      <c r="E1086" s="18">
        <f t="shared" si="80"/>
        <v>10</v>
      </c>
      <c r="F1086" s="23" t="str">
        <f>IF($A1086="","",INDEX('Logic &amp; Lists'!$I$4:$I$20,$E1086))</f>
        <v/>
      </c>
      <c r="G1086" s="18" t="str">
        <f>IF($A1086="","",INDEX('Logic &amp; Lists'!$J$4:$J$20,$E1086))</f>
        <v/>
      </c>
      <c r="H1086" s="6" t="str">
        <f t="shared" si="81"/>
        <v/>
      </c>
      <c r="I1086" s="18" t="str">
        <f t="shared" ca="1" si="82"/>
        <v/>
      </c>
      <c r="J1086" s="5" t="str">
        <f t="shared" si="83"/>
        <v/>
      </c>
      <c r="K1086" s="25"/>
      <c r="L1086" s="5" t="str">
        <f t="shared" si="84"/>
        <v/>
      </c>
      <c r="M1086" s="7"/>
      <c r="N1086" s="7"/>
      <c r="O1086" s="7"/>
      <c r="P1086" s="20" t="str">
        <f>IF($A1086="","",INDEX(Project_Tracker!$I$2:$I$101,INT((ROW()-6)/17)+1))</f>
        <v/>
      </c>
      <c r="Q1086" s="20" t="str">
        <f>IF($A1086="","",INDEX(Project_Tracker!$K$2:$K$101,INT((ROW()-6)/17)+1))</f>
        <v/>
      </c>
    </row>
    <row r="1087" spans="1:17" x14ac:dyDescent="0.2">
      <c r="A1087" s="20" t="str">
        <f>IF(INDEX(Project_Tracker!$AL$2:$AL$101,INT((ROW()-6)/17)+1)="","",INDEX(Project_Tracker!$AL$2:$AL$101,INT((ROW()-6)/17)+1))</f>
        <v/>
      </c>
      <c r="B1087" s="21" t="str">
        <f>IF($A1087="","",INDEX(Project_Tracker!$AM$2:$AM$101,INT((ROW()-6)/17)+1))</f>
        <v/>
      </c>
      <c r="C1087" s="20" t="str">
        <f>IF($A1087="","",INDEX(Project_Tracker!$C$2:$C$101,INT((ROW()-6)/17)+1))</f>
        <v/>
      </c>
      <c r="D1087" s="6" t="str">
        <f>IF($A1087="","",INDEX(Project_Tracker!$T$2:$T$101,INT((ROW()-6)/17)+1))</f>
        <v/>
      </c>
      <c r="E1087" s="18">
        <f t="shared" si="80"/>
        <v>11</v>
      </c>
      <c r="F1087" s="23" t="str">
        <f>IF($A1087="","",INDEX('Logic &amp; Lists'!$I$4:$I$20,$E1087))</f>
        <v/>
      </c>
      <c r="G1087" s="18" t="str">
        <f>IF($A1087="","",INDEX('Logic &amp; Lists'!$J$4:$J$20,$E1087))</f>
        <v/>
      </c>
      <c r="H1087" s="6" t="str">
        <f t="shared" si="81"/>
        <v/>
      </c>
      <c r="I1087" s="18" t="str">
        <f t="shared" ca="1" si="82"/>
        <v/>
      </c>
      <c r="J1087" s="5" t="str">
        <f t="shared" si="83"/>
        <v/>
      </c>
      <c r="K1087" s="25"/>
      <c r="L1087" s="5" t="str">
        <f t="shared" si="84"/>
        <v/>
      </c>
      <c r="M1087" s="7"/>
      <c r="N1087" s="7"/>
      <c r="O1087" s="7"/>
      <c r="P1087" s="20" t="str">
        <f>IF($A1087="","",INDEX(Project_Tracker!$I$2:$I$101,INT((ROW()-6)/17)+1))</f>
        <v/>
      </c>
      <c r="Q1087" s="20" t="str">
        <f>IF($A1087="","",INDEX(Project_Tracker!$K$2:$K$101,INT((ROW()-6)/17)+1))</f>
        <v/>
      </c>
    </row>
    <row r="1088" spans="1:17" x14ac:dyDescent="0.2">
      <c r="A1088" s="20" t="str">
        <f>IF(INDEX(Project_Tracker!$AL$2:$AL$101,INT((ROW()-6)/17)+1)="","",INDEX(Project_Tracker!$AL$2:$AL$101,INT((ROW()-6)/17)+1))</f>
        <v/>
      </c>
      <c r="B1088" s="21" t="str">
        <f>IF($A1088="","",INDEX(Project_Tracker!$AM$2:$AM$101,INT((ROW()-6)/17)+1))</f>
        <v/>
      </c>
      <c r="C1088" s="20" t="str">
        <f>IF($A1088="","",INDEX(Project_Tracker!$C$2:$C$101,INT((ROW()-6)/17)+1))</f>
        <v/>
      </c>
      <c r="D1088" s="6" t="str">
        <f>IF($A1088="","",INDEX(Project_Tracker!$T$2:$T$101,INT((ROW()-6)/17)+1))</f>
        <v/>
      </c>
      <c r="E1088" s="18">
        <f t="shared" si="80"/>
        <v>12</v>
      </c>
      <c r="F1088" s="23" t="str">
        <f>IF($A1088="","",INDEX('Logic &amp; Lists'!$I$4:$I$20,$E1088))</f>
        <v/>
      </c>
      <c r="G1088" s="18" t="str">
        <f>IF($A1088="","",INDEX('Logic &amp; Lists'!$J$4:$J$20,$E1088))</f>
        <v/>
      </c>
      <c r="H1088" s="6" t="str">
        <f t="shared" si="81"/>
        <v/>
      </c>
      <c r="I1088" s="18" t="str">
        <f t="shared" ca="1" si="82"/>
        <v/>
      </c>
      <c r="J1088" s="5" t="str">
        <f t="shared" si="83"/>
        <v/>
      </c>
      <c r="K1088" s="25"/>
      <c r="L1088" s="5" t="str">
        <f t="shared" si="84"/>
        <v/>
      </c>
      <c r="M1088" s="7"/>
      <c r="N1088" s="7"/>
      <c r="O1088" s="7"/>
      <c r="P1088" s="20" t="str">
        <f>IF($A1088="","",INDEX(Project_Tracker!$I$2:$I$101,INT((ROW()-6)/17)+1))</f>
        <v/>
      </c>
      <c r="Q1088" s="20" t="str">
        <f>IF($A1088="","",INDEX(Project_Tracker!$K$2:$K$101,INT((ROW()-6)/17)+1))</f>
        <v/>
      </c>
    </row>
    <row r="1089" spans="1:17" x14ac:dyDescent="0.2">
      <c r="A1089" s="20" t="str">
        <f>IF(INDEX(Project_Tracker!$AL$2:$AL$101,INT((ROW()-6)/17)+1)="","",INDEX(Project_Tracker!$AL$2:$AL$101,INT((ROW()-6)/17)+1))</f>
        <v/>
      </c>
      <c r="B1089" s="21" t="str">
        <f>IF($A1089="","",INDEX(Project_Tracker!$AM$2:$AM$101,INT((ROW()-6)/17)+1))</f>
        <v/>
      </c>
      <c r="C1089" s="20" t="str">
        <f>IF($A1089="","",INDEX(Project_Tracker!$C$2:$C$101,INT((ROW()-6)/17)+1))</f>
        <v/>
      </c>
      <c r="D1089" s="6" t="str">
        <f>IF($A1089="","",INDEX(Project_Tracker!$T$2:$T$101,INT((ROW()-6)/17)+1))</f>
        <v/>
      </c>
      <c r="E1089" s="18">
        <f t="shared" si="80"/>
        <v>13</v>
      </c>
      <c r="F1089" s="23" t="str">
        <f>IF($A1089="","",INDEX('Logic &amp; Lists'!$I$4:$I$20,$E1089))</f>
        <v/>
      </c>
      <c r="G1089" s="18" t="str">
        <f>IF($A1089="","",INDEX('Logic &amp; Lists'!$J$4:$J$20,$E1089))</f>
        <v/>
      </c>
      <c r="H1089" s="6" t="str">
        <f t="shared" si="81"/>
        <v/>
      </c>
      <c r="I1089" s="18" t="str">
        <f t="shared" ca="1" si="82"/>
        <v/>
      </c>
      <c r="J1089" s="5" t="str">
        <f t="shared" si="83"/>
        <v/>
      </c>
      <c r="K1089" s="25"/>
      <c r="L1089" s="5" t="str">
        <f t="shared" si="84"/>
        <v/>
      </c>
      <c r="M1089" s="7"/>
      <c r="N1089" s="7"/>
      <c r="O1089" s="7"/>
      <c r="P1089" s="20" t="str">
        <f>IF($A1089="","",INDEX(Project_Tracker!$I$2:$I$101,INT((ROW()-6)/17)+1))</f>
        <v/>
      </c>
      <c r="Q1089" s="20" t="str">
        <f>IF($A1089="","",INDEX(Project_Tracker!$K$2:$K$101,INT((ROW()-6)/17)+1))</f>
        <v/>
      </c>
    </row>
    <row r="1090" spans="1:17" x14ac:dyDescent="0.2">
      <c r="A1090" s="20" t="str">
        <f>IF(INDEX(Project_Tracker!$AL$2:$AL$101,INT((ROW()-6)/17)+1)="","",INDEX(Project_Tracker!$AL$2:$AL$101,INT((ROW()-6)/17)+1))</f>
        <v/>
      </c>
      <c r="B1090" s="21" t="str">
        <f>IF($A1090="","",INDEX(Project_Tracker!$AM$2:$AM$101,INT((ROW()-6)/17)+1))</f>
        <v/>
      </c>
      <c r="C1090" s="20" t="str">
        <f>IF($A1090="","",INDEX(Project_Tracker!$C$2:$C$101,INT((ROW()-6)/17)+1))</f>
        <v/>
      </c>
      <c r="D1090" s="6" t="str">
        <f>IF($A1090="","",INDEX(Project_Tracker!$T$2:$T$101,INT((ROW()-6)/17)+1))</f>
        <v/>
      </c>
      <c r="E1090" s="18">
        <f t="shared" si="80"/>
        <v>14</v>
      </c>
      <c r="F1090" s="23" t="str">
        <f>IF($A1090="","",INDEX('Logic &amp; Lists'!$I$4:$I$20,$E1090))</f>
        <v/>
      </c>
      <c r="G1090" s="18" t="str">
        <f>IF($A1090="","",INDEX('Logic &amp; Lists'!$J$4:$J$20,$E1090))</f>
        <v/>
      </c>
      <c r="H1090" s="6" t="str">
        <f t="shared" si="81"/>
        <v/>
      </c>
      <c r="I1090" s="18" t="str">
        <f t="shared" ca="1" si="82"/>
        <v/>
      </c>
      <c r="J1090" s="5" t="str">
        <f t="shared" si="83"/>
        <v/>
      </c>
      <c r="K1090" s="25"/>
      <c r="L1090" s="5" t="str">
        <f t="shared" si="84"/>
        <v/>
      </c>
      <c r="M1090" s="7"/>
      <c r="N1090" s="7"/>
      <c r="O1090" s="7"/>
      <c r="P1090" s="20" t="str">
        <f>IF($A1090="","",INDEX(Project_Tracker!$I$2:$I$101,INT((ROW()-6)/17)+1))</f>
        <v/>
      </c>
      <c r="Q1090" s="20" t="str">
        <f>IF($A1090="","",INDEX(Project_Tracker!$K$2:$K$101,INT((ROW()-6)/17)+1))</f>
        <v/>
      </c>
    </row>
    <row r="1091" spans="1:17" x14ac:dyDescent="0.2">
      <c r="A1091" s="20" t="str">
        <f>IF(INDEX(Project_Tracker!$AL$2:$AL$101,INT((ROW()-6)/17)+1)="","",INDEX(Project_Tracker!$AL$2:$AL$101,INT((ROW()-6)/17)+1))</f>
        <v/>
      </c>
      <c r="B1091" s="21" t="str">
        <f>IF($A1091="","",INDEX(Project_Tracker!$AM$2:$AM$101,INT((ROW()-6)/17)+1))</f>
        <v/>
      </c>
      <c r="C1091" s="20" t="str">
        <f>IF($A1091="","",INDEX(Project_Tracker!$C$2:$C$101,INT((ROW()-6)/17)+1))</f>
        <v/>
      </c>
      <c r="D1091" s="6" t="str">
        <f>IF($A1091="","",INDEX(Project_Tracker!$T$2:$T$101,INT((ROW()-6)/17)+1))</f>
        <v/>
      </c>
      <c r="E1091" s="18">
        <f t="shared" si="80"/>
        <v>15</v>
      </c>
      <c r="F1091" s="23" t="str">
        <f>IF($A1091="","",INDEX('Logic &amp; Lists'!$I$4:$I$20,$E1091))</f>
        <v/>
      </c>
      <c r="G1091" s="18" t="str">
        <f>IF($A1091="","",INDEX('Logic &amp; Lists'!$J$4:$J$20,$E1091))</f>
        <v/>
      </c>
      <c r="H1091" s="6" t="str">
        <f t="shared" si="81"/>
        <v/>
      </c>
      <c r="I1091" s="18" t="str">
        <f t="shared" ca="1" si="82"/>
        <v/>
      </c>
      <c r="J1091" s="5" t="str">
        <f t="shared" si="83"/>
        <v/>
      </c>
      <c r="K1091" s="25"/>
      <c r="L1091" s="5" t="str">
        <f t="shared" si="84"/>
        <v/>
      </c>
      <c r="M1091" s="7"/>
      <c r="N1091" s="7"/>
      <c r="O1091" s="7"/>
      <c r="P1091" s="20" t="str">
        <f>IF($A1091="","",INDEX(Project_Tracker!$I$2:$I$101,INT((ROW()-6)/17)+1))</f>
        <v/>
      </c>
      <c r="Q1091" s="20" t="str">
        <f>IF($A1091="","",INDEX(Project_Tracker!$K$2:$K$101,INT((ROW()-6)/17)+1))</f>
        <v/>
      </c>
    </row>
    <row r="1092" spans="1:17" x14ac:dyDescent="0.2">
      <c r="A1092" s="20" t="str">
        <f>IF(INDEX(Project_Tracker!$AL$2:$AL$101,INT((ROW()-6)/17)+1)="","",INDEX(Project_Tracker!$AL$2:$AL$101,INT((ROW()-6)/17)+1))</f>
        <v/>
      </c>
      <c r="B1092" s="21" t="str">
        <f>IF($A1092="","",INDEX(Project_Tracker!$AM$2:$AM$101,INT((ROW()-6)/17)+1))</f>
        <v/>
      </c>
      <c r="C1092" s="20" t="str">
        <f>IF($A1092="","",INDEX(Project_Tracker!$C$2:$C$101,INT((ROW()-6)/17)+1))</f>
        <v/>
      </c>
      <c r="D1092" s="6" t="str">
        <f>IF($A1092="","",INDEX(Project_Tracker!$T$2:$T$101,INT((ROW()-6)/17)+1))</f>
        <v/>
      </c>
      <c r="E1092" s="18">
        <f t="shared" si="80"/>
        <v>16</v>
      </c>
      <c r="F1092" s="23" t="str">
        <f>IF($A1092="","",INDEX('Logic &amp; Lists'!$I$4:$I$20,$E1092))</f>
        <v/>
      </c>
      <c r="G1092" s="18" t="str">
        <f>IF($A1092="","",INDEX('Logic &amp; Lists'!$J$4:$J$20,$E1092))</f>
        <v/>
      </c>
      <c r="H1092" s="6" t="str">
        <f t="shared" si="81"/>
        <v/>
      </c>
      <c r="I1092" s="18" t="str">
        <f t="shared" ca="1" si="82"/>
        <v/>
      </c>
      <c r="J1092" s="5" t="str">
        <f t="shared" si="83"/>
        <v/>
      </c>
      <c r="K1092" s="25"/>
      <c r="L1092" s="5" t="str">
        <f t="shared" si="84"/>
        <v/>
      </c>
      <c r="M1092" s="7"/>
      <c r="N1092" s="7"/>
      <c r="O1092" s="7"/>
      <c r="P1092" s="20" t="str">
        <f>IF($A1092="","",INDEX(Project_Tracker!$I$2:$I$101,INT((ROW()-6)/17)+1))</f>
        <v/>
      </c>
      <c r="Q1092" s="20" t="str">
        <f>IF($A1092="","",INDEX(Project_Tracker!$K$2:$K$101,INT((ROW()-6)/17)+1))</f>
        <v/>
      </c>
    </row>
    <row r="1093" spans="1:17" x14ac:dyDescent="0.2">
      <c r="A1093" s="20" t="str">
        <f>IF(INDEX(Project_Tracker!$AL$2:$AL$101,INT((ROW()-6)/17)+1)="","",INDEX(Project_Tracker!$AL$2:$AL$101,INT((ROW()-6)/17)+1))</f>
        <v/>
      </c>
      <c r="B1093" s="21" t="str">
        <f>IF($A1093="","",INDEX(Project_Tracker!$AM$2:$AM$101,INT((ROW()-6)/17)+1))</f>
        <v/>
      </c>
      <c r="C1093" s="20" t="str">
        <f>IF($A1093="","",INDEX(Project_Tracker!$C$2:$C$101,INT((ROW()-6)/17)+1))</f>
        <v/>
      </c>
      <c r="D1093" s="6" t="str">
        <f>IF($A1093="","",INDEX(Project_Tracker!$T$2:$T$101,INT((ROW()-6)/17)+1))</f>
        <v/>
      </c>
      <c r="E1093" s="18">
        <f t="shared" si="80"/>
        <v>17</v>
      </c>
      <c r="F1093" s="23" t="str">
        <f>IF($A1093="","",INDEX('Logic &amp; Lists'!$I$4:$I$20,$E1093))</f>
        <v/>
      </c>
      <c r="G1093" s="18" t="str">
        <f>IF($A1093="","",INDEX('Logic &amp; Lists'!$J$4:$J$20,$E1093))</f>
        <v/>
      </c>
      <c r="H1093" s="6" t="str">
        <f t="shared" si="81"/>
        <v/>
      </c>
      <c r="I1093" s="18" t="str">
        <f t="shared" ca="1" si="82"/>
        <v/>
      </c>
      <c r="J1093" s="5" t="str">
        <f t="shared" si="83"/>
        <v/>
      </c>
      <c r="K1093" s="25"/>
      <c r="L1093" s="5" t="str">
        <f t="shared" si="84"/>
        <v/>
      </c>
      <c r="M1093" s="7"/>
      <c r="N1093" s="7"/>
      <c r="O1093" s="7"/>
      <c r="P1093" s="20" t="str">
        <f>IF($A1093="","",INDEX(Project_Tracker!$I$2:$I$101,INT((ROW()-6)/17)+1))</f>
        <v/>
      </c>
      <c r="Q1093" s="20" t="str">
        <f>IF($A1093="","",INDEX(Project_Tracker!$K$2:$K$101,INT((ROW()-6)/17)+1))</f>
        <v/>
      </c>
    </row>
    <row r="1094" spans="1:17" x14ac:dyDescent="0.2">
      <c r="A1094" s="20" t="str">
        <f>IF(INDEX(Project_Tracker!$AL$2:$AL$101,INT((ROW()-6)/17)+1)="","",INDEX(Project_Tracker!$AL$2:$AL$101,INT((ROW()-6)/17)+1))</f>
        <v/>
      </c>
      <c r="B1094" s="21" t="str">
        <f>IF($A1094="","",INDEX(Project_Tracker!$AM$2:$AM$101,INT((ROW()-6)/17)+1))</f>
        <v/>
      </c>
      <c r="C1094" s="20" t="str">
        <f>IF($A1094="","",INDEX(Project_Tracker!$C$2:$C$101,INT((ROW()-6)/17)+1))</f>
        <v/>
      </c>
      <c r="D1094" s="6" t="str">
        <f>IF($A1094="","",INDEX(Project_Tracker!$T$2:$T$101,INT((ROW()-6)/17)+1))</f>
        <v/>
      </c>
      <c r="E1094" s="18">
        <f t="shared" ref="E1094:E1157" si="85">MOD(ROW()-6,17)+1</f>
        <v>1</v>
      </c>
      <c r="F1094" s="23" t="str">
        <f>IF($A1094="","",INDEX('Logic &amp; Lists'!$I$4:$I$20,$E1094))</f>
        <v/>
      </c>
      <c r="G1094" s="18" t="str">
        <f>IF($A1094="","",INDEX('Logic &amp; Lists'!$J$4:$J$20,$E1094))</f>
        <v/>
      </c>
      <c r="H1094" s="6" t="str">
        <f t="shared" ref="H1094:H1157" si="86">IF($D1094="","",$D1094-$G1094)</f>
        <v/>
      </c>
      <c r="I1094" s="18" t="str">
        <f t="shared" ref="I1094:I1157" ca="1" si="87">IF($H1094="","",$H1094-TODAY())</f>
        <v/>
      </c>
      <c r="J1094" s="5" t="str">
        <f t="shared" ref="J1094:J1157" si="88">IF($A1094="","",IF($K1094&lt;&gt;"","ORDERED",IF($I1094&lt;0,"OVERDUE",IF($I1094&lt;=7,"URGENT",IF($I1094&lt;=14,"PREPARE","OK")))))</f>
        <v/>
      </c>
      <c r="K1094" s="25"/>
      <c r="L1094" s="5" t="str">
        <f t="shared" ref="L1094:L1157" si="89">IF($A1094="","",IF($K1094="",$J1094,IF($K1094&lt;=$H1094,"Ordered On Time","Ordered Late")))</f>
        <v/>
      </c>
      <c r="M1094" s="7"/>
      <c r="N1094" s="7"/>
      <c r="O1094" s="7"/>
      <c r="P1094" s="20" t="str">
        <f>IF($A1094="","",INDEX(Project_Tracker!$I$2:$I$101,INT((ROW()-6)/17)+1))</f>
        <v/>
      </c>
      <c r="Q1094" s="20" t="str">
        <f>IF($A1094="","",INDEX(Project_Tracker!$K$2:$K$101,INT((ROW()-6)/17)+1))</f>
        <v/>
      </c>
    </row>
    <row r="1095" spans="1:17" x14ac:dyDescent="0.2">
      <c r="A1095" s="20" t="str">
        <f>IF(INDEX(Project_Tracker!$AL$2:$AL$101,INT((ROW()-6)/17)+1)="","",INDEX(Project_Tracker!$AL$2:$AL$101,INT((ROW()-6)/17)+1))</f>
        <v/>
      </c>
      <c r="B1095" s="21" t="str">
        <f>IF($A1095="","",INDEX(Project_Tracker!$AM$2:$AM$101,INT((ROW()-6)/17)+1))</f>
        <v/>
      </c>
      <c r="C1095" s="20" t="str">
        <f>IF($A1095="","",INDEX(Project_Tracker!$C$2:$C$101,INT((ROW()-6)/17)+1))</f>
        <v/>
      </c>
      <c r="D1095" s="6" t="str">
        <f>IF($A1095="","",INDEX(Project_Tracker!$T$2:$T$101,INT((ROW()-6)/17)+1))</f>
        <v/>
      </c>
      <c r="E1095" s="18">
        <f t="shared" si="85"/>
        <v>2</v>
      </c>
      <c r="F1095" s="23" t="str">
        <f>IF($A1095="","",INDEX('Logic &amp; Lists'!$I$4:$I$20,$E1095))</f>
        <v/>
      </c>
      <c r="G1095" s="18" t="str">
        <f>IF($A1095="","",INDEX('Logic &amp; Lists'!$J$4:$J$20,$E1095))</f>
        <v/>
      </c>
      <c r="H1095" s="6" t="str">
        <f t="shared" si="86"/>
        <v/>
      </c>
      <c r="I1095" s="18" t="str">
        <f t="shared" ca="1" si="87"/>
        <v/>
      </c>
      <c r="J1095" s="5" t="str">
        <f t="shared" si="88"/>
        <v/>
      </c>
      <c r="K1095" s="25"/>
      <c r="L1095" s="5" t="str">
        <f t="shared" si="89"/>
        <v/>
      </c>
      <c r="M1095" s="7"/>
      <c r="N1095" s="7"/>
      <c r="O1095" s="7"/>
      <c r="P1095" s="20" t="str">
        <f>IF($A1095="","",INDEX(Project_Tracker!$I$2:$I$101,INT((ROW()-6)/17)+1))</f>
        <v/>
      </c>
      <c r="Q1095" s="20" t="str">
        <f>IF($A1095="","",INDEX(Project_Tracker!$K$2:$K$101,INT((ROW()-6)/17)+1))</f>
        <v/>
      </c>
    </row>
    <row r="1096" spans="1:17" x14ac:dyDescent="0.2">
      <c r="A1096" s="20" t="str">
        <f>IF(INDEX(Project_Tracker!$AL$2:$AL$101,INT((ROW()-6)/17)+1)="","",INDEX(Project_Tracker!$AL$2:$AL$101,INT((ROW()-6)/17)+1))</f>
        <v/>
      </c>
      <c r="B1096" s="21" t="str">
        <f>IF($A1096="","",INDEX(Project_Tracker!$AM$2:$AM$101,INT((ROW()-6)/17)+1))</f>
        <v/>
      </c>
      <c r="C1096" s="20" t="str">
        <f>IF($A1096="","",INDEX(Project_Tracker!$C$2:$C$101,INT((ROW()-6)/17)+1))</f>
        <v/>
      </c>
      <c r="D1096" s="6" t="str">
        <f>IF($A1096="","",INDEX(Project_Tracker!$T$2:$T$101,INT((ROW()-6)/17)+1))</f>
        <v/>
      </c>
      <c r="E1096" s="18">
        <f t="shared" si="85"/>
        <v>3</v>
      </c>
      <c r="F1096" s="23" t="str">
        <f>IF($A1096="","",INDEX('Logic &amp; Lists'!$I$4:$I$20,$E1096))</f>
        <v/>
      </c>
      <c r="G1096" s="18" t="str">
        <f>IF($A1096="","",INDEX('Logic &amp; Lists'!$J$4:$J$20,$E1096))</f>
        <v/>
      </c>
      <c r="H1096" s="6" t="str">
        <f t="shared" si="86"/>
        <v/>
      </c>
      <c r="I1096" s="18" t="str">
        <f t="shared" ca="1" si="87"/>
        <v/>
      </c>
      <c r="J1096" s="5" t="str">
        <f t="shared" si="88"/>
        <v/>
      </c>
      <c r="K1096" s="25"/>
      <c r="L1096" s="5" t="str">
        <f t="shared" si="89"/>
        <v/>
      </c>
      <c r="M1096" s="7"/>
      <c r="N1096" s="7"/>
      <c r="O1096" s="7"/>
      <c r="P1096" s="20" t="str">
        <f>IF($A1096="","",INDEX(Project_Tracker!$I$2:$I$101,INT((ROW()-6)/17)+1))</f>
        <v/>
      </c>
      <c r="Q1096" s="20" t="str">
        <f>IF($A1096="","",INDEX(Project_Tracker!$K$2:$K$101,INT((ROW()-6)/17)+1))</f>
        <v/>
      </c>
    </row>
    <row r="1097" spans="1:17" x14ac:dyDescent="0.2">
      <c r="A1097" s="20" t="str">
        <f>IF(INDEX(Project_Tracker!$AL$2:$AL$101,INT((ROW()-6)/17)+1)="","",INDEX(Project_Tracker!$AL$2:$AL$101,INT((ROW()-6)/17)+1))</f>
        <v/>
      </c>
      <c r="B1097" s="21" t="str">
        <f>IF($A1097="","",INDEX(Project_Tracker!$AM$2:$AM$101,INT((ROW()-6)/17)+1))</f>
        <v/>
      </c>
      <c r="C1097" s="20" t="str">
        <f>IF($A1097="","",INDEX(Project_Tracker!$C$2:$C$101,INT((ROW()-6)/17)+1))</f>
        <v/>
      </c>
      <c r="D1097" s="6" t="str">
        <f>IF($A1097="","",INDEX(Project_Tracker!$T$2:$T$101,INT((ROW()-6)/17)+1))</f>
        <v/>
      </c>
      <c r="E1097" s="18">
        <f t="shared" si="85"/>
        <v>4</v>
      </c>
      <c r="F1097" s="23" t="str">
        <f>IF($A1097="","",INDEX('Logic &amp; Lists'!$I$4:$I$20,$E1097))</f>
        <v/>
      </c>
      <c r="G1097" s="18" t="str">
        <f>IF($A1097="","",INDEX('Logic &amp; Lists'!$J$4:$J$20,$E1097))</f>
        <v/>
      </c>
      <c r="H1097" s="6" t="str">
        <f t="shared" si="86"/>
        <v/>
      </c>
      <c r="I1097" s="18" t="str">
        <f t="shared" ca="1" si="87"/>
        <v/>
      </c>
      <c r="J1097" s="5" t="str">
        <f t="shared" si="88"/>
        <v/>
      </c>
      <c r="K1097" s="25"/>
      <c r="L1097" s="5" t="str">
        <f t="shared" si="89"/>
        <v/>
      </c>
      <c r="M1097" s="7"/>
      <c r="N1097" s="7"/>
      <c r="O1097" s="7"/>
      <c r="P1097" s="20" t="str">
        <f>IF($A1097="","",INDEX(Project_Tracker!$I$2:$I$101,INT((ROW()-6)/17)+1))</f>
        <v/>
      </c>
      <c r="Q1097" s="20" t="str">
        <f>IF($A1097="","",INDEX(Project_Tracker!$K$2:$K$101,INT((ROW()-6)/17)+1))</f>
        <v/>
      </c>
    </row>
    <row r="1098" spans="1:17" x14ac:dyDescent="0.2">
      <c r="A1098" s="20" t="str">
        <f>IF(INDEX(Project_Tracker!$AL$2:$AL$101,INT((ROW()-6)/17)+1)="","",INDEX(Project_Tracker!$AL$2:$AL$101,INT((ROW()-6)/17)+1))</f>
        <v/>
      </c>
      <c r="B1098" s="21" t="str">
        <f>IF($A1098="","",INDEX(Project_Tracker!$AM$2:$AM$101,INT((ROW()-6)/17)+1))</f>
        <v/>
      </c>
      <c r="C1098" s="20" t="str">
        <f>IF($A1098="","",INDEX(Project_Tracker!$C$2:$C$101,INT((ROW()-6)/17)+1))</f>
        <v/>
      </c>
      <c r="D1098" s="6" t="str">
        <f>IF($A1098="","",INDEX(Project_Tracker!$T$2:$T$101,INT((ROW()-6)/17)+1))</f>
        <v/>
      </c>
      <c r="E1098" s="18">
        <f t="shared" si="85"/>
        <v>5</v>
      </c>
      <c r="F1098" s="23" t="str">
        <f>IF($A1098="","",INDEX('Logic &amp; Lists'!$I$4:$I$20,$E1098))</f>
        <v/>
      </c>
      <c r="G1098" s="18" t="str">
        <f>IF($A1098="","",INDEX('Logic &amp; Lists'!$J$4:$J$20,$E1098))</f>
        <v/>
      </c>
      <c r="H1098" s="6" t="str">
        <f t="shared" si="86"/>
        <v/>
      </c>
      <c r="I1098" s="18" t="str">
        <f t="shared" ca="1" si="87"/>
        <v/>
      </c>
      <c r="J1098" s="5" t="str">
        <f t="shared" si="88"/>
        <v/>
      </c>
      <c r="K1098" s="25"/>
      <c r="L1098" s="5" t="str">
        <f t="shared" si="89"/>
        <v/>
      </c>
      <c r="M1098" s="7"/>
      <c r="N1098" s="7"/>
      <c r="O1098" s="7"/>
      <c r="P1098" s="20" t="str">
        <f>IF($A1098="","",INDEX(Project_Tracker!$I$2:$I$101,INT((ROW()-6)/17)+1))</f>
        <v/>
      </c>
      <c r="Q1098" s="20" t="str">
        <f>IF($A1098="","",INDEX(Project_Tracker!$K$2:$K$101,INT((ROW()-6)/17)+1))</f>
        <v/>
      </c>
    </row>
    <row r="1099" spans="1:17" x14ac:dyDescent="0.2">
      <c r="A1099" s="20" t="str">
        <f>IF(INDEX(Project_Tracker!$AL$2:$AL$101,INT((ROW()-6)/17)+1)="","",INDEX(Project_Tracker!$AL$2:$AL$101,INT((ROW()-6)/17)+1))</f>
        <v/>
      </c>
      <c r="B1099" s="21" t="str">
        <f>IF($A1099="","",INDEX(Project_Tracker!$AM$2:$AM$101,INT((ROW()-6)/17)+1))</f>
        <v/>
      </c>
      <c r="C1099" s="20" t="str">
        <f>IF($A1099="","",INDEX(Project_Tracker!$C$2:$C$101,INT((ROW()-6)/17)+1))</f>
        <v/>
      </c>
      <c r="D1099" s="6" t="str">
        <f>IF($A1099="","",INDEX(Project_Tracker!$T$2:$T$101,INT((ROW()-6)/17)+1))</f>
        <v/>
      </c>
      <c r="E1099" s="18">
        <f t="shared" si="85"/>
        <v>6</v>
      </c>
      <c r="F1099" s="23" t="str">
        <f>IF($A1099="","",INDEX('Logic &amp; Lists'!$I$4:$I$20,$E1099))</f>
        <v/>
      </c>
      <c r="G1099" s="18" t="str">
        <f>IF($A1099="","",INDEX('Logic &amp; Lists'!$J$4:$J$20,$E1099))</f>
        <v/>
      </c>
      <c r="H1099" s="6" t="str">
        <f t="shared" si="86"/>
        <v/>
      </c>
      <c r="I1099" s="18" t="str">
        <f t="shared" ca="1" si="87"/>
        <v/>
      </c>
      <c r="J1099" s="5" t="str">
        <f t="shared" si="88"/>
        <v/>
      </c>
      <c r="K1099" s="25"/>
      <c r="L1099" s="5" t="str">
        <f t="shared" si="89"/>
        <v/>
      </c>
      <c r="M1099" s="7"/>
      <c r="N1099" s="7"/>
      <c r="O1099" s="7"/>
      <c r="P1099" s="20" t="str">
        <f>IF($A1099="","",INDEX(Project_Tracker!$I$2:$I$101,INT((ROW()-6)/17)+1))</f>
        <v/>
      </c>
      <c r="Q1099" s="20" t="str">
        <f>IF($A1099="","",INDEX(Project_Tracker!$K$2:$K$101,INT((ROW()-6)/17)+1))</f>
        <v/>
      </c>
    </row>
    <row r="1100" spans="1:17" x14ac:dyDescent="0.2">
      <c r="A1100" s="20" t="str">
        <f>IF(INDEX(Project_Tracker!$AL$2:$AL$101,INT((ROW()-6)/17)+1)="","",INDEX(Project_Tracker!$AL$2:$AL$101,INT((ROW()-6)/17)+1))</f>
        <v/>
      </c>
      <c r="B1100" s="21" t="str">
        <f>IF($A1100="","",INDEX(Project_Tracker!$AM$2:$AM$101,INT((ROW()-6)/17)+1))</f>
        <v/>
      </c>
      <c r="C1100" s="20" t="str">
        <f>IF($A1100="","",INDEX(Project_Tracker!$C$2:$C$101,INT((ROW()-6)/17)+1))</f>
        <v/>
      </c>
      <c r="D1100" s="6" t="str">
        <f>IF($A1100="","",INDEX(Project_Tracker!$T$2:$T$101,INT((ROW()-6)/17)+1))</f>
        <v/>
      </c>
      <c r="E1100" s="18">
        <f t="shared" si="85"/>
        <v>7</v>
      </c>
      <c r="F1100" s="23" t="str">
        <f>IF($A1100="","",INDEX('Logic &amp; Lists'!$I$4:$I$20,$E1100))</f>
        <v/>
      </c>
      <c r="G1100" s="18" t="str">
        <f>IF($A1100="","",INDEX('Logic &amp; Lists'!$J$4:$J$20,$E1100))</f>
        <v/>
      </c>
      <c r="H1100" s="6" t="str">
        <f t="shared" si="86"/>
        <v/>
      </c>
      <c r="I1100" s="18" t="str">
        <f t="shared" ca="1" si="87"/>
        <v/>
      </c>
      <c r="J1100" s="5" t="str">
        <f t="shared" si="88"/>
        <v/>
      </c>
      <c r="K1100" s="25"/>
      <c r="L1100" s="5" t="str">
        <f t="shared" si="89"/>
        <v/>
      </c>
      <c r="M1100" s="7"/>
      <c r="N1100" s="7"/>
      <c r="O1100" s="7"/>
      <c r="P1100" s="20" t="str">
        <f>IF($A1100="","",INDEX(Project_Tracker!$I$2:$I$101,INT((ROW()-6)/17)+1))</f>
        <v/>
      </c>
      <c r="Q1100" s="20" t="str">
        <f>IF($A1100="","",INDEX(Project_Tracker!$K$2:$K$101,INT((ROW()-6)/17)+1))</f>
        <v/>
      </c>
    </row>
    <row r="1101" spans="1:17" x14ac:dyDescent="0.2">
      <c r="A1101" s="20" t="str">
        <f>IF(INDEX(Project_Tracker!$AL$2:$AL$101,INT((ROW()-6)/17)+1)="","",INDEX(Project_Tracker!$AL$2:$AL$101,INT((ROW()-6)/17)+1))</f>
        <v/>
      </c>
      <c r="B1101" s="21" t="str">
        <f>IF($A1101="","",INDEX(Project_Tracker!$AM$2:$AM$101,INT((ROW()-6)/17)+1))</f>
        <v/>
      </c>
      <c r="C1101" s="20" t="str">
        <f>IF($A1101="","",INDEX(Project_Tracker!$C$2:$C$101,INT((ROW()-6)/17)+1))</f>
        <v/>
      </c>
      <c r="D1101" s="6" t="str">
        <f>IF($A1101="","",INDEX(Project_Tracker!$T$2:$T$101,INT((ROW()-6)/17)+1))</f>
        <v/>
      </c>
      <c r="E1101" s="18">
        <f t="shared" si="85"/>
        <v>8</v>
      </c>
      <c r="F1101" s="23" t="str">
        <f>IF($A1101="","",INDEX('Logic &amp; Lists'!$I$4:$I$20,$E1101))</f>
        <v/>
      </c>
      <c r="G1101" s="18" t="str">
        <f>IF($A1101="","",INDEX('Logic &amp; Lists'!$J$4:$J$20,$E1101))</f>
        <v/>
      </c>
      <c r="H1101" s="6" t="str">
        <f t="shared" si="86"/>
        <v/>
      </c>
      <c r="I1101" s="18" t="str">
        <f t="shared" ca="1" si="87"/>
        <v/>
      </c>
      <c r="J1101" s="5" t="str">
        <f t="shared" si="88"/>
        <v/>
      </c>
      <c r="K1101" s="25"/>
      <c r="L1101" s="5" t="str">
        <f t="shared" si="89"/>
        <v/>
      </c>
      <c r="M1101" s="7"/>
      <c r="N1101" s="7"/>
      <c r="O1101" s="7"/>
      <c r="P1101" s="20" t="str">
        <f>IF($A1101="","",INDEX(Project_Tracker!$I$2:$I$101,INT((ROW()-6)/17)+1))</f>
        <v/>
      </c>
      <c r="Q1101" s="20" t="str">
        <f>IF($A1101="","",INDEX(Project_Tracker!$K$2:$K$101,INT((ROW()-6)/17)+1))</f>
        <v/>
      </c>
    </row>
    <row r="1102" spans="1:17" x14ac:dyDescent="0.2">
      <c r="A1102" s="20" t="str">
        <f>IF(INDEX(Project_Tracker!$AL$2:$AL$101,INT((ROW()-6)/17)+1)="","",INDEX(Project_Tracker!$AL$2:$AL$101,INT((ROW()-6)/17)+1))</f>
        <v/>
      </c>
      <c r="B1102" s="21" t="str">
        <f>IF($A1102="","",INDEX(Project_Tracker!$AM$2:$AM$101,INT((ROW()-6)/17)+1))</f>
        <v/>
      </c>
      <c r="C1102" s="20" t="str">
        <f>IF($A1102="","",INDEX(Project_Tracker!$C$2:$C$101,INT((ROW()-6)/17)+1))</f>
        <v/>
      </c>
      <c r="D1102" s="6" t="str">
        <f>IF($A1102="","",INDEX(Project_Tracker!$T$2:$T$101,INT((ROW()-6)/17)+1))</f>
        <v/>
      </c>
      <c r="E1102" s="18">
        <f t="shared" si="85"/>
        <v>9</v>
      </c>
      <c r="F1102" s="23" t="str">
        <f>IF($A1102="","",INDEX('Logic &amp; Lists'!$I$4:$I$20,$E1102))</f>
        <v/>
      </c>
      <c r="G1102" s="18" t="str">
        <f>IF($A1102="","",INDEX('Logic &amp; Lists'!$J$4:$J$20,$E1102))</f>
        <v/>
      </c>
      <c r="H1102" s="6" t="str">
        <f t="shared" si="86"/>
        <v/>
      </c>
      <c r="I1102" s="18" t="str">
        <f t="shared" ca="1" si="87"/>
        <v/>
      </c>
      <c r="J1102" s="5" t="str">
        <f t="shared" si="88"/>
        <v/>
      </c>
      <c r="K1102" s="25"/>
      <c r="L1102" s="5" t="str">
        <f t="shared" si="89"/>
        <v/>
      </c>
      <c r="M1102" s="7"/>
      <c r="N1102" s="7"/>
      <c r="O1102" s="7"/>
      <c r="P1102" s="20" t="str">
        <f>IF($A1102="","",INDEX(Project_Tracker!$I$2:$I$101,INT((ROW()-6)/17)+1))</f>
        <v/>
      </c>
      <c r="Q1102" s="20" t="str">
        <f>IF($A1102="","",INDEX(Project_Tracker!$K$2:$K$101,INT((ROW()-6)/17)+1))</f>
        <v/>
      </c>
    </row>
    <row r="1103" spans="1:17" x14ac:dyDescent="0.2">
      <c r="A1103" s="20" t="str">
        <f>IF(INDEX(Project_Tracker!$AL$2:$AL$101,INT((ROW()-6)/17)+1)="","",INDEX(Project_Tracker!$AL$2:$AL$101,INT((ROW()-6)/17)+1))</f>
        <v/>
      </c>
      <c r="B1103" s="21" t="str">
        <f>IF($A1103="","",INDEX(Project_Tracker!$AM$2:$AM$101,INT((ROW()-6)/17)+1))</f>
        <v/>
      </c>
      <c r="C1103" s="20" t="str">
        <f>IF($A1103="","",INDEX(Project_Tracker!$C$2:$C$101,INT((ROW()-6)/17)+1))</f>
        <v/>
      </c>
      <c r="D1103" s="6" t="str">
        <f>IF($A1103="","",INDEX(Project_Tracker!$T$2:$T$101,INT((ROW()-6)/17)+1))</f>
        <v/>
      </c>
      <c r="E1103" s="18">
        <f t="shared" si="85"/>
        <v>10</v>
      </c>
      <c r="F1103" s="23" t="str">
        <f>IF($A1103="","",INDEX('Logic &amp; Lists'!$I$4:$I$20,$E1103))</f>
        <v/>
      </c>
      <c r="G1103" s="18" t="str">
        <f>IF($A1103="","",INDEX('Logic &amp; Lists'!$J$4:$J$20,$E1103))</f>
        <v/>
      </c>
      <c r="H1103" s="6" t="str">
        <f t="shared" si="86"/>
        <v/>
      </c>
      <c r="I1103" s="18" t="str">
        <f t="shared" ca="1" si="87"/>
        <v/>
      </c>
      <c r="J1103" s="5" t="str">
        <f t="shared" si="88"/>
        <v/>
      </c>
      <c r="K1103" s="25"/>
      <c r="L1103" s="5" t="str">
        <f t="shared" si="89"/>
        <v/>
      </c>
      <c r="M1103" s="7"/>
      <c r="N1103" s="7"/>
      <c r="O1103" s="7"/>
      <c r="P1103" s="20" t="str">
        <f>IF($A1103="","",INDEX(Project_Tracker!$I$2:$I$101,INT((ROW()-6)/17)+1))</f>
        <v/>
      </c>
      <c r="Q1103" s="20" t="str">
        <f>IF($A1103="","",INDEX(Project_Tracker!$K$2:$K$101,INT((ROW()-6)/17)+1))</f>
        <v/>
      </c>
    </row>
    <row r="1104" spans="1:17" x14ac:dyDescent="0.2">
      <c r="A1104" s="20" t="str">
        <f>IF(INDEX(Project_Tracker!$AL$2:$AL$101,INT((ROW()-6)/17)+1)="","",INDEX(Project_Tracker!$AL$2:$AL$101,INT((ROW()-6)/17)+1))</f>
        <v/>
      </c>
      <c r="B1104" s="21" t="str">
        <f>IF($A1104="","",INDEX(Project_Tracker!$AM$2:$AM$101,INT((ROW()-6)/17)+1))</f>
        <v/>
      </c>
      <c r="C1104" s="20" t="str">
        <f>IF($A1104="","",INDEX(Project_Tracker!$C$2:$C$101,INT((ROW()-6)/17)+1))</f>
        <v/>
      </c>
      <c r="D1104" s="6" t="str">
        <f>IF($A1104="","",INDEX(Project_Tracker!$T$2:$T$101,INT((ROW()-6)/17)+1))</f>
        <v/>
      </c>
      <c r="E1104" s="18">
        <f t="shared" si="85"/>
        <v>11</v>
      </c>
      <c r="F1104" s="23" t="str">
        <f>IF($A1104="","",INDEX('Logic &amp; Lists'!$I$4:$I$20,$E1104))</f>
        <v/>
      </c>
      <c r="G1104" s="18" t="str">
        <f>IF($A1104="","",INDEX('Logic &amp; Lists'!$J$4:$J$20,$E1104))</f>
        <v/>
      </c>
      <c r="H1104" s="6" t="str">
        <f t="shared" si="86"/>
        <v/>
      </c>
      <c r="I1104" s="18" t="str">
        <f t="shared" ca="1" si="87"/>
        <v/>
      </c>
      <c r="J1104" s="5" t="str">
        <f t="shared" si="88"/>
        <v/>
      </c>
      <c r="K1104" s="25"/>
      <c r="L1104" s="5" t="str">
        <f t="shared" si="89"/>
        <v/>
      </c>
      <c r="M1104" s="7"/>
      <c r="N1104" s="7"/>
      <c r="O1104" s="7"/>
      <c r="P1104" s="20" t="str">
        <f>IF($A1104="","",INDEX(Project_Tracker!$I$2:$I$101,INT((ROW()-6)/17)+1))</f>
        <v/>
      </c>
      <c r="Q1104" s="20" t="str">
        <f>IF($A1104="","",INDEX(Project_Tracker!$K$2:$K$101,INT((ROW()-6)/17)+1))</f>
        <v/>
      </c>
    </row>
    <row r="1105" spans="1:17" x14ac:dyDescent="0.2">
      <c r="A1105" s="20" t="str">
        <f>IF(INDEX(Project_Tracker!$AL$2:$AL$101,INT((ROW()-6)/17)+1)="","",INDEX(Project_Tracker!$AL$2:$AL$101,INT((ROW()-6)/17)+1))</f>
        <v/>
      </c>
      <c r="B1105" s="21" t="str">
        <f>IF($A1105="","",INDEX(Project_Tracker!$AM$2:$AM$101,INT((ROW()-6)/17)+1))</f>
        <v/>
      </c>
      <c r="C1105" s="20" t="str">
        <f>IF($A1105="","",INDEX(Project_Tracker!$C$2:$C$101,INT((ROW()-6)/17)+1))</f>
        <v/>
      </c>
      <c r="D1105" s="6" t="str">
        <f>IF($A1105="","",INDEX(Project_Tracker!$T$2:$T$101,INT((ROW()-6)/17)+1))</f>
        <v/>
      </c>
      <c r="E1105" s="18">
        <f t="shared" si="85"/>
        <v>12</v>
      </c>
      <c r="F1105" s="23" t="str">
        <f>IF($A1105="","",INDEX('Logic &amp; Lists'!$I$4:$I$20,$E1105))</f>
        <v/>
      </c>
      <c r="G1105" s="18" t="str">
        <f>IF($A1105="","",INDEX('Logic &amp; Lists'!$J$4:$J$20,$E1105))</f>
        <v/>
      </c>
      <c r="H1105" s="6" t="str">
        <f t="shared" si="86"/>
        <v/>
      </c>
      <c r="I1105" s="18" t="str">
        <f t="shared" ca="1" si="87"/>
        <v/>
      </c>
      <c r="J1105" s="5" t="str">
        <f t="shared" si="88"/>
        <v/>
      </c>
      <c r="K1105" s="25"/>
      <c r="L1105" s="5" t="str">
        <f t="shared" si="89"/>
        <v/>
      </c>
      <c r="M1105" s="7"/>
      <c r="N1105" s="7"/>
      <c r="O1105" s="7"/>
      <c r="P1105" s="20" t="str">
        <f>IF($A1105="","",INDEX(Project_Tracker!$I$2:$I$101,INT((ROW()-6)/17)+1))</f>
        <v/>
      </c>
      <c r="Q1105" s="20" t="str">
        <f>IF($A1105="","",INDEX(Project_Tracker!$K$2:$K$101,INT((ROW()-6)/17)+1))</f>
        <v/>
      </c>
    </row>
    <row r="1106" spans="1:17" x14ac:dyDescent="0.2">
      <c r="A1106" s="20" t="str">
        <f>IF(INDEX(Project_Tracker!$AL$2:$AL$101,INT((ROW()-6)/17)+1)="","",INDEX(Project_Tracker!$AL$2:$AL$101,INT((ROW()-6)/17)+1))</f>
        <v/>
      </c>
      <c r="B1106" s="21" t="str">
        <f>IF($A1106="","",INDEX(Project_Tracker!$AM$2:$AM$101,INT((ROW()-6)/17)+1))</f>
        <v/>
      </c>
      <c r="C1106" s="20" t="str">
        <f>IF($A1106="","",INDEX(Project_Tracker!$C$2:$C$101,INT((ROW()-6)/17)+1))</f>
        <v/>
      </c>
      <c r="D1106" s="6" t="str">
        <f>IF($A1106="","",INDEX(Project_Tracker!$T$2:$T$101,INT((ROW()-6)/17)+1))</f>
        <v/>
      </c>
      <c r="E1106" s="18">
        <f t="shared" si="85"/>
        <v>13</v>
      </c>
      <c r="F1106" s="23" t="str">
        <f>IF($A1106="","",INDEX('Logic &amp; Lists'!$I$4:$I$20,$E1106))</f>
        <v/>
      </c>
      <c r="G1106" s="18" t="str">
        <f>IF($A1106="","",INDEX('Logic &amp; Lists'!$J$4:$J$20,$E1106))</f>
        <v/>
      </c>
      <c r="H1106" s="6" t="str">
        <f t="shared" si="86"/>
        <v/>
      </c>
      <c r="I1106" s="18" t="str">
        <f t="shared" ca="1" si="87"/>
        <v/>
      </c>
      <c r="J1106" s="5" t="str">
        <f t="shared" si="88"/>
        <v/>
      </c>
      <c r="K1106" s="25"/>
      <c r="L1106" s="5" t="str">
        <f t="shared" si="89"/>
        <v/>
      </c>
      <c r="M1106" s="7"/>
      <c r="N1106" s="7"/>
      <c r="O1106" s="7"/>
      <c r="P1106" s="20" t="str">
        <f>IF($A1106="","",INDEX(Project_Tracker!$I$2:$I$101,INT((ROW()-6)/17)+1))</f>
        <v/>
      </c>
      <c r="Q1106" s="20" t="str">
        <f>IF($A1106="","",INDEX(Project_Tracker!$K$2:$K$101,INT((ROW()-6)/17)+1))</f>
        <v/>
      </c>
    </row>
    <row r="1107" spans="1:17" x14ac:dyDescent="0.2">
      <c r="A1107" s="20" t="str">
        <f>IF(INDEX(Project_Tracker!$AL$2:$AL$101,INT((ROW()-6)/17)+1)="","",INDEX(Project_Tracker!$AL$2:$AL$101,INT((ROW()-6)/17)+1))</f>
        <v/>
      </c>
      <c r="B1107" s="21" t="str">
        <f>IF($A1107="","",INDEX(Project_Tracker!$AM$2:$AM$101,INT((ROW()-6)/17)+1))</f>
        <v/>
      </c>
      <c r="C1107" s="20" t="str">
        <f>IF($A1107="","",INDEX(Project_Tracker!$C$2:$C$101,INT((ROW()-6)/17)+1))</f>
        <v/>
      </c>
      <c r="D1107" s="6" t="str">
        <f>IF($A1107="","",INDEX(Project_Tracker!$T$2:$T$101,INT((ROW()-6)/17)+1))</f>
        <v/>
      </c>
      <c r="E1107" s="18">
        <f t="shared" si="85"/>
        <v>14</v>
      </c>
      <c r="F1107" s="23" t="str">
        <f>IF($A1107="","",INDEX('Logic &amp; Lists'!$I$4:$I$20,$E1107))</f>
        <v/>
      </c>
      <c r="G1107" s="18" t="str">
        <f>IF($A1107="","",INDEX('Logic &amp; Lists'!$J$4:$J$20,$E1107))</f>
        <v/>
      </c>
      <c r="H1107" s="6" t="str">
        <f t="shared" si="86"/>
        <v/>
      </c>
      <c r="I1107" s="18" t="str">
        <f t="shared" ca="1" si="87"/>
        <v/>
      </c>
      <c r="J1107" s="5" t="str">
        <f t="shared" si="88"/>
        <v/>
      </c>
      <c r="K1107" s="25"/>
      <c r="L1107" s="5" t="str">
        <f t="shared" si="89"/>
        <v/>
      </c>
      <c r="M1107" s="7"/>
      <c r="N1107" s="7"/>
      <c r="O1107" s="7"/>
      <c r="P1107" s="20" t="str">
        <f>IF($A1107="","",INDEX(Project_Tracker!$I$2:$I$101,INT((ROW()-6)/17)+1))</f>
        <v/>
      </c>
      <c r="Q1107" s="20" t="str">
        <f>IF($A1107="","",INDEX(Project_Tracker!$K$2:$K$101,INT((ROW()-6)/17)+1))</f>
        <v/>
      </c>
    </row>
    <row r="1108" spans="1:17" x14ac:dyDescent="0.2">
      <c r="A1108" s="20" t="str">
        <f>IF(INDEX(Project_Tracker!$AL$2:$AL$101,INT((ROW()-6)/17)+1)="","",INDEX(Project_Tracker!$AL$2:$AL$101,INT((ROW()-6)/17)+1))</f>
        <v/>
      </c>
      <c r="B1108" s="21" t="str">
        <f>IF($A1108="","",INDEX(Project_Tracker!$AM$2:$AM$101,INT((ROW()-6)/17)+1))</f>
        <v/>
      </c>
      <c r="C1108" s="20" t="str">
        <f>IF($A1108="","",INDEX(Project_Tracker!$C$2:$C$101,INT((ROW()-6)/17)+1))</f>
        <v/>
      </c>
      <c r="D1108" s="6" t="str">
        <f>IF($A1108="","",INDEX(Project_Tracker!$T$2:$T$101,INT((ROW()-6)/17)+1))</f>
        <v/>
      </c>
      <c r="E1108" s="18">
        <f t="shared" si="85"/>
        <v>15</v>
      </c>
      <c r="F1108" s="23" t="str">
        <f>IF($A1108="","",INDEX('Logic &amp; Lists'!$I$4:$I$20,$E1108))</f>
        <v/>
      </c>
      <c r="G1108" s="18" t="str">
        <f>IF($A1108="","",INDEX('Logic &amp; Lists'!$J$4:$J$20,$E1108))</f>
        <v/>
      </c>
      <c r="H1108" s="6" t="str">
        <f t="shared" si="86"/>
        <v/>
      </c>
      <c r="I1108" s="18" t="str">
        <f t="shared" ca="1" si="87"/>
        <v/>
      </c>
      <c r="J1108" s="5" t="str">
        <f t="shared" si="88"/>
        <v/>
      </c>
      <c r="K1108" s="25"/>
      <c r="L1108" s="5" t="str">
        <f t="shared" si="89"/>
        <v/>
      </c>
      <c r="M1108" s="7"/>
      <c r="N1108" s="7"/>
      <c r="O1108" s="7"/>
      <c r="P1108" s="20" t="str">
        <f>IF($A1108="","",INDEX(Project_Tracker!$I$2:$I$101,INT((ROW()-6)/17)+1))</f>
        <v/>
      </c>
      <c r="Q1108" s="20" t="str">
        <f>IF($A1108="","",INDEX(Project_Tracker!$K$2:$K$101,INT((ROW()-6)/17)+1))</f>
        <v/>
      </c>
    </row>
    <row r="1109" spans="1:17" x14ac:dyDescent="0.2">
      <c r="A1109" s="20" t="str">
        <f>IF(INDEX(Project_Tracker!$AL$2:$AL$101,INT((ROW()-6)/17)+1)="","",INDEX(Project_Tracker!$AL$2:$AL$101,INT((ROW()-6)/17)+1))</f>
        <v/>
      </c>
      <c r="B1109" s="21" t="str">
        <f>IF($A1109="","",INDEX(Project_Tracker!$AM$2:$AM$101,INT((ROW()-6)/17)+1))</f>
        <v/>
      </c>
      <c r="C1109" s="20" t="str">
        <f>IF($A1109="","",INDEX(Project_Tracker!$C$2:$C$101,INT((ROW()-6)/17)+1))</f>
        <v/>
      </c>
      <c r="D1109" s="6" t="str">
        <f>IF($A1109="","",INDEX(Project_Tracker!$T$2:$T$101,INT((ROW()-6)/17)+1))</f>
        <v/>
      </c>
      <c r="E1109" s="18">
        <f t="shared" si="85"/>
        <v>16</v>
      </c>
      <c r="F1109" s="23" t="str">
        <f>IF($A1109="","",INDEX('Logic &amp; Lists'!$I$4:$I$20,$E1109))</f>
        <v/>
      </c>
      <c r="G1109" s="18" t="str">
        <f>IF($A1109="","",INDEX('Logic &amp; Lists'!$J$4:$J$20,$E1109))</f>
        <v/>
      </c>
      <c r="H1109" s="6" t="str">
        <f t="shared" si="86"/>
        <v/>
      </c>
      <c r="I1109" s="18" t="str">
        <f t="shared" ca="1" si="87"/>
        <v/>
      </c>
      <c r="J1109" s="5" t="str">
        <f t="shared" si="88"/>
        <v/>
      </c>
      <c r="K1109" s="25"/>
      <c r="L1109" s="5" t="str">
        <f t="shared" si="89"/>
        <v/>
      </c>
      <c r="M1109" s="7"/>
      <c r="N1109" s="7"/>
      <c r="O1109" s="7"/>
      <c r="P1109" s="20" t="str">
        <f>IF($A1109="","",INDEX(Project_Tracker!$I$2:$I$101,INT((ROW()-6)/17)+1))</f>
        <v/>
      </c>
      <c r="Q1109" s="20" t="str">
        <f>IF($A1109="","",INDEX(Project_Tracker!$K$2:$K$101,INT((ROW()-6)/17)+1))</f>
        <v/>
      </c>
    </row>
    <row r="1110" spans="1:17" x14ac:dyDescent="0.2">
      <c r="A1110" s="20" t="str">
        <f>IF(INDEX(Project_Tracker!$AL$2:$AL$101,INT((ROW()-6)/17)+1)="","",INDEX(Project_Tracker!$AL$2:$AL$101,INT((ROW()-6)/17)+1))</f>
        <v/>
      </c>
      <c r="B1110" s="21" t="str">
        <f>IF($A1110="","",INDEX(Project_Tracker!$AM$2:$AM$101,INT((ROW()-6)/17)+1))</f>
        <v/>
      </c>
      <c r="C1110" s="20" t="str">
        <f>IF($A1110="","",INDEX(Project_Tracker!$C$2:$C$101,INT((ROW()-6)/17)+1))</f>
        <v/>
      </c>
      <c r="D1110" s="6" t="str">
        <f>IF($A1110="","",INDEX(Project_Tracker!$T$2:$T$101,INT((ROW()-6)/17)+1))</f>
        <v/>
      </c>
      <c r="E1110" s="18">
        <f t="shared" si="85"/>
        <v>17</v>
      </c>
      <c r="F1110" s="23" t="str">
        <f>IF($A1110="","",INDEX('Logic &amp; Lists'!$I$4:$I$20,$E1110))</f>
        <v/>
      </c>
      <c r="G1110" s="18" t="str">
        <f>IF($A1110="","",INDEX('Logic &amp; Lists'!$J$4:$J$20,$E1110))</f>
        <v/>
      </c>
      <c r="H1110" s="6" t="str">
        <f t="shared" si="86"/>
        <v/>
      </c>
      <c r="I1110" s="18" t="str">
        <f t="shared" ca="1" si="87"/>
        <v/>
      </c>
      <c r="J1110" s="5" t="str">
        <f t="shared" si="88"/>
        <v/>
      </c>
      <c r="K1110" s="25"/>
      <c r="L1110" s="5" t="str">
        <f t="shared" si="89"/>
        <v/>
      </c>
      <c r="M1110" s="7"/>
      <c r="N1110" s="7"/>
      <c r="O1110" s="7"/>
      <c r="P1110" s="20" t="str">
        <f>IF($A1110="","",INDEX(Project_Tracker!$I$2:$I$101,INT((ROW()-6)/17)+1))</f>
        <v/>
      </c>
      <c r="Q1110" s="20" t="str">
        <f>IF($A1110="","",INDEX(Project_Tracker!$K$2:$K$101,INT((ROW()-6)/17)+1))</f>
        <v/>
      </c>
    </row>
    <row r="1111" spans="1:17" x14ac:dyDescent="0.2">
      <c r="A1111" s="20" t="str">
        <f>IF(INDEX(Project_Tracker!$AL$2:$AL$101,INT((ROW()-6)/17)+1)="","",INDEX(Project_Tracker!$AL$2:$AL$101,INT((ROW()-6)/17)+1))</f>
        <v/>
      </c>
      <c r="B1111" s="21" t="str">
        <f>IF($A1111="","",INDEX(Project_Tracker!$AM$2:$AM$101,INT((ROW()-6)/17)+1))</f>
        <v/>
      </c>
      <c r="C1111" s="20" t="str">
        <f>IF($A1111="","",INDEX(Project_Tracker!$C$2:$C$101,INT((ROW()-6)/17)+1))</f>
        <v/>
      </c>
      <c r="D1111" s="6" t="str">
        <f>IF($A1111="","",INDEX(Project_Tracker!$T$2:$T$101,INT((ROW()-6)/17)+1))</f>
        <v/>
      </c>
      <c r="E1111" s="18">
        <f t="shared" si="85"/>
        <v>1</v>
      </c>
      <c r="F1111" s="23" t="str">
        <f>IF($A1111="","",INDEX('Logic &amp; Lists'!$I$4:$I$20,$E1111))</f>
        <v/>
      </c>
      <c r="G1111" s="18" t="str">
        <f>IF($A1111="","",INDEX('Logic &amp; Lists'!$J$4:$J$20,$E1111))</f>
        <v/>
      </c>
      <c r="H1111" s="6" t="str">
        <f t="shared" si="86"/>
        <v/>
      </c>
      <c r="I1111" s="18" t="str">
        <f t="shared" ca="1" si="87"/>
        <v/>
      </c>
      <c r="J1111" s="5" t="str">
        <f t="shared" si="88"/>
        <v/>
      </c>
      <c r="K1111" s="25"/>
      <c r="L1111" s="5" t="str">
        <f t="shared" si="89"/>
        <v/>
      </c>
      <c r="M1111" s="7"/>
      <c r="N1111" s="7"/>
      <c r="O1111" s="7"/>
      <c r="P1111" s="20" t="str">
        <f>IF($A1111="","",INDEX(Project_Tracker!$I$2:$I$101,INT((ROW()-6)/17)+1))</f>
        <v/>
      </c>
      <c r="Q1111" s="20" t="str">
        <f>IF($A1111="","",INDEX(Project_Tracker!$K$2:$K$101,INT((ROW()-6)/17)+1))</f>
        <v/>
      </c>
    </row>
    <row r="1112" spans="1:17" x14ac:dyDescent="0.2">
      <c r="A1112" s="20" t="str">
        <f>IF(INDEX(Project_Tracker!$AL$2:$AL$101,INT((ROW()-6)/17)+1)="","",INDEX(Project_Tracker!$AL$2:$AL$101,INT((ROW()-6)/17)+1))</f>
        <v/>
      </c>
      <c r="B1112" s="21" t="str">
        <f>IF($A1112="","",INDEX(Project_Tracker!$AM$2:$AM$101,INT((ROW()-6)/17)+1))</f>
        <v/>
      </c>
      <c r="C1112" s="20" t="str">
        <f>IF($A1112="","",INDEX(Project_Tracker!$C$2:$C$101,INT((ROW()-6)/17)+1))</f>
        <v/>
      </c>
      <c r="D1112" s="6" t="str">
        <f>IF($A1112="","",INDEX(Project_Tracker!$T$2:$T$101,INT((ROW()-6)/17)+1))</f>
        <v/>
      </c>
      <c r="E1112" s="18">
        <f t="shared" si="85"/>
        <v>2</v>
      </c>
      <c r="F1112" s="23" t="str">
        <f>IF($A1112="","",INDEX('Logic &amp; Lists'!$I$4:$I$20,$E1112))</f>
        <v/>
      </c>
      <c r="G1112" s="18" t="str">
        <f>IF($A1112="","",INDEX('Logic &amp; Lists'!$J$4:$J$20,$E1112))</f>
        <v/>
      </c>
      <c r="H1112" s="6" t="str">
        <f t="shared" si="86"/>
        <v/>
      </c>
      <c r="I1112" s="18" t="str">
        <f t="shared" ca="1" si="87"/>
        <v/>
      </c>
      <c r="J1112" s="5" t="str">
        <f t="shared" si="88"/>
        <v/>
      </c>
      <c r="K1112" s="25"/>
      <c r="L1112" s="5" t="str">
        <f t="shared" si="89"/>
        <v/>
      </c>
      <c r="M1112" s="7"/>
      <c r="N1112" s="7"/>
      <c r="O1112" s="7"/>
      <c r="P1112" s="20" t="str">
        <f>IF($A1112="","",INDEX(Project_Tracker!$I$2:$I$101,INT((ROW()-6)/17)+1))</f>
        <v/>
      </c>
      <c r="Q1112" s="20" t="str">
        <f>IF($A1112="","",INDEX(Project_Tracker!$K$2:$K$101,INT((ROW()-6)/17)+1))</f>
        <v/>
      </c>
    </row>
    <row r="1113" spans="1:17" x14ac:dyDescent="0.2">
      <c r="A1113" s="20" t="str">
        <f>IF(INDEX(Project_Tracker!$AL$2:$AL$101,INT((ROW()-6)/17)+1)="","",INDEX(Project_Tracker!$AL$2:$AL$101,INT((ROW()-6)/17)+1))</f>
        <v/>
      </c>
      <c r="B1113" s="21" t="str">
        <f>IF($A1113="","",INDEX(Project_Tracker!$AM$2:$AM$101,INT((ROW()-6)/17)+1))</f>
        <v/>
      </c>
      <c r="C1113" s="20" t="str">
        <f>IF($A1113="","",INDEX(Project_Tracker!$C$2:$C$101,INT((ROW()-6)/17)+1))</f>
        <v/>
      </c>
      <c r="D1113" s="6" t="str">
        <f>IF($A1113="","",INDEX(Project_Tracker!$T$2:$T$101,INT((ROW()-6)/17)+1))</f>
        <v/>
      </c>
      <c r="E1113" s="18">
        <f t="shared" si="85"/>
        <v>3</v>
      </c>
      <c r="F1113" s="23" t="str">
        <f>IF($A1113="","",INDEX('Logic &amp; Lists'!$I$4:$I$20,$E1113))</f>
        <v/>
      </c>
      <c r="G1113" s="18" t="str">
        <f>IF($A1113="","",INDEX('Logic &amp; Lists'!$J$4:$J$20,$E1113))</f>
        <v/>
      </c>
      <c r="H1113" s="6" t="str">
        <f t="shared" si="86"/>
        <v/>
      </c>
      <c r="I1113" s="18" t="str">
        <f t="shared" ca="1" si="87"/>
        <v/>
      </c>
      <c r="J1113" s="5" t="str">
        <f t="shared" si="88"/>
        <v/>
      </c>
      <c r="K1113" s="25"/>
      <c r="L1113" s="5" t="str">
        <f t="shared" si="89"/>
        <v/>
      </c>
      <c r="M1113" s="7"/>
      <c r="N1113" s="7"/>
      <c r="O1113" s="7"/>
      <c r="P1113" s="20" t="str">
        <f>IF($A1113="","",INDEX(Project_Tracker!$I$2:$I$101,INT((ROW()-6)/17)+1))</f>
        <v/>
      </c>
      <c r="Q1113" s="20" t="str">
        <f>IF($A1113="","",INDEX(Project_Tracker!$K$2:$K$101,INT((ROW()-6)/17)+1))</f>
        <v/>
      </c>
    </row>
    <row r="1114" spans="1:17" x14ac:dyDescent="0.2">
      <c r="A1114" s="20" t="str">
        <f>IF(INDEX(Project_Tracker!$AL$2:$AL$101,INT((ROW()-6)/17)+1)="","",INDEX(Project_Tracker!$AL$2:$AL$101,INT((ROW()-6)/17)+1))</f>
        <v/>
      </c>
      <c r="B1114" s="21" t="str">
        <f>IF($A1114="","",INDEX(Project_Tracker!$AM$2:$AM$101,INT((ROW()-6)/17)+1))</f>
        <v/>
      </c>
      <c r="C1114" s="20" t="str">
        <f>IF($A1114="","",INDEX(Project_Tracker!$C$2:$C$101,INT((ROW()-6)/17)+1))</f>
        <v/>
      </c>
      <c r="D1114" s="6" t="str">
        <f>IF($A1114="","",INDEX(Project_Tracker!$T$2:$T$101,INT((ROW()-6)/17)+1))</f>
        <v/>
      </c>
      <c r="E1114" s="18">
        <f t="shared" si="85"/>
        <v>4</v>
      </c>
      <c r="F1114" s="23" t="str">
        <f>IF($A1114="","",INDEX('Logic &amp; Lists'!$I$4:$I$20,$E1114))</f>
        <v/>
      </c>
      <c r="G1114" s="18" t="str">
        <f>IF($A1114="","",INDEX('Logic &amp; Lists'!$J$4:$J$20,$E1114))</f>
        <v/>
      </c>
      <c r="H1114" s="6" t="str">
        <f t="shared" si="86"/>
        <v/>
      </c>
      <c r="I1114" s="18" t="str">
        <f t="shared" ca="1" si="87"/>
        <v/>
      </c>
      <c r="J1114" s="5" t="str">
        <f t="shared" si="88"/>
        <v/>
      </c>
      <c r="K1114" s="25"/>
      <c r="L1114" s="5" t="str">
        <f t="shared" si="89"/>
        <v/>
      </c>
      <c r="M1114" s="7"/>
      <c r="N1114" s="7"/>
      <c r="O1114" s="7"/>
      <c r="P1114" s="20" t="str">
        <f>IF($A1114="","",INDEX(Project_Tracker!$I$2:$I$101,INT((ROW()-6)/17)+1))</f>
        <v/>
      </c>
      <c r="Q1114" s="20" t="str">
        <f>IF($A1114="","",INDEX(Project_Tracker!$K$2:$K$101,INT((ROW()-6)/17)+1))</f>
        <v/>
      </c>
    </row>
    <row r="1115" spans="1:17" x14ac:dyDescent="0.2">
      <c r="A1115" s="20" t="str">
        <f>IF(INDEX(Project_Tracker!$AL$2:$AL$101,INT((ROW()-6)/17)+1)="","",INDEX(Project_Tracker!$AL$2:$AL$101,INT((ROW()-6)/17)+1))</f>
        <v/>
      </c>
      <c r="B1115" s="21" t="str">
        <f>IF($A1115="","",INDEX(Project_Tracker!$AM$2:$AM$101,INT((ROW()-6)/17)+1))</f>
        <v/>
      </c>
      <c r="C1115" s="20" t="str">
        <f>IF($A1115="","",INDEX(Project_Tracker!$C$2:$C$101,INT((ROW()-6)/17)+1))</f>
        <v/>
      </c>
      <c r="D1115" s="6" t="str">
        <f>IF($A1115="","",INDEX(Project_Tracker!$T$2:$T$101,INT((ROW()-6)/17)+1))</f>
        <v/>
      </c>
      <c r="E1115" s="18">
        <f t="shared" si="85"/>
        <v>5</v>
      </c>
      <c r="F1115" s="23" t="str">
        <f>IF($A1115="","",INDEX('Logic &amp; Lists'!$I$4:$I$20,$E1115))</f>
        <v/>
      </c>
      <c r="G1115" s="18" t="str">
        <f>IF($A1115="","",INDEX('Logic &amp; Lists'!$J$4:$J$20,$E1115))</f>
        <v/>
      </c>
      <c r="H1115" s="6" t="str">
        <f t="shared" si="86"/>
        <v/>
      </c>
      <c r="I1115" s="18" t="str">
        <f t="shared" ca="1" si="87"/>
        <v/>
      </c>
      <c r="J1115" s="5" t="str">
        <f t="shared" si="88"/>
        <v/>
      </c>
      <c r="K1115" s="25"/>
      <c r="L1115" s="5" t="str">
        <f t="shared" si="89"/>
        <v/>
      </c>
      <c r="M1115" s="7"/>
      <c r="N1115" s="7"/>
      <c r="O1115" s="7"/>
      <c r="P1115" s="20" t="str">
        <f>IF($A1115="","",INDEX(Project_Tracker!$I$2:$I$101,INT((ROW()-6)/17)+1))</f>
        <v/>
      </c>
      <c r="Q1115" s="20" t="str">
        <f>IF($A1115="","",INDEX(Project_Tracker!$K$2:$K$101,INT((ROW()-6)/17)+1))</f>
        <v/>
      </c>
    </row>
    <row r="1116" spans="1:17" x14ac:dyDescent="0.2">
      <c r="A1116" s="20" t="str">
        <f>IF(INDEX(Project_Tracker!$AL$2:$AL$101,INT((ROW()-6)/17)+1)="","",INDEX(Project_Tracker!$AL$2:$AL$101,INT((ROW()-6)/17)+1))</f>
        <v/>
      </c>
      <c r="B1116" s="21" t="str">
        <f>IF($A1116="","",INDEX(Project_Tracker!$AM$2:$AM$101,INT((ROW()-6)/17)+1))</f>
        <v/>
      </c>
      <c r="C1116" s="20" t="str">
        <f>IF($A1116="","",INDEX(Project_Tracker!$C$2:$C$101,INT((ROW()-6)/17)+1))</f>
        <v/>
      </c>
      <c r="D1116" s="6" t="str">
        <f>IF($A1116="","",INDEX(Project_Tracker!$T$2:$T$101,INT((ROW()-6)/17)+1))</f>
        <v/>
      </c>
      <c r="E1116" s="18">
        <f t="shared" si="85"/>
        <v>6</v>
      </c>
      <c r="F1116" s="23" t="str">
        <f>IF($A1116="","",INDEX('Logic &amp; Lists'!$I$4:$I$20,$E1116))</f>
        <v/>
      </c>
      <c r="G1116" s="18" t="str">
        <f>IF($A1116="","",INDEX('Logic &amp; Lists'!$J$4:$J$20,$E1116))</f>
        <v/>
      </c>
      <c r="H1116" s="6" t="str">
        <f t="shared" si="86"/>
        <v/>
      </c>
      <c r="I1116" s="18" t="str">
        <f t="shared" ca="1" si="87"/>
        <v/>
      </c>
      <c r="J1116" s="5" t="str">
        <f t="shared" si="88"/>
        <v/>
      </c>
      <c r="K1116" s="25"/>
      <c r="L1116" s="5" t="str">
        <f t="shared" si="89"/>
        <v/>
      </c>
      <c r="M1116" s="7"/>
      <c r="N1116" s="7"/>
      <c r="O1116" s="7"/>
      <c r="P1116" s="20" t="str">
        <f>IF($A1116="","",INDEX(Project_Tracker!$I$2:$I$101,INT((ROW()-6)/17)+1))</f>
        <v/>
      </c>
      <c r="Q1116" s="20" t="str">
        <f>IF($A1116="","",INDEX(Project_Tracker!$K$2:$K$101,INT((ROW()-6)/17)+1))</f>
        <v/>
      </c>
    </row>
    <row r="1117" spans="1:17" x14ac:dyDescent="0.2">
      <c r="A1117" s="20" t="str">
        <f>IF(INDEX(Project_Tracker!$AL$2:$AL$101,INT((ROW()-6)/17)+1)="","",INDEX(Project_Tracker!$AL$2:$AL$101,INT((ROW()-6)/17)+1))</f>
        <v/>
      </c>
      <c r="B1117" s="21" t="str">
        <f>IF($A1117="","",INDEX(Project_Tracker!$AM$2:$AM$101,INT((ROW()-6)/17)+1))</f>
        <v/>
      </c>
      <c r="C1117" s="20" t="str">
        <f>IF($A1117="","",INDEX(Project_Tracker!$C$2:$C$101,INT((ROW()-6)/17)+1))</f>
        <v/>
      </c>
      <c r="D1117" s="6" t="str">
        <f>IF($A1117="","",INDEX(Project_Tracker!$T$2:$T$101,INT((ROW()-6)/17)+1))</f>
        <v/>
      </c>
      <c r="E1117" s="18">
        <f t="shared" si="85"/>
        <v>7</v>
      </c>
      <c r="F1117" s="23" t="str">
        <f>IF($A1117="","",INDEX('Logic &amp; Lists'!$I$4:$I$20,$E1117))</f>
        <v/>
      </c>
      <c r="G1117" s="18" t="str">
        <f>IF($A1117="","",INDEX('Logic &amp; Lists'!$J$4:$J$20,$E1117))</f>
        <v/>
      </c>
      <c r="H1117" s="6" t="str">
        <f t="shared" si="86"/>
        <v/>
      </c>
      <c r="I1117" s="18" t="str">
        <f t="shared" ca="1" si="87"/>
        <v/>
      </c>
      <c r="J1117" s="5" t="str">
        <f t="shared" si="88"/>
        <v/>
      </c>
      <c r="K1117" s="25"/>
      <c r="L1117" s="5" t="str">
        <f t="shared" si="89"/>
        <v/>
      </c>
      <c r="M1117" s="7"/>
      <c r="N1117" s="7"/>
      <c r="O1117" s="7"/>
      <c r="P1117" s="20" t="str">
        <f>IF($A1117="","",INDEX(Project_Tracker!$I$2:$I$101,INT((ROW()-6)/17)+1))</f>
        <v/>
      </c>
      <c r="Q1117" s="20" t="str">
        <f>IF($A1117="","",INDEX(Project_Tracker!$K$2:$K$101,INT((ROW()-6)/17)+1))</f>
        <v/>
      </c>
    </row>
    <row r="1118" spans="1:17" x14ac:dyDescent="0.2">
      <c r="A1118" s="20" t="str">
        <f>IF(INDEX(Project_Tracker!$AL$2:$AL$101,INT((ROW()-6)/17)+1)="","",INDEX(Project_Tracker!$AL$2:$AL$101,INT((ROW()-6)/17)+1))</f>
        <v/>
      </c>
      <c r="B1118" s="21" t="str">
        <f>IF($A1118="","",INDEX(Project_Tracker!$AM$2:$AM$101,INT((ROW()-6)/17)+1))</f>
        <v/>
      </c>
      <c r="C1118" s="20" t="str">
        <f>IF($A1118="","",INDEX(Project_Tracker!$C$2:$C$101,INT((ROW()-6)/17)+1))</f>
        <v/>
      </c>
      <c r="D1118" s="6" t="str">
        <f>IF($A1118="","",INDEX(Project_Tracker!$T$2:$T$101,INT((ROW()-6)/17)+1))</f>
        <v/>
      </c>
      <c r="E1118" s="18">
        <f t="shared" si="85"/>
        <v>8</v>
      </c>
      <c r="F1118" s="23" t="str">
        <f>IF($A1118="","",INDEX('Logic &amp; Lists'!$I$4:$I$20,$E1118))</f>
        <v/>
      </c>
      <c r="G1118" s="18" t="str">
        <f>IF($A1118="","",INDEX('Logic &amp; Lists'!$J$4:$J$20,$E1118))</f>
        <v/>
      </c>
      <c r="H1118" s="6" t="str">
        <f t="shared" si="86"/>
        <v/>
      </c>
      <c r="I1118" s="18" t="str">
        <f t="shared" ca="1" si="87"/>
        <v/>
      </c>
      <c r="J1118" s="5" t="str">
        <f t="shared" si="88"/>
        <v/>
      </c>
      <c r="K1118" s="25"/>
      <c r="L1118" s="5" t="str">
        <f t="shared" si="89"/>
        <v/>
      </c>
      <c r="M1118" s="7"/>
      <c r="N1118" s="7"/>
      <c r="O1118" s="7"/>
      <c r="P1118" s="20" t="str">
        <f>IF($A1118="","",INDEX(Project_Tracker!$I$2:$I$101,INT((ROW()-6)/17)+1))</f>
        <v/>
      </c>
      <c r="Q1118" s="20" t="str">
        <f>IF($A1118="","",INDEX(Project_Tracker!$K$2:$K$101,INT((ROW()-6)/17)+1))</f>
        <v/>
      </c>
    </row>
    <row r="1119" spans="1:17" x14ac:dyDescent="0.2">
      <c r="A1119" s="20" t="str">
        <f>IF(INDEX(Project_Tracker!$AL$2:$AL$101,INT((ROW()-6)/17)+1)="","",INDEX(Project_Tracker!$AL$2:$AL$101,INT((ROW()-6)/17)+1))</f>
        <v/>
      </c>
      <c r="B1119" s="21" t="str">
        <f>IF($A1119="","",INDEX(Project_Tracker!$AM$2:$AM$101,INT((ROW()-6)/17)+1))</f>
        <v/>
      </c>
      <c r="C1119" s="20" t="str">
        <f>IF($A1119="","",INDEX(Project_Tracker!$C$2:$C$101,INT((ROW()-6)/17)+1))</f>
        <v/>
      </c>
      <c r="D1119" s="6" t="str">
        <f>IF($A1119="","",INDEX(Project_Tracker!$T$2:$T$101,INT((ROW()-6)/17)+1))</f>
        <v/>
      </c>
      <c r="E1119" s="18">
        <f t="shared" si="85"/>
        <v>9</v>
      </c>
      <c r="F1119" s="23" t="str">
        <f>IF($A1119="","",INDEX('Logic &amp; Lists'!$I$4:$I$20,$E1119))</f>
        <v/>
      </c>
      <c r="G1119" s="18" t="str">
        <f>IF($A1119="","",INDEX('Logic &amp; Lists'!$J$4:$J$20,$E1119))</f>
        <v/>
      </c>
      <c r="H1119" s="6" t="str">
        <f t="shared" si="86"/>
        <v/>
      </c>
      <c r="I1119" s="18" t="str">
        <f t="shared" ca="1" si="87"/>
        <v/>
      </c>
      <c r="J1119" s="5" t="str">
        <f t="shared" si="88"/>
        <v/>
      </c>
      <c r="K1119" s="25"/>
      <c r="L1119" s="5" t="str">
        <f t="shared" si="89"/>
        <v/>
      </c>
      <c r="M1119" s="7"/>
      <c r="N1119" s="7"/>
      <c r="O1119" s="7"/>
      <c r="P1119" s="20" t="str">
        <f>IF($A1119="","",INDEX(Project_Tracker!$I$2:$I$101,INT((ROW()-6)/17)+1))</f>
        <v/>
      </c>
      <c r="Q1119" s="20" t="str">
        <f>IF($A1119="","",INDEX(Project_Tracker!$K$2:$K$101,INT((ROW()-6)/17)+1))</f>
        <v/>
      </c>
    </row>
    <row r="1120" spans="1:17" x14ac:dyDescent="0.2">
      <c r="A1120" s="20" t="str">
        <f>IF(INDEX(Project_Tracker!$AL$2:$AL$101,INT((ROW()-6)/17)+1)="","",INDEX(Project_Tracker!$AL$2:$AL$101,INT((ROW()-6)/17)+1))</f>
        <v/>
      </c>
      <c r="B1120" s="21" t="str">
        <f>IF($A1120="","",INDEX(Project_Tracker!$AM$2:$AM$101,INT((ROW()-6)/17)+1))</f>
        <v/>
      </c>
      <c r="C1120" s="20" t="str">
        <f>IF($A1120="","",INDEX(Project_Tracker!$C$2:$C$101,INT((ROW()-6)/17)+1))</f>
        <v/>
      </c>
      <c r="D1120" s="6" t="str">
        <f>IF($A1120="","",INDEX(Project_Tracker!$T$2:$T$101,INT((ROW()-6)/17)+1))</f>
        <v/>
      </c>
      <c r="E1120" s="18">
        <f t="shared" si="85"/>
        <v>10</v>
      </c>
      <c r="F1120" s="23" t="str">
        <f>IF($A1120="","",INDEX('Logic &amp; Lists'!$I$4:$I$20,$E1120))</f>
        <v/>
      </c>
      <c r="G1120" s="18" t="str">
        <f>IF($A1120="","",INDEX('Logic &amp; Lists'!$J$4:$J$20,$E1120))</f>
        <v/>
      </c>
      <c r="H1120" s="6" t="str">
        <f t="shared" si="86"/>
        <v/>
      </c>
      <c r="I1120" s="18" t="str">
        <f t="shared" ca="1" si="87"/>
        <v/>
      </c>
      <c r="J1120" s="5" t="str">
        <f t="shared" si="88"/>
        <v/>
      </c>
      <c r="K1120" s="25"/>
      <c r="L1120" s="5" t="str">
        <f t="shared" si="89"/>
        <v/>
      </c>
      <c r="M1120" s="7"/>
      <c r="N1120" s="7"/>
      <c r="O1120" s="7"/>
      <c r="P1120" s="20" t="str">
        <f>IF($A1120="","",INDEX(Project_Tracker!$I$2:$I$101,INT((ROW()-6)/17)+1))</f>
        <v/>
      </c>
      <c r="Q1120" s="20" t="str">
        <f>IF($A1120="","",INDEX(Project_Tracker!$K$2:$K$101,INT((ROW()-6)/17)+1))</f>
        <v/>
      </c>
    </row>
    <row r="1121" spans="1:17" x14ac:dyDescent="0.2">
      <c r="A1121" s="20" t="str">
        <f>IF(INDEX(Project_Tracker!$AL$2:$AL$101,INT((ROW()-6)/17)+1)="","",INDEX(Project_Tracker!$AL$2:$AL$101,INT((ROW()-6)/17)+1))</f>
        <v/>
      </c>
      <c r="B1121" s="21" t="str">
        <f>IF($A1121="","",INDEX(Project_Tracker!$AM$2:$AM$101,INT((ROW()-6)/17)+1))</f>
        <v/>
      </c>
      <c r="C1121" s="20" t="str">
        <f>IF($A1121="","",INDEX(Project_Tracker!$C$2:$C$101,INT((ROW()-6)/17)+1))</f>
        <v/>
      </c>
      <c r="D1121" s="6" t="str">
        <f>IF($A1121="","",INDEX(Project_Tracker!$T$2:$T$101,INT((ROW()-6)/17)+1))</f>
        <v/>
      </c>
      <c r="E1121" s="18">
        <f t="shared" si="85"/>
        <v>11</v>
      </c>
      <c r="F1121" s="23" t="str">
        <f>IF($A1121="","",INDEX('Logic &amp; Lists'!$I$4:$I$20,$E1121))</f>
        <v/>
      </c>
      <c r="G1121" s="18" t="str">
        <f>IF($A1121="","",INDEX('Logic &amp; Lists'!$J$4:$J$20,$E1121))</f>
        <v/>
      </c>
      <c r="H1121" s="6" t="str">
        <f t="shared" si="86"/>
        <v/>
      </c>
      <c r="I1121" s="18" t="str">
        <f t="shared" ca="1" si="87"/>
        <v/>
      </c>
      <c r="J1121" s="5" t="str">
        <f t="shared" si="88"/>
        <v/>
      </c>
      <c r="K1121" s="25"/>
      <c r="L1121" s="5" t="str">
        <f t="shared" si="89"/>
        <v/>
      </c>
      <c r="M1121" s="7"/>
      <c r="N1121" s="7"/>
      <c r="O1121" s="7"/>
      <c r="P1121" s="20" t="str">
        <f>IF($A1121="","",INDEX(Project_Tracker!$I$2:$I$101,INT((ROW()-6)/17)+1))</f>
        <v/>
      </c>
      <c r="Q1121" s="20" t="str">
        <f>IF($A1121="","",INDEX(Project_Tracker!$K$2:$K$101,INT((ROW()-6)/17)+1))</f>
        <v/>
      </c>
    </row>
    <row r="1122" spans="1:17" x14ac:dyDescent="0.2">
      <c r="A1122" s="20" t="str">
        <f>IF(INDEX(Project_Tracker!$AL$2:$AL$101,INT((ROW()-6)/17)+1)="","",INDEX(Project_Tracker!$AL$2:$AL$101,INT((ROW()-6)/17)+1))</f>
        <v/>
      </c>
      <c r="B1122" s="21" t="str">
        <f>IF($A1122="","",INDEX(Project_Tracker!$AM$2:$AM$101,INT((ROW()-6)/17)+1))</f>
        <v/>
      </c>
      <c r="C1122" s="20" t="str">
        <f>IF($A1122="","",INDEX(Project_Tracker!$C$2:$C$101,INT((ROW()-6)/17)+1))</f>
        <v/>
      </c>
      <c r="D1122" s="6" t="str">
        <f>IF($A1122="","",INDEX(Project_Tracker!$T$2:$T$101,INT((ROW()-6)/17)+1))</f>
        <v/>
      </c>
      <c r="E1122" s="18">
        <f t="shared" si="85"/>
        <v>12</v>
      </c>
      <c r="F1122" s="23" t="str">
        <f>IF($A1122="","",INDEX('Logic &amp; Lists'!$I$4:$I$20,$E1122))</f>
        <v/>
      </c>
      <c r="G1122" s="18" t="str">
        <f>IF($A1122="","",INDEX('Logic &amp; Lists'!$J$4:$J$20,$E1122))</f>
        <v/>
      </c>
      <c r="H1122" s="6" t="str">
        <f t="shared" si="86"/>
        <v/>
      </c>
      <c r="I1122" s="18" t="str">
        <f t="shared" ca="1" si="87"/>
        <v/>
      </c>
      <c r="J1122" s="5" t="str">
        <f t="shared" si="88"/>
        <v/>
      </c>
      <c r="K1122" s="25"/>
      <c r="L1122" s="5" t="str">
        <f t="shared" si="89"/>
        <v/>
      </c>
      <c r="M1122" s="7"/>
      <c r="N1122" s="7"/>
      <c r="O1122" s="7"/>
      <c r="P1122" s="20" t="str">
        <f>IF($A1122="","",INDEX(Project_Tracker!$I$2:$I$101,INT((ROW()-6)/17)+1))</f>
        <v/>
      </c>
      <c r="Q1122" s="20" t="str">
        <f>IF($A1122="","",INDEX(Project_Tracker!$K$2:$K$101,INT((ROW()-6)/17)+1))</f>
        <v/>
      </c>
    </row>
    <row r="1123" spans="1:17" x14ac:dyDescent="0.2">
      <c r="A1123" s="20" t="str">
        <f>IF(INDEX(Project_Tracker!$AL$2:$AL$101,INT((ROW()-6)/17)+1)="","",INDEX(Project_Tracker!$AL$2:$AL$101,INT((ROW()-6)/17)+1))</f>
        <v/>
      </c>
      <c r="B1123" s="21" t="str">
        <f>IF($A1123="","",INDEX(Project_Tracker!$AM$2:$AM$101,INT((ROW()-6)/17)+1))</f>
        <v/>
      </c>
      <c r="C1123" s="20" t="str">
        <f>IF($A1123="","",INDEX(Project_Tracker!$C$2:$C$101,INT((ROW()-6)/17)+1))</f>
        <v/>
      </c>
      <c r="D1123" s="6" t="str">
        <f>IF($A1123="","",INDEX(Project_Tracker!$T$2:$T$101,INT((ROW()-6)/17)+1))</f>
        <v/>
      </c>
      <c r="E1123" s="18">
        <f t="shared" si="85"/>
        <v>13</v>
      </c>
      <c r="F1123" s="23" t="str">
        <f>IF($A1123="","",INDEX('Logic &amp; Lists'!$I$4:$I$20,$E1123))</f>
        <v/>
      </c>
      <c r="G1123" s="18" t="str">
        <f>IF($A1123="","",INDEX('Logic &amp; Lists'!$J$4:$J$20,$E1123))</f>
        <v/>
      </c>
      <c r="H1123" s="6" t="str">
        <f t="shared" si="86"/>
        <v/>
      </c>
      <c r="I1123" s="18" t="str">
        <f t="shared" ca="1" si="87"/>
        <v/>
      </c>
      <c r="J1123" s="5" t="str">
        <f t="shared" si="88"/>
        <v/>
      </c>
      <c r="K1123" s="25"/>
      <c r="L1123" s="5" t="str">
        <f t="shared" si="89"/>
        <v/>
      </c>
      <c r="M1123" s="7"/>
      <c r="N1123" s="7"/>
      <c r="O1123" s="7"/>
      <c r="P1123" s="20" t="str">
        <f>IF($A1123="","",INDEX(Project_Tracker!$I$2:$I$101,INT((ROW()-6)/17)+1))</f>
        <v/>
      </c>
      <c r="Q1123" s="20" t="str">
        <f>IF($A1123="","",INDEX(Project_Tracker!$K$2:$K$101,INT((ROW()-6)/17)+1))</f>
        <v/>
      </c>
    </row>
    <row r="1124" spans="1:17" x14ac:dyDescent="0.2">
      <c r="A1124" s="20" t="str">
        <f>IF(INDEX(Project_Tracker!$AL$2:$AL$101,INT((ROW()-6)/17)+1)="","",INDEX(Project_Tracker!$AL$2:$AL$101,INT((ROW()-6)/17)+1))</f>
        <v/>
      </c>
      <c r="B1124" s="21" t="str">
        <f>IF($A1124="","",INDEX(Project_Tracker!$AM$2:$AM$101,INT((ROW()-6)/17)+1))</f>
        <v/>
      </c>
      <c r="C1124" s="20" t="str">
        <f>IF($A1124="","",INDEX(Project_Tracker!$C$2:$C$101,INT((ROW()-6)/17)+1))</f>
        <v/>
      </c>
      <c r="D1124" s="6" t="str">
        <f>IF($A1124="","",INDEX(Project_Tracker!$T$2:$T$101,INT((ROW()-6)/17)+1))</f>
        <v/>
      </c>
      <c r="E1124" s="18">
        <f t="shared" si="85"/>
        <v>14</v>
      </c>
      <c r="F1124" s="23" t="str">
        <f>IF($A1124="","",INDEX('Logic &amp; Lists'!$I$4:$I$20,$E1124))</f>
        <v/>
      </c>
      <c r="G1124" s="18" t="str">
        <f>IF($A1124="","",INDEX('Logic &amp; Lists'!$J$4:$J$20,$E1124))</f>
        <v/>
      </c>
      <c r="H1124" s="6" t="str">
        <f t="shared" si="86"/>
        <v/>
      </c>
      <c r="I1124" s="18" t="str">
        <f t="shared" ca="1" si="87"/>
        <v/>
      </c>
      <c r="J1124" s="5" t="str">
        <f t="shared" si="88"/>
        <v/>
      </c>
      <c r="K1124" s="25"/>
      <c r="L1124" s="5" t="str">
        <f t="shared" si="89"/>
        <v/>
      </c>
      <c r="M1124" s="7"/>
      <c r="N1124" s="7"/>
      <c r="O1124" s="7"/>
      <c r="P1124" s="20" t="str">
        <f>IF($A1124="","",INDEX(Project_Tracker!$I$2:$I$101,INT((ROW()-6)/17)+1))</f>
        <v/>
      </c>
      <c r="Q1124" s="20" t="str">
        <f>IF($A1124="","",INDEX(Project_Tracker!$K$2:$K$101,INT((ROW()-6)/17)+1))</f>
        <v/>
      </c>
    </row>
    <row r="1125" spans="1:17" x14ac:dyDescent="0.2">
      <c r="A1125" s="20" t="str">
        <f>IF(INDEX(Project_Tracker!$AL$2:$AL$101,INT((ROW()-6)/17)+1)="","",INDEX(Project_Tracker!$AL$2:$AL$101,INT((ROW()-6)/17)+1))</f>
        <v/>
      </c>
      <c r="B1125" s="21" t="str">
        <f>IF($A1125="","",INDEX(Project_Tracker!$AM$2:$AM$101,INT((ROW()-6)/17)+1))</f>
        <v/>
      </c>
      <c r="C1125" s="20" t="str">
        <f>IF($A1125="","",INDEX(Project_Tracker!$C$2:$C$101,INT((ROW()-6)/17)+1))</f>
        <v/>
      </c>
      <c r="D1125" s="6" t="str">
        <f>IF($A1125="","",INDEX(Project_Tracker!$T$2:$T$101,INT((ROW()-6)/17)+1))</f>
        <v/>
      </c>
      <c r="E1125" s="18">
        <f t="shared" si="85"/>
        <v>15</v>
      </c>
      <c r="F1125" s="23" t="str">
        <f>IF($A1125="","",INDEX('Logic &amp; Lists'!$I$4:$I$20,$E1125))</f>
        <v/>
      </c>
      <c r="G1125" s="18" t="str">
        <f>IF($A1125="","",INDEX('Logic &amp; Lists'!$J$4:$J$20,$E1125))</f>
        <v/>
      </c>
      <c r="H1125" s="6" t="str">
        <f t="shared" si="86"/>
        <v/>
      </c>
      <c r="I1125" s="18" t="str">
        <f t="shared" ca="1" si="87"/>
        <v/>
      </c>
      <c r="J1125" s="5" t="str">
        <f t="shared" si="88"/>
        <v/>
      </c>
      <c r="K1125" s="25"/>
      <c r="L1125" s="5" t="str">
        <f t="shared" si="89"/>
        <v/>
      </c>
      <c r="M1125" s="7"/>
      <c r="N1125" s="7"/>
      <c r="O1125" s="7"/>
      <c r="P1125" s="20" t="str">
        <f>IF($A1125="","",INDEX(Project_Tracker!$I$2:$I$101,INT((ROW()-6)/17)+1))</f>
        <v/>
      </c>
      <c r="Q1125" s="20" t="str">
        <f>IF($A1125="","",INDEX(Project_Tracker!$K$2:$K$101,INT((ROW()-6)/17)+1))</f>
        <v/>
      </c>
    </row>
    <row r="1126" spans="1:17" x14ac:dyDescent="0.2">
      <c r="A1126" s="20" t="str">
        <f>IF(INDEX(Project_Tracker!$AL$2:$AL$101,INT((ROW()-6)/17)+1)="","",INDEX(Project_Tracker!$AL$2:$AL$101,INT((ROW()-6)/17)+1))</f>
        <v/>
      </c>
      <c r="B1126" s="21" t="str">
        <f>IF($A1126="","",INDEX(Project_Tracker!$AM$2:$AM$101,INT((ROW()-6)/17)+1))</f>
        <v/>
      </c>
      <c r="C1126" s="20" t="str">
        <f>IF($A1126="","",INDEX(Project_Tracker!$C$2:$C$101,INT((ROW()-6)/17)+1))</f>
        <v/>
      </c>
      <c r="D1126" s="6" t="str">
        <f>IF($A1126="","",INDEX(Project_Tracker!$T$2:$T$101,INT((ROW()-6)/17)+1))</f>
        <v/>
      </c>
      <c r="E1126" s="18">
        <f t="shared" si="85"/>
        <v>16</v>
      </c>
      <c r="F1126" s="23" t="str">
        <f>IF($A1126="","",INDEX('Logic &amp; Lists'!$I$4:$I$20,$E1126))</f>
        <v/>
      </c>
      <c r="G1126" s="18" t="str">
        <f>IF($A1126="","",INDEX('Logic &amp; Lists'!$J$4:$J$20,$E1126))</f>
        <v/>
      </c>
      <c r="H1126" s="6" t="str">
        <f t="shared" si="86"/>
        <v/>
      </c>
      <c r="I1126" s="18" t="str">
        <f t="shared" ca="1" si="87"/>
        <v/>
      </c>
      <c r="J1126" s="5" t="str">
        <f t="shared" si="88"/>
        <v/>
      </c>
      <c r="K1126" s="25"/>
      <c r="L1126" s="5" t="str">
        <f t="shared" si="89"/>
        <v/>
      </c>
      <c r="M1126" s="7"/>
      <c r="N1126" s="7"/>
      <c r="O1126" s="7"/>
      <c r="P1126" s="20" t="str">
        <f>IF($A1126="","",INDEX(Project_Tracker!$I$2:$I$101,INT((ROW()-6)/17)+1))</f>
        <v/>
      </c>
      <c r="Q1126" s="20" t="str">
        <f>IF($A1126="","",INDEX(Project_Tracker!$K$2:$K$101,INT((ROW()-6)/17)+1))</f>
        <v/>
      </c>
    </row>
    <row r="1127" spans="1:17" x14ac:dyDescent="0.2">
      <c r="A1127" s="20" t="str">
        <f>IF(INDEX(Project_Tracker!$AL$2:$AL$101,INT((ROW()-6)/17)+1)="","",INDEX(Project_Tracker!$AL$2:$AL$101,INT((ROW()-6)/17)+1))</f>
        <v/>
      </c>
      <c r="B1127" s="21" t="str">
        <f>IF($A1127="","",INDEX(Project_Tracker!$AM$2:$AM$101,INT((ROW()-6)/17)+1))</f>
        <v/>
      </c>
      <c r="C1127" s="20" t="str">
        <f>IF($A1127="","",INDEX(Project_Tracker!$C$2:$C$101,INT((ROW()-6)/17)+1))</f>
        <v/>
      </c>
      <c r="D1127" s="6" t="str">
        <f>IF($A1127="","",INDEX(Project_Tracker!$T$2:$T$101,INT((ROW()-6)/17)+1))</f>
        <v/>
      </c>
      <c r="E1127" s="18">
        <f t="shared" si="85"/>
        <v>17</v>
      </c>
      <c r="F1127" s="23" t="str">
        <f>IF($A1127="","",INDEX('Logic &amp; Lists'!$I$4:$I$20,$E1127))</f>
        <v/>
      </c>
      <c r="G1127" s="18" t="str">
        <f>IF($A1127="","",INDEX('Logic &amp; Lists'!$J$4:$J$20,$E1127))</f>
        <v/>
      </c>
      <c r="H1127" s="6" t="str">
        <f t="shared" si="86"/>
        <v/>
      </c>
      <c r="I1127" s="18" t="str">
        <f t="shared" ca="1" si="87"/>
        <v/>
      </c>
      <c r="J1127" s="5" t="str">
        <f t="shared" si="88"/>
        <v/>
      </c>
      <c r="K1127" s="25"/>
      <c r="L1127" s="5" t="str">
        <f t="shared" si="89"/>
        <v/>
      </c>
      <c r="M1127" s="7"/>
      <c r="N1127" s="7"/>
      <c r="O1127" s="7"/>
      <c r="P1127" s="20" t="str">
        <f>IF($A1127="","",INDEX(Project_Tracker!$I$2:$I$101,INT((ROW()-6)/17)+1))</f>
        <v/>
      </c>
      <c r="Q1127" s="20" t="str">
        <f>IF($A1127="","",INDEX(Project_Tracker!$K$2:$K$101,INT((ROW()-6)/17)+1))</f>
        <v/>
      </c>
    </row>
    <row r="1128" spans="1:17" x14ac:dyDescent="0.2">
      <c r="A1128" s="20" t="str">
        <f>IF(INDEX(Project_Tracker!$AL$2:$AL$101,INT((ROW()-6)/17)+1)="","",INDEX(Project_Tracker!$AL$2:$AL$101,INT((ROW()-6)/17)+1))</f>
        <v/>
      </c>
      <c r="B1128" s="21" t="str">
        <f>IF($A1128="","",INDEX(Project_Tracker!$AM$2:$AM$101,INT((ROW()-6)/17)+1))</f>
        <v/>
      </c>
      <c r="C1128" s="20" t="str">
        <f>IF($A1128="","",INDEX(Project_Tracker!$C$2:$C$101,INT((ROW()-6)/17)+1))</f>
        <v/>
      </c>
      <c r="D1128" s="6" t="str">
        <f>IF($A1128="","",INDEX(Project_Tracker!$T$2:$T$101,INT((ROW()-6)/17)+1))</f>
        <v/>
      </c>
      <c r="E1128" s="18">
        <f t="shared" si="85"/>
        <v>1</v>
      </c>
      <c r="F1128" s="23" t="str">
        <f>IF($A1128="","",INDEX('Logic &amp; Lists'!$I$4:$I$20,$E1128))</f>
        <v/>
      </c>
      <c r="G1128" s="18" t="str">
        <f>IF($A1128="","",INDEX('Logic &amp; Lists'!$J$4:$J$20,$E1128))</f>
        <v/>
      </c>
      <c r="H1128" s="6" t="str">
        <f t="shared" si="86"/>
        <v/>
      </c>
      <c r="I1128" s="18" t="str">
        <f t="shared" ca="1" si="87"/>
        <v/>
      </c>
      <c r="J1128" s="5" t="str">
        <f t="shared" si="88"/>
        <v/>
      </c>
      <c r="K1128" s="25"/>
      <c r="L1128" s="5" t="str">
        <f t="shared" si="89"/>
        <v/>
      </c>
      <c r="M1128" s="7"/>
      <c r="N1128" s="7"/>
      <c r="O1128" s="7"/>
      <c r="P1128" s="20" t="str">
        <f>IF($A1128="","",INDEX(Project_Tracker!$I$2:$I$101,INT((ROW()-6)/17)+1))</f>
        <v/>
      </c>
      <c r="Q1128" s="20" t="str">
        <f>IF($A1128="","",INDEX(Project_Tracker!$K$2:$K$101,INT((ROW()-6)/17)+1))</f>
        <v/>
      </c>
    </row>
    <row r="1129" spans="1:17" x14ac:dyDescent="0.2">
      <c r="A1129" s="20" t="str">
        <f>IF(INDEX(Project_Tracker!$AL$2:$AL$101,INT((ROW()-6)/17)+1)="","",INDEX(Project_Tracker!$AL$2:$AL$101,INT((ROW()-6)/17)+1))</f>
        <v/>
      </c>
      <c r="B1129" s="21" t="str">
        <f>IF($A1129="","",INDEX(Project_Tracker!$AM$2:$AM$101,INT((ROW()-6)/17)+1))</f>
        <v/>
      </c>
      <c r="C1129" s="20" t="str">
        <f>IF($A1129="","",INDEX(Project_Tracker!$C$2:$C$101,INT((ROW()-6)/17)+1))</f>
        <v/>
      </c>
      <c r="D1129" s="6" t="str">
        <f>IF($A1129="","",INDEX(Project_Tracker!$T$2:$T$101,INT((ROW()-6)/17)+1))</f>
        <v/>
      </c>
      <c r="E1129" s="18">
        <f t="shared" si="85"/>
        <v>2</v>
      </c>
      <c r="F1129" s="23" t="str">
        <f>IF($A1129="","",INDEX('Logic &amp; Lists'!$I$4:$I$20,$E1129))</f>
        <v/>
      </c>
      <c r="G1129" s="18" t="str">
        <f>IF($A1129="","",INDEX('Logic &amp; Lists'!$J$4:$J$20,$E1129))</f>
        <v/>
      </c>
      <c r="H1129" s="6" t="str">
        <f t="shared" si="86"/>
        <v/>
      </c>
      <c r="I1129" s="18" t="str">
        <f t="shared" ca="1" si="87"/>
        <v/>
      </c>
      <c r="J1129" s="5" t="str">
        <f t="shared" si="88"/>
        <v/>
      </c>
      <c r="K1129" s="25"/>
      <c r="L1129" s="5" t="str">
        <f t="shared" si="89"/>
        <v/>
      </c>
      <c r="M1129" s="7"/>
      <c r="N1129" s="7"/>
      <c r="O1129" s="7"/>
      <c r="P1129" s="20" t="str">
        <f>IF($A1129="","",INDEX(Project_Tracker!$I$2:$I$101,INT((ROW()-6)/17)+1))</f>
        <v/>
      </c>
      <c r="Q1129" s="20" t="str">
        <f>IF($A1129="","",INDEX(Project_Tracker!$K$2:$K$101,INT((ROW()-6)/17)+1))</f>
        <v/>
      </c>
    </row>
    <row r="1130" spans="1:17" x14ac:dyDescent="0.2">
      <c r="A1130" s="20" t="str">
        <f>IF(INDEX(Project_Tracker!$AL$2:$AL$101,INT((ROW()-6)/17)+1)="","",INDEX(Project_Tracker!$AL$2:$AL$101,INT((ROW()-6)/17)+1))</f>
        <v/>
      </c>
      <c r="B1130" s="21" t="str">
        <f>IF($A1130="","",INDEX(Project_Tracker!$AM$2:$AM$101,INT((ROW()-6)/17)+1))</f>
        <v/>
      </c>
      <c r="C1130" s="20" t="str">
        <f>IF($A1130="","",INDEX(Project_Tracker!$C$2:$C$101,INT((ROW()-6)/17)+1))</f>
        <v/>
      </c>
      <c r="D1130" s="6" t="str">
        <f>IF($A1130="","",INDEX(Project_Tracker!$T$2:$T$101,INT((ROW()-6)/17)+1))</f>
        <v/>
      </c>
      <c r="E1130" s="18">
        <f t="shared" si="85"/>
        <v>3</v>
      </c>
      <c r="F1130" s="23" t="str">
        <f>IF($A1130="","",INDEX('Logic &amp; Lists'!$I$4:$I$20,$E1130))</f>
        <v/>
      </c>
      <c r="G1130" s="18" t="str">
        <f>IF($A1130="","",INDEX('Logic &amp; Lists'!$J$4:$J$20,$E1130))</f>
        <v/>
      </c>
      <c r="H1130" s="6" t="str">
        <f t="shared" si="86"/>
        <v/>
      </c>
      <c r="I1130" s="18" t="str">
        <f t="shared" ca="1" si="87"/>
        <v/>
      </c>
      <c r="J1130" s="5" t="str">
        <f t="shared" si="88"/>
        <v/>
      </c>
      <c r="K1130" s="25"/>
      <c r="L1130" s="5" t="str">
        <f t="shared" si="89"/>
        <v/>
      </c>
      <c r="M1130" s="7"/>
      <c r="N1130" s="7"/>
      <c r="O1130" s="7"/>
      <c r="P1130" s="20" t="str">
        <f>IF($A1130="","",INDEX(Project_Tracker!$I$2:$I$101,INT((ROW()-6)/17)+1))</f>
        <v/>
      </c>
      <c r="Q1130" s="20" t="str">
        <f>IF($A1130="","",INDEX(Project_Tracker!$K$2:$K$101,INT((ROW()-6)/17)+1))</f>
        <v/>
      </c>
    </row>
    <row r="1131" spans="1:17" x14ac:dyDescent="0.2">
      <c r="A1131" s="20" t="str">
        <f>IF(INDEX(Project_Tracker!$AL$2:$AL$101,INT((ROW()-6)/17)+1)="","",INDEX(Project_Tracker!$AL$2:$AL$101,INT((ROW()-6)/17)+1))</f>
        <v/>
      </c>
      <c r="B1131" s="21" t="str">
        <f>IF($A1131="","",INDEX(Project_Tracker!$AM$2:$AM$101,INT((ROW()-6)/17)+1))</f>
        <v/>
      </c>
      <c r="C1131" s="20" t="str">
        <f>IF($A1131="","",INDEX(Project_Tracker!$C$2:$C$101,INT((ROW()-6)/17)+1))</f>
        <v/>
      </c>
      <c r="D1131" s="6" t="str">
        <f>IF($A1131="","",INDEX(Project_Tracker!$T$2:$T$101,INT((ROW()-6)/17)+1))</f>
        <v/>
      </c>
      <c r="E1131" s="18">
        <f t="shared" si="85"/>
        <v>4</v>
      </c>
      <c r="F1131" s="23" t="str">
        <f>IF($A1131="","",INDEX('Logic &amp; Lists'!$I$4:$I$20,$E1131))</f>
        <v/>
      </c>
      <c r="G1131" s="18" t="str">
        <f>IF($A1131="","",INDEX('Logic &amp; Lists'!$J$4:$J$20,$E1131))</f>
        <v/>
      </c>
      <c r="H1131" s="6" t="str">
        <f t="shared" si="86"/>
        <v/>
      </c>
      <c r="I1131" s="18" t="str">
        <f t="shared" ca="1" si="87"/>
        <v/>
      </c>
      <c r="J1131" s="5" t="str">
        <f t="shared" si="88"/>
        <v/>
      </c>
      <c r="K1131" s="25"/>
      <c r="L1131" s="5" t="str">
        <f t="shared" si="89"/>
        <v/>
      </c>
      <c r="M1131" s="7"/>
      <c r="N1131" s="7"/>
      <c r="O1131" s="7"/>
      <c r="P1131" s="20" t="str">
        <f>IF($A1131="","",INDEX(Project_Tracker!$I$2:$I$101,INT((ROW()-6)/17)+1))</f>
        <v/>
      </c>
      <c r="Q1131" s="20" t="str">
        <f>IF($A1131="","",INDEX(Project_Tracker!$K$2:$K$101,INT((ROW()-6)/17)+1))</f>
        <v/>
      </c>
    </row>
    <row r="1132" spans="1:17" x14ac:dyDescent="0.2">
      <c r="A1132" s="20" t="str">
        <f>IF(INDEX(Project_Tracker!$AL$2:$AL$101,INT((ROW()-6)/17)+1)="","",INDEX(Project_Tracker!$AL$2:$AL$101,INT((ROW()-6)/17)+1))</f>
        <v/>
      </c>
      <c r="B1132" s="21" t="str">
        <f>IF($A1132="","",INDEX(Project_Tracker!$AM$2:$AM$101,INT((ROW()-6)/17)+1))</f>
        <v/>
      </c>
      <c r="C1132" s="20" t="str">
        <f>IF($A1132="","",INDEX(Project_Tracker!$C$2:$C$101,INT((ROW()-6)/17)+1))</f>
        <v/>
      </c>
      <c r="D1132" s="6" t="str">
        <f>IF($A1132="","",INDEX(Project_Tracker!$T$2:$T$101,INT((ROW()-6)/17)+1))</f>
        <v/>
      </c>
      <c r="E1132" s="18">
        <f t="shared" si="85"/>
        <v>5</v>
      </c>
      <c r="F1132" s="23" t="str">
        <f>IF($A1132="","",INDEX('Logic &amp; Lists'!$I$4:$I$20,$E1132))</f>
        <v/>
      </c>
      <c r="G1132" s="18" t="str">
        <f>IF($A1132="","",INDEX('Logic &amp; Lists'!$J$4:$J$20,$E1132))</f>
        <v/>
      </c>
      <c r="H1132" s="6" t="str">
        <f t="shared" si="86"/>
        <v/>
      </c>
      <c r="I1132" s="18" t="str">
        <f t="shared" ca="1" si="87"/>
        <v/>
      </c>
      <c r="J1132" s="5" t="str">
        <f t="shared" si="88"/>
        <v/>
      </c>
      <c r="K1132" s="25"/>
      <c r="L1132" s="5" t="str">
        <f t="shared" si="89"/>
        <v/>
      </c>
      <c r="M1132" s="7"/>
      <c r="N1132" s="7"/>
      <c r="O1132" s="7"/>
      <c r="P1132" s="20" t="str">
        <f>IF($A1132="","",INDEX(Project_Tracker!$I$2:$I$101,INT((ROW()-6)/17)+1))</f>
        <v/>
      </c>
      <c r="Q1132" s="20" t="str">
        <f>IF($A1132="","",INDEX(Project_Tracker!$K$2:$K$101,INT((ROW()-6)/17)+1))</f>
        <v/>
      </c>
    </row>
    <row r="1133" spans="1:17" x14ac:dyDescent="0.2">
      <c r="A1133" s="20" t="str">
        <f>IF(INDEX(Project_Tracker!$AL$2:$AL$101,INT((ROW()-6)/17)+1)="","",INDEX(Project_Tracker!$AL$2:$AL$101,INT((ROW()-6)/17)+1))</f>
        <v/>
      </c>
      <c r="B1133" s="21" t="str">
        <f>IF($A1133="","",INDEX(Project_Tracker!$AM$2:$AM$101,INT((ROW()-6)/17)+1))</f>
        <v/>
      </c>
      <c r="C1133" s="20" t="str">
        <f>IF($A1133="","",INDEX(Project_Tracker!$C$2:$C$101,INT((ROW()-6)/17)+1))</f>
        <v/>
      </c>
      <c r="D1133" s="6" t="str">
        <f>IF($A1133="","",INDEX(Project_Tracker!$T$2:$T$101,INT((ROW()-6)/17)+1))</f>
        <v/>
      </c>
      <c r="E1133" s="18">
        <f t="shared" si="85"/>
        <v>6</v>
      </c>
      <c r="F1133" s="23" t="str">
        <f>IF($A1133="","",INDEX('Logic &amp; Lists'!$I$4:$I$20,$E1133))</f>
        <v/>
      </c>
      <c r="G1133" s="18" t="str">
        <f>IF($A1133="","",INDEX('Logic &amp; Lists'!$J$4:$J$20,$E1133))</f>
        <v/>
      </c>
      <c r="H1133" s="6" t="str">
        <f t="shared" si="86"/>
        <v/>
      </c>
      <c r="I1133" s="18" t="str">
        <f t="shared" ca="1" si="87"/>
        <v/>
      </c>
      <c r="J1133" s="5" t="str">
        <f t="shared" si="88"/>
        <v/>
      </c>
      <c r="K1133" s="25"/>
      <c r="L1133" s="5" t="str">
        <f t="shared" si="89"/>
        <v/>
      </c>
      <c r="M1133" s="7"/>
      <c r="N1133" s="7"/>
      <c r="O1133" s="7"/>
      <c r="P1133" s="20" t="str">
        <f>IF($A1133="","",INDEX(Project_Tracker!$I$2:$I$101,INT((ROW()-6)/17)+1))</f>
        <v/>
      </c>
      <c r="Q1133" s="20" t="str">
        <f>IF($A1133="","",INDEX(Project_Tracker!$K$2:$K$101,INT((ROW()-6)/17)+1))</f>
        <v/>
      </c>
    </row>
    <row r="1134" spans="1:17" x14ac:dyDescent="0.2">
      <c r="A1134" s="20" t="str">
        <f>IF(INDEX(Project_Tracker!$AL$2:$AL$101,INT((ROW()-6)/17)+1)="","",INDEX(Project_Tracker!$AL$2:$AL$101,INT((ROW()-6)/17)+1))</f>
        <v/>
      </c>
      <c r="B1134" s="21" t="str">
        <f>IF($A1134="","",INDEX(Project_Tracker!$AM$2:$AM$101,INT((ROW()-6)/17)+1))</f>
        <v/>
      </c>
      <c r="C1134" s="20" t="str">
        <f>IF($A1134="","",INDEX(Project_Tracker!$C$2:$C$101,INT((ROW()-6)/17)+1))</f>
        <v/>
      </c>
      <c r="D1134" s="6" t="str">
        <f>IF($A1134="","",INDEX(Project_Tracker!$T$2:$T$101,INT((ROW()-6)/17)+1))</f>
        <v/>
      </c>
      <c r="E1134" s="18">
        <f t="shared" si="85"/>
        <v>7</v>
      </c>
      <c r="F1134" s="23" t="str">
        <f>IF($A1134="","",INDEX('Logic &amp; Lists'!$I$4:$I$20,$E1134))</f>
        <v/>
      </c>
      <c r="G1134" s="18" t="str">
        <f>IF($A1134="","",INDEX('Logic &amp; Lists'!$J$4:$J$20,$E1134))</f>
        <v/>
      </c>
      <c r="H1134" s="6" t="str">
        <f t="shared" si="86"/>
        <v/>
      </c>
      <c r="I1134" s="18" t="str">
        <f t="shared" ca="1" si="87"/>
        <v/>
      </c>
      <c r="J1134" s="5" t="str">
        <f t="shared" si="88"/>
        <v/>
      </c>
      <c r="K1134" s="25"/>
      <c r="L1134" s="5" t="str">
        <f t="shared" si="89"/>
        <v/>
      </c>
      <c r="M1134" s="7"/>
      <c r="N1134" s="7"/>
      <c r="O1134" s="7"/>
      <c r="P1134" s="20" t="str">
        <f>IF($A1134="","",INDEX(Project_Tracker!$I$2:$I$101,INT((ROW()-6)/17)+1))</f>
        <v/>
      </c>
      <c r="Q1134" s="20" t="str">
        <f>IF($A1134="","",INDEX(Project_Tracker!$K$2:$K$101,INT((ROW()-6)/17)+1))</f>
        <v/>
      </c>
    </row>
    <row r="1135" spans="1:17" x14ac:dyDescent="0.2">
      <c r="A1135" s="20" t="str">
        <f>IF(INDEX(Project_Tracker!$AL$2:$AL$101,INT((ROW()-6)/17)+1)="","",INDEX(Project_Tracker!$AL$2:$AL$101,INT((ROW()-6)/17)+1))</f>
        <v/>
      </c>
      <c r="B1135" s="21" t="str">
        <f>IF($A1135="","",INDEX(Project_Tracker!$AM$2:$AM$101,INT((ROW()-6)/17)+1))</f>
        <v/>
      </c>
      <c r="C1135" s="20" t="str">
        <f>IF($A1135="","",INDEX(Project_Tracker!$C$2:$C$101,INT((ROW()-6)/17)+1))</f>
        <v/>
      </c>
      <c r="D1135" s="6" t="str">
        <f>IF($A1135="","",INDEX(Project_Tracker!$T$2:$T$101,INT((ROW()-6)/17)+1))</f>
        <v/>
      </c>
      <c r="E1135" s="18">
        <f t="shared" si="85"/>
        <v>8</v>
      </c>
      <c r="F1135" s="23" t="str">
        <f>IF($A1135="","",INDEX('Logic &amp; Lists'!$I$4:$I$20,$E1135))</f>
        <v/>
      </c>
      <c r="G1135" s="18" t="str">
        <f>IF($A1135="","",INDEX('Logic &amp; Lists'!$J$4:$J$20,$E1135))</f>
        <v/>
      </c>
      <c r="H1135" s="6" t="str">
        <f t="shared" si="86"/>
        <v/>
      </c>
      <c r="I1135" s="18" t="str">
        <f t="shared" ca="1" si="87"/>
        <v/>
      </c>
      <c r="J1135" s="5" t="str">
        <f t="shared" si="88"/>
        <v/>
      </c>
      <c r="K1135" s="25"/>
      <c r="L1135" s="5" t="str">
        <f t="shared" si="89"/>
        <v/>
      </c>
      <c r="M1135" s="7"/>
      <c r="N1135" s="7"/>
      <c r="O1135" s="7"/>
      <c r="P1135" s="20" t="str">
        <f>IF($A1135="","",INDEX(Project_Tracker!$I$2:$I$101,INT((ROW()-6)/17)+1))</f>
        <v/>
      </c>
      <c r="Q1135" s="20" t="str">
        <f>IF($A1135="","",INDEX(Project_Tracker!$K$2:$K$101,INT((ROW()-6)/17)+1))</f>
        <v/>
      </c>
    </row>
    <row r="1136" spans="1:17" x14ac:dyDescent="0.2">
      <c r="A1136" s="20" t="str">
        <f>IF(INDEX(Project_Tracker!$AL$2:$AL$101,INT((ROW()-6)/17)+1)="","",INDEX(Project_Tracker!$AL$2:$AL$101,INT((ROW()-6)/17)+1))</f>
        <v/>
      </c>
      <c r="B1136" s="21" t="str">
        <f>IF($A1136="","",INDEX(Project_Tracker!$AM$2:$AM$101,INT((ROW()-6)/17)+1))</f>
        <v/>
      </c>
      <c r="C1136" s="20" t="str">
        <f>IF($A1136="","",INDEX(Project_Tracker!$C$2:$C$101,INT((ROW()-6)/17)+1))</f>
        <v/>
      </c>
      <c r="D1136" s="6" t="str">
        <f>IF($A1136="","",INDEX(Project_Tracker!$T$2:$T$101,INT((ROW()-6)/17)+1))</f>
        <v/>
      </c>
      <c r="E1136" s="18">
        <f t="shared" si="85"/>
        <v>9</v>
      </c>
      <c r="F1136" s="23" t="str">
        <f>IF($A1136="","",INDEX('Logic &amp; Lists'!$I$4:$I$20,$E1136))</f>
        <v/>
      </c>
      <c r="G1136" s="18" t="str">
        <f>IF($A1136="","",INDEX('Logic &amp; Lists'!$J$4:$J$20,$E1136))</f>
        <v/>
      </c>
      <c r="H1136" s="6" t="str">
        <f t="shared" si="86"/>
        <v/>
      </c>
      <c r="I1136" s="18" t="str">
        <f t="shared" ca="1" si="87"/>
        <v/>
      </c>
      <c r="J1136" s="5" t="str">
        <f t="shared" si="88"/>
        <v/>
      </c>
      <c r="K1136" s="25"/>
      <c r="L1136" s="5" t="str">
        <f t="shared" si="89"/>
        <v/>
      </c>
      <c r="M1136" s="7"/>
      <c r="N1136" s="7"/>
      <c r="O1136" s="7"/>
      <c r="P1136" s="20" t="str">
        <f>IF($A1136="","",INDEX(Project_Tracker!$I$2:$I$101,INT((ROW()-6)/17)+1))</f>
        <v/>
      </c>
      <c r="Q1136" s="20" t="str">
        <f>IF($A1136="","",INDEX(Project_Tracker!$K$2:$K$101,INT((ROW()-6)/17)+1))</f>
        <v/>
      </c>
    </row>
    <row r="1137" spans="1:17" x14ac:dyDescent="0.2">
      <c r="A1137" s="20" t="str">
        <f>IF(INDEX(Project_Tracker!$AL$2:$AL$101,INT((ROW()-6)/17)+1)="","",INDEX(Project_Tracker!$AL$2:$AL$101,INT((ROW()-6)/17)+1))</f>
        <v/>
      </c>
      <c r="B1137" s="21" t="str">
        <f>IF($A1137="","",INDEX(Project_Tracker!$AM$2:$AM$101,INT((ROW()-6)/17)+1))</f>
        <v/>
      </c>
      <c r="C1137" s="20" t="str">
        <f>IF($A1137="","",INDEX(Project_Tracker!$C$2:$C$101,INT((ROW()-6)/17)+1))</f>
        <v/>
      </c>
      <c r="D1137" s="6" t="str">
        <f>IF($A1137="","",INDEX(Project_Tracker!$T$2:$T$101,INT((ROW()-6)/17)+1))</f>
        <v/>
      </c>
      <c r="E1137" s="18">
        <f t="shared" si="85"/>
        <v>10</v>
      </c>
      <c r="F1137" s="23" t="str">
        <f>IF($A1137="","",INDEX('Logic &amp; Lists'!$I$4:$I$20,$E1137))</f>
        <v/>
      </c>
      <c r="G1137" s="18" t="str">
        <f>IF($A1137="","",INDEX('Logic &amp; Lists'!$J$4:$J$20,$E1137))</f>
        <v/>
      </c>
      <c r="H1137" s="6" t="str">
        <f t="shared" si="86"/>
        <v/>
      </c>
      <c r="I1137" s="18" t="str">
        <f t="shared" ca="1" si="87"/>
        <v/>
      </c>
      <c r="J1137" s="5" t="str">
        <f t="shared" si="88"/>
        <v/>
      </c>
      <c r="K1137" s="25"/>
      <c r="L1137" s="5" t="str">
        <f t="shared" si="89"/>
        <v/>
      </c>
      <c r="M1137" s="7"/>
      <c r="N1137" s="7"/>
      <c r="O1137" s="7"/>
      <c r="P1137" s="20" t="str">
        <f>IF($A1137="","",INDEX(Project_Tracker!$I$2:$I$101,INT((ROW()-6)/17)+1))</f>
        <v/>
      </c>
      <c r="Q1137" s="20" t="str">
        <f>IF($A1137="","",INDEX(Project_Tracker!$K$2:$K$101,INT((ROW()-6)/17)+1))</f>
        <v/>
      </c>
    </row>
    <row r="1138" spans="1:17" x14ac:dyDescent="0.2">
      <c r="A1138" s="20" t="str">
        <f>IF(INDEX(Project_Tracker!$AL$2:$AL$101,INT((ROW()-6)/17)+1)="","",INDEX(Project_Tracker!$AL$2:$AL$101,INT((ROW()-6)/17)+1))</f>
        <v/>
      </c>
      <c r="B1138" s="21" t="str">
        <f>IF($A1138="","",INDEX(Project_Tracker!$AM$2:$AM$101,INT((ROW()-6)/17)+1))</f>
        <v/>
      </c>
      <c r="C1138" s="20" t="str">
        <f>IF($A1138="","",INDEX(Project_Tracker!$C$2:$C$101,INT((ROW()-6)/17)+1))</f>
        <v/>
      </c>
      <c r="D1138" s="6" t="str">
        <f>IF($A1138="","",INDEX(Project_Tracker!$T$2:$T$101,INT((ROW()-6)/17)+1))</f>
        <v/>
      </c>
      <c r="E1138" s="18">
        <f t="shared" si="85"/>
        <v>11</v>
      </c>
      <c r="F1138" s="23" t="str">
        <f>IF($A1138="","",INDEX('Logic &amp; Lists'!$I$4:$I$20,$E1138))</f>
        <v/>
      </c>
      <c r="G1138" s="18" t="str">
        <f>IF($A1138="","",INDEX('Logic &amp; Lists'!$J$4:$J$20,$E1138))</f>
        <v/>
      </c>
      <c r="H1138" s="6" t="str">
        <f t="shared" si="86"/>
        <v/>
      </c>
      <c r="I1138" s="18" t="str">
        <f t="shared" ca="1" si="87"/>
        <v/>
      </c>
      <c r="J1138" s="5" t="str">
        <f t="shared" si="88"/>
        <v/>
      </c>
      <c r="K1138" s="25"/>
      <c r="L1138" s="5" t="str">
        <f t="shared" si="89"/>
        <v/>
      </c>
      <c r="M1138" s="7"/>
      <c r="N1138" s="7"/>
      <c r="O1138" s="7"/>
      <c r="P1138" s="20" t="str">
        <f>IF($A1138="","",INDEX(Project_Tracker!$I$2:$I$101,INT((ROW()-6)/17)+1))</f>
        <v/>
      </c>
      <c r="Q1138" s="20" t="str">
        <f>IF($A1138="","",INDEX(Project_Tracker!$K$2:$K$101,INT((ROW()-6)/17)+1))</f>
        <v/>
      </c>
    </row>
    <row r="1139" spans="1:17" x14ac:dyDescent="0.2">
      <c r="A1139" s="20" t="str">
        <f>IF(INDEX(Project_Tracker!$AL$2:$AL$101,INT((ROW()-6)/17)+1)="","",INDEX(Project_Tracker!$AL$2:$AL$101,INT((ROW()-6)/17)+1))</f>
        <v/>
      </c>
      <c r="B1139" s="21" t="str">
        <f>IF($A1139="","",INDEX(Project_Tracker!$AM$2:$AM$101,INT((ROW()-6)/17)+1))</f>
        <v/>
      </c>
      <c r="C1139" s="20" t="str">
        <f>IF($A1139="","",INDEX(Project_Tracker!$C$2:$C$101,INT((ROW()-6)/17)+1))</f>
        <v/>
      </c>
      <c r="D1139" s="6" t="str">
        <f>IF($A1139="","",INDEX(Project_Tracker!$T$2:$T$101,INT((ROW()-6)/17)+1))</f>
        <v/>
      </c>
      <c r="E1139" s="18">
        <f t="shared" si="85"/>
        <v>12</v>
      </c>
      <c r="F1139" s="23" t="str">
        <f>IF($A1139="","",INDEX('Logic &amp; Lists'!$I$4:$I$20,$E1139))</f>
        <v/>
      </c>
      <c r="G1139" s="18" t="str">
        <f>IF($A1139="","",INDEX('Logic &amp; Lists'!$J$4:$J$20,$E1139))</f>
        <v/>
      </c>
      <c r="H1139" s="6" t="str">
        <f t="shared" si="86"/>
        <v/>
      </c>
      <c r="I1139" s="18" t="str">
        <f t="shared" ca="1" si="87"/>
        <v/>
      </c>
      <c r="J1139" s="5" t="str">
        <f t="shared" si="88"/>
        <v/>
      </c>
      <c r="K1139" s="25"/>
      <c r="L1139" s="5" t="str">
        <f t="shared" si="89"/>
        <v/>
      </c>
      <c r="M1139" s="7"/>
      <c r="N1139" s="7"/>
      <c r="O1139" s="7"/>
      <c r="P1139" s="20" t="str">
        <f>IF($A1139="","",INDEX(Project_Tracker!$I$2:$I$101,INT((ROW()-6)/17)+1))</f>
        <v/>
      </c>
      <c r="Q1139" s="20" t="str">
        <f>IF($A1139="","",INDEX(Project_Tracker!$K$2:$K$101,INT((ROW()-6)/17)+1))</f>
        <v/>
      </c>
    </row>
    <row r="1140" spans="1:17" x14ac:dyDescent="0.2">
      <c r="A1140" s="20" t="str">
        <f>IF(INDEX(Project_Tracker!$AL$2:$AL$101,INT((ROW()-6)/17)+1)="","",INDEX(Project_Tracker!$AL$2:$AL$101,INT((ROW()-6)/17)+1))</f>
        <v/>
      </c>
      <c r="B1140" s="21" t="str">
        <f>IF($A1140="","",INDEX(Project_Tracker!$AM$2:$AM$101,INT((ROW()-6)/17)+1))</f>
        <v/>
      </c>
      <c r="C1140" s="20" t="str">
        <f>IF($A1140="","",INDEX(Project_Tracker!$C$2:$C$101,INT((ROW()-6)/17)+1))</f>
        <v/>
      </c>
      <c r="D1140" s="6" t="str">
        <f>IF($A1140="","",INDEX(Project_Tracker!$T$2:$T$101,INT((ROW()-6)/17)+1))</f>
        <v/>
      </c>
      <c r="E1140" s="18">
        <f t="shared" si="85"/>
        <v>13</v>
      </c>
      <c r="F1140" s="23" t="str">
        <f>IF($A1140="","",INDEX('Logic &amp; Lists'!$I$4:$I$20,$E1140))</f>
        <v/>
      </c>
      <c r="G1140" s="18" t="str">
        <f>IF($A1140="","",INDEX('Logic &amp; Lists'!$J$4:$J$20,$E1140))</f>
        <v/>
      </c>
      <c r="H1140" s="6" t="str">
        <f t="shared" si="86"/>
        <v/>
      </c>
      <c r="I1140" s="18" t="str">
        <f t="shared" ca="1" si="87"/>
        <v/>
      </c>
      <c r="J1140" s="5" t="str">
        <f t="shared" si="88"/>
        <v/>
      </c>
      <c r="K1140" s="25"/>
      <c r="L1140" s="5" t="str">
        <f t="shared" si="89"/>
        <v/>
      </c>
      <c r="M1140" s="7"/>
      <c r="N1140" s="7"/>
      <c r="O1140" s="7"/>
      <c r="P1140" s="20" t="str">
        <f>IF($A1140="","",INDEX(Project_Tracker!$I$2:$I$101,INT((ROW()-6)/17)+1))</f>
        <v/>
      </c>
      <c r="Q1140" s="20" t="str">
        <f>IF($A1140="","",INDEX(Project_Tracker!$K$2:$K$101,INT((ROW()-6)/17)+1))</f>
        <v/>
      </c>
    </row>
    <row r="1141" spans="1:17" x14ac:dyDescent="0.2">
      <c r="A1141" s="20" t="str">
        <f>IF(INDEX(Project_Tracker!$AL$2:$AL$101,INT((ROW()-6)/17)+1)="","",INDEX(Project_Tracker!$AL$2:$AL$101,INT((ROW()-6)/17)+1))</f>
        <v/>
      </c>
      <c r="B1141" s="21" t="str">
        <f>IF($A1141="","",INDEX(Project_Tracker!$AM$2:$AM$101,INT((ROW()-6)/17)+1))</f>
        <v/>
      </c>
      <c r="C1141" s="20" t="str">
        <f>IF($A1141="","",INDEX(Project_Tracker!$C$2:$C$101,INT((ROW()-6)/17)+1))</f>
        <v/>
      </c>
      <c r="D1141" s="6" t="str">
        <f>IF($A1141="","",INDEX(Project_Tracker!$T$2:$T$101,INT((ROW()-6)/17)+1))</f>
        <v/>
      </c>
      <c r="E1141" s="18">
        <f t="shared" si="85"/>
        <v>14</v>
      </c>
      <c r="F1141" s="23" t="str">
        <f>IF($A1141="","",INDEX('Logic &amp; Lists'!$I$4:$I$20,$E1141))</f>
        <v/>
      </c>
      <c r="G1141" s="18" t="str">
        <f>IF($A1141="","",INDEX('Logic &amp; Lists'!$J$4:$J$20,$E1141))</f>
        <v/>
      </c>
      <c r="H1141" s="6" t="str">
        <f t="shared" si="86"/>
        <v/>
      </c>
      <c r="I1141" s="18" t="str">
        <f t="shared" ca="1" si="87"/>
        <v/>
      </c>
      <c r="J1141" s="5" t="str">
        <f t="shared" si="88"/>
        <v/>
      </c>
      <c r="K1141" s="25"/>
      <c r="L1141" s="5" t="str">
        <f t="shared" si="89"/>
        <v/>
      </c>
      <c r="M1141" s="7"/>
      <c r="N1141" s="7"/>
      <c r="O1141" s="7"/>
      <c r="P1141" s="20" t="str">
        <f>IF($A1141="","",INDEX(Project_Tracker!$I$2:$I$101,INT((ROW()-6)/17)+1))</f>
        <v/>
      </c>
      <c r="Q1141" s="20" t="str">
        <f>IF($A1141="","",INDEX(Project_Tracker!$K$2:$K$101,INT((ROW()-6)/17)+1))</f>
        <v/>
      </c>
    </row>
    <row r="1142" spans="1:17" x14ac:dyDescent="0.2">
      <c r="A1142" s="20" t="str">
        <f>IF(INDEX(Project_Tracker!$AL$2:$AL$101,INT((ROW()-6)/17)+1)="","",INDEX(Project_Tracker!$AL$2:$AL$101,INT((ROW()-6)/17)+1))</f>
        <v/>
      </c>
      <c r="B1142" s="21" t="str">
        <f>IF($A1142="","",INDEX(Project_Tracker!$AM$2:$AM$101,INT((ROW()-6)/17)+1))</f>
        <v/>
      </c>
      <c r="C1142" s="20" t="str">
        <f>IF($A1142="","",INDEX(Project_Tracker!$C$2:$C$101,INT((ROW()-6)/17)+1))</f>
        <v/>
      </c>
      <c r="D1142" s="6" t="str">
        <f>IF($A1142="","",INDEX(Project_Tracker!$T$2:$T$101,INT((ROW()-6)/17)+1))</f>
        <v/>
      </c>
      <c r="E1142" s="18">
        <f t="shared" si="85"/>
        <v>15</v>
      </c>
      <c r="F1142" s="23" t="str">
        <f>IF($A1142="","",INDEX('Logic &amp; Lists'!$I$4:$I$20,$E1142))</f>
        <v/>
      </c>
      <c r="G1142" s="18" t="str">
        <f>IF($A1142="","",INDEX('Logic &amp; Lists'!$J$4:$J$20,$E1142))</f>
        <v/>
      </c>
      <c r="H1142" s="6" t="str">
        <f t="shared" si="86"/>
        <v/>
      </c>
      <c r="I1142" s="18" t="str">
        <f t="shared" ca="1" si="87"/>
        <v/>
      </c>
      <c r="J1142" s="5" t="str">
        <f t="shared" si="88"/>
        <v/>
      </c>
      <c r="K1142" s="25"/>
      <c r="L1142" s="5" t="str">
        <f t="shared" si="89"/>
        <v/>
      </c>
      <c r="M1142" s="7"/>
      <c r="N1142" s="7"/>
      <c r="O1142" s="7"/>
      <c r="P1142" s="20" t="str">
        <f>IF($A1142="","",INDEX(Project_Tracker!$I$2:$I$101,INT((ROW()-6)/17)+1))</f>
        <v/>
      </c>
      <c r="Q1142" s="20" t="str">
        <f>IF($A1142="","",INDEX(Project_Tracker!$K$2:$K$101,INT((ROW()-6)/17)+1))</f>
        <v/>
      </c>
    </row>
    <row r="1143" spans="1:17" x14ac:dyDescent="0.2">
      <c r="A1143" s="20" t="str">
        <f>IF(INDEX(Project_Tracker!$AL$2:$AL$101,INT((ROW()-6)/17)+1)="","",INDEX(Project_Tracker!$AL$2:$AL$101,INT((ROW()-6)/17)+1))</f>
        <v/>
      </c>
      <c r="B1143" s="21" t="str">
        <f>IF($A1143="","",INDEX(Project_Tracker!$AM$2:$AM$101,INT((ROW()-6)/17)+1))</f>
        <v/>
      </c>
      <c r="C1143" s="20" t="str">
        <f>IF($A1143="","",INDEX(Project_Tracker!$C$2:$C$101,INT((ROW()-6)/17)+1))</f>
        <v/>
      </c>
      <c r="D1143" s="6" t="str">
        <f>IF($A1143="","",INDEX(Project_Tracker!$T$2:$T$101,INT((ROW()-6)/17)+1))</f>
        <v/>
      </c>
      <c r="E1143" s="18">
        <f t="shared" si="85"/>
        <v>16</v>
      </c>
      <c r="F1143" s="23" t="str">
        <f>IF($A1143="","",INDEX('Logic &amp; Lists'!$I$4:$I$20,$E1143))</f>
        <v/>
      </c>
      <c r="G1143" s="18" t="str">
        <f>IF($A1143="","",INDEX('Logic &amp; Lists'!$J$4:$J$20,$E1143))</f>
        <v/>
      </c>
      <c r="H1143" s="6" t="str">
        <f t="shared" si="86"/>
        <v/>
      </c>
      <c r="I1143" s="18" t="str">
        <f t="shared" ca="1" si="87"/>
        <v/>
      </c>
      <c r="J1143" s="5" t="str">
        <f t="shared" si="88"/>
        <v/>
      </c>
      <c r="K1143" s="25"/>
      <c r="L1143" s="5" t="str">
        <f t="shared" si="89"/>
        <v/>
      </c>
      <c r="M1143" s="7"/>
      <c r="N1143" s="7"/>
      <c r="O1143" s="7"/>
      <c r="P1143" s="20" t="str">
        <f>IF($A1143="","",INDEX(Project_Tracker!$I$2:$I$101,INT((ROW()-6)/17)+1))</f>
        <v/>
      </c>
      <c r="Q1143" s="20" t="str">
        <f>IF($A1143="","",INDEX(Project_Tracker!$K$2:$K$101,INT((ROW()-6)/17)+1))</f>
        <v/>
      </c>
    </row>
    <row r="1144" spans="1:17" x14ac:dyDescent="0.2">
      <c r="A1144" s="20" t="str">
        <f>IF(INDEX(Project_Tracker!$AL$2:$AL$101,INT((ROW()-6)/17)+1)="","",INDEX(Project_Tracker!$AL$2:$AL$101,INT((ROW()-6)/17)+1))</f>
        <v/>
      </c>
      <c r="B1144" s="21" t="str">
        <f>IF($A1144="","",INDEX(Project_Tracker!$AM$2:$AM$101,INT((ROW()-6)/17)+1))</f>
        <v/>
      </c>
      <c r="C1144" s="20" t="str">
        <f>IF($A1144="","",INDEX(Project_Tracker!$C$2:$C$101,INT((ROW()-6)/17)+1))</f>
        <v/>
      </c>
      <c r="D1144" s="6" t="str">
        <f>IF($A1144="","",INDEX(Project_Tracker!$T$2:$T$101,INT((ROW()-6)/17)+1))</f>
        <v/>
      </c>
      <c r="E1144" s="18">
        <f t="shared" si="85"/>
        <v>17</v>
      </c>
      <c r="F1144" s="23" t="str">
        <f>IF($A1144="","",INDEX('Logic &amp; Lists'!$I$4:$I$20,$E1144))</f>
        <v/>
      </c>
      <c r="G1144" s="18" t="str">
        <f>IF($A1144="","",INDEX('Logic &amp; Lists'!$J$4:$J$20,$E1144))</f>
        <v/>
      </c>
      <c r="H1144" s="6" t="str">
        <f t="shared" si="86"/>
        <v/>
      </c>
      <c r="I1144" s="18" t="str">
        <f t="shared" ca="1" si="87"/>
        <v/>
      </c>
      <c r="J1144" s="5" t="str">
        <f t="shared" si="88"/>
        <v/>
      </c>
      <c r="K1144" s="25"/>
      <c r="L1144" s="5" t="str">
        <f t="shared" si="89"/>
        <v/>
      </c>
      <c r="M1144" s="7"/>
      <c r="N1144" s="7"/>
      <c r="O1144" s="7"/>
      <c r="P1144" s="20" t="str">
        <f>IF($A1144="","",INDEX(Project_Tracker!$I$2:$I$101,INT((ROW()-6)/17)+1))</f>
        <v/>
      </c>
      <c r="Q1144" s="20" t="str">
        <f>IF($A1144="","",INDEX(Project_Tracker!$K$2:$K$101,INT((ROW()-6)/17)+1))</f>
        <v/>
      </c>
    </row>
    <row r="1145" spans="1:17" x14ac:dyDescent="0.2">
      <c r="A1145" s="20" t="str">
        <f>IF(INDEX(Project_Tracker!$AL$2:$AL$101,INT((ROW()-6)/17)+1)="","",INDEX(Project_Tracker!$AL$2:$AL$101,INT((ROW()-6)/17)+1))</f>
        <v/>
      </c>
      <c r="B1145" s="21" t="str">
        <f>IF($A1145="","",INDEX(Project_Tracker!$AM$2:$AM$101,INT((ROW()-6)/17)+1))</f>
        <v/>
      </c>
      <c r="C1145" s="20" t="str">
        <f>IF($A1145="","",INDEX(Project_Tracker!$C$2:$C$101,INT((ROW()-6)/17)+1))</f>
        <v/>
      </c>
      <c r="D1145" s="6" t="str">
        <f>IF($A1145="","",INDEX(Project_Tracker!$T$2:$T$101,INT((ROW()-6)/17)+1))</f>
        <v/>
      </c>
      <c r="E1145" s="18">
        <f t="shared" si="85"/>
        <v>1</v>
      </c>
      <c r="F1145" s="23" t="str">
        <f>IF($A1145="","",INDEX('Logic &amp; Lists'!$I$4:$I$20,$E1145))</f>
        <v/>
      </c>
      <c r="G1145" s="18" t="str">
        <f>IF($A1145="","",INDEX('Logic &amp; Lists'!$J$4:$J$20,$E1145))</f>
        <v/>
      </c>
      <c r="H1145" s="6" t="str">
        <f t="shared" si="86"/>
        <v/>
      </c>
      <c r="I1145" s="18" t="str">
        <f t="shared" ca="1" si="87"/>
        <v/>
      </c>
      <c r="J1145" s="5" t="str">
        <f t="shared" si="88"/>
        <v/>
      </c>
      <c r="K1145" s="25"/>
      <c r="L1145" s="5" t="str">
        <f t="shared" si="89"/>
        <v/>
      </c>
      <c r="M1145" s="7"/>
      <c r="N1145" s="7"/>
      <c r="O1145" s="7"/>
      <c r="P1145" s="20" t="str">
        <f>IF($A1145="","",INDEX(Project_Tracker!$I$2:$I$101,INT((ROW()-6)/17)+1))</f>
        <v/>
      </c>
      <c r="Q1145" s="20" t="str">
        <f>IF($A1145="","",INDEX(Project_Tracker!$K$2:$K$101,INT((ROW()-6)/17)+1))</f>
        <v/>
      </c>
    </row>
    <row r="1146" spans="1:17" x14ac:dyDescent="0.2">
      <c r="A1146" s="20" t="str">
        <f>IF(INDEX(Project_Tracker!$AL$2:$AL$101,INT((ROW()-6)/17)+1)="","",INDEX(Project_Tracker!$AL$2:$AL$101,INT((ROW()-6)/17)+1))</f>
        <v/>
      </c>
      <c r="B1146" s="21" t="str">
        <f>IF($A1146="","",INDEX(Project_Tracker!$AM$2:$AM$101,INT((ROW()-6)/17)+1))</f>
        <v/>
      </c>
      <c r="C1146" s="20" t="str">
        <f>IF($A1146="","",INDEX(Project_Tracker!$C$2:$C$101,INT((ROW()-6)/17)+1))</f>
        <v/>
      </c>
      <c r="D1146" s="6" t="str">
        <f>IF($A1146="","",INDEX(Project_Tracker!$T$2:$T$101,INT((ROW()-6)/17)+1))</f>
        <v/>
      </c>
      <c r="E1146" s="18">
        <f t="shared" si="85"/>
        <v>2</v>
      </c>
      <c r="F1146" s="23" t="str">
        <f>IF($A1146="","",INDEX('Logic &amp; Lists'!$I$4:$I$20,$E1146))</f>
        <v/>
      </c>
      <c r="G1146" s="18" t="str">
        <f>IF($A1146="","",INDEX('Logic &amp; Lists'!$J$4:$J$20,$E1146))</f>
        <v/>
      </c>
      <c r="H1146" s="6" t="str">
        <f t="shared" si="86"/>
        <v/>
      </c>
      <c r="I1146" s="18" t="str">
        <f t="shared" ca="1" si="87"/>
        <v/>
      </c>
      <c r="J1146" s="5" t="str">
        <f t="shared" si="88"/>
        <v/>
      </c>
      <c r="K1146" s="25"/>
      <c r="L1146" s="5" t="str">
        <f t="shared" si="89"/>
        <v/>
      </c>
      <c r="M1146" s="7"/>
      <c r="N1146" s="7"/>
      <c r="O1146" s="7"/>
      <c r="P1146" s="20" t="str">
        <f>IF($A1146="","",INDEX(Project_Tracker!$I$2:$I$101,INT((ROW()-6)/17)+1))</f>
        <v/>
      </c>
      <c r="Q1146" s="20" t="str">
        <f>IF($A1146="","",INDEX(Project_Tracker!$K$2:$K$101,INT((ROW()-6)/17)+1))</f>
        <v/>
      </c>
    </row>
    <row r="1147" spans="1:17" x14ac:dyDescent="0.2">
      <c r="A1147" s="20" t="str">
        <f>IF(INDEX(Project_Tracker!$AL$2:$AL$101,INT((ROW()-6)/17)+1)="","",INDEX(Project_Tracker!$AL$2:$AL$101,INT((ROW()-6)/17)+1))</f>
        <v/>
      </c>
      <c r="B1147" s="21" t="str">
        <f>IF($A1147="","",INDEX(Project_Tracker!$AM$2:$AM$101,INT((ROW()-6)/17)+1))</f>
        <v/>
      </c>
      <c r="C1147" s="20" t="str">
        <f>IF($A1147="","",INDEX(Project_Tracker!$C$2:$C$101,INT((ROW()-6)/17)+1))</f>
        <v/>
      </c>
      <c r="D1147" s="6" t="str">
        <f>IF($A1147="","",INDEX(Project_Tracker!$T$2:$T$101,INT((ROW()-6)/17)+1))</f>
        <v/>
      </c>
      <c r="E1147" s="18">
        <f t="shared" si="85"/>
        <v>3</v>
      </c>
      <c r="F1147" s="23" t="str">
        <f>IF($A1147="","",INDEX('Logic &amp; Lists'!$I$4:$I$20,$E1147))</f>
        <v/>
      </c>
      <c r="G1147" s="18" t="str">
        <f>IF($A1147="","",INDEX('Logic &amp; Lists'!$J$4:$J$20,$E1147))</f>
        <v/>
      </c>
      <c r="H1147" s="6" t="str">
        <f t="shared" si="86"/>
        <v/>
      </c>
      <c r="I1147" s="18" t="str">
        <f t="shared" ca="1" si="87"/>
        <v/>
      </c>
      <c r="J1147" s="5" t="str">
        <f t="shared" si="88"/>
        <v/>
      </c>
      <c r="K1147" s="25"/>
      <c r="L1147" s="5" t="str">
        <f t="shared" si="89"/>
        <v/>
      </c>
      <c r="M1147" s="7"/>
      <c r="N1147" s="7"/>
      <c r="O1147" s="7"/>
      <c r="P1147" s="20" t="str">
        <f>IF($A1147="","",INDEX(Project_Tracker!$I$2:$I$101,INT((ROW()-6)/17)+1))</f>
        <v/>
      </c>
      <c r="Q1147" s="20" t="str">
        <f>IF($A1147="","",INDEX(Project_Tracker!$K$2:$K$101,INT((ROW()-6)/17)+1))</f>
        <v/>
      </c>
    </row>
    <row r="1148" spans="1:17" x14ac:dyDescent="0.2">
      <c r="A1148" s="20" t="str">
        <f>IF(INDEX(Project_Tracker!$AL$2:$AL$101,INT((ROW()-6)/17)+1)="","",INDEX(Project_Tracker!$AL$2:$AL$101,INT((ROW()-6)/17)+1))</f>
        <v/>
      </c>
      <c r="B1148" s="21" t="str">
        <f>IF($A1148="","",INDEX(Project_Tracker!$AM$2:$AM$101,INT((ROW()-6)/17)+1))</f>
        <v/>
      </c>
      <c r="C1148" s="20" t="str">
        <f>IF($A1148="","",INDEX(Project_Tracker!$C$2:$C$101,INT((ROW()-6)/17)+1))</f>
        <v/>
      </c>
      <c r="D1148" s="6" t="str">
        <f>IF($A1148="","",INDEX(Project_Tracker!$T$2:$T$101,INT((ROW()-6)/17)+1))</f>
        <v/>
      </c>
      <c r="E1148" s="18">
        <f t="shared" si="85"/>
        <v>4</v>
      </c>
      <c r="F1148" s="23" t="str">
        <f>IF($A1148="","",INDEX('Logic &amp; Lists'!$I$4:$I$20,$E1148))</f>
        <v/>
      </c>
      <c r="G1148" s="18" t="str">
        <f>IF($A1148="","",INDEX('Logic &amp; Lists'!$J$4:$J$20,$E1148))</f>
        <v/>
      </c>
      <c r="H1148" s="6" t="str">
        <f t="shared" si="86"/>
        <v/>
      </c>
      <c r="I1148" s="18" t="str">
        <f t="shared" ca="1" si="87"/>
        <v/>
      </c>
      <c r="J1148" s="5" t="str">
        <f t="shared" si="88"/>
        <v/>
      </c>
      <c r="K1148" s="25"/>
      <c r="L1148" s="5" t="str">
        <f t="shared" si="89"/>
        <v/>
      </c>
      <c r="M1148" s="7"/>
      <c r="N1148" s="7"/>
      <c r="O1148" s="7"/>
      <c r="P1148" s="20" t="str">
        <f>IF($A1148="","",INDEX(Project_Tracker!$I$2:$I$101,INT((ROW()-6)/17)+1))</f>
        <v/>
      </c>
      <c r="Q1148" s="20" t="str">
        <f>IF($A1148="","",INDEX(Project_Tracker!$K$2:$K$101,INT((ROW()-6)/17)+1))</f>
        <v/>
      </c>
    </row>
    <row r="1149" spans="1:17" x14ac:dyDescent="0.2">
      <c r="A1149" s="20" t="str">
        <f>IF(INDEX(Project_Tracker!$AL$2:$AL$101,INT((ROW()-6)/17)+1)="","",INDEX(Project_Tracker!$AL$2:$AL$101,INT((ROW()-6)/17)+1))</f>
        <v/>
      </c>
      <c r="B1149" s="21" t="str">
        <f>IF($A1149="","",INDEX(Project_Tracker!$AM$2:$AM$101,INT((ROW()-6)/17)+1))</f>
        <v/>
      </c>
      <c r="C1149" s="20" t="str">
        <f>IF($A1149="","",INDEX(Project_Tracker!$C$2:$C$101,INT((ROW()-6)/17)+1))</f>
        <v/>
      </c>
      <c r="D1149" s="6" t="str">
        <f>IF($A1149="","",INDEX(Project_Tracker!$T$2:$T$101,INT((ROW()-6)/17)+1))</f>
        <v/>
      </c>
      <c r="E1149" s="18">
        <f t="shared" si="85"/>
        <v>5</v>
      </c>
      <c r="F1149" s="23" t="str">
        <f>IF($A1149="","",INDEX('Logic &amp; Lists'!$I$4:$I$20,$E1149))</f>
        <v/>
      </c>
      <c r="G1149" s="18" t="str">
        <f>IF($A1149="","",INDEX('Logic &amp; Lists'!$J$4:$J$20,$E1149))</f>
        <v/>
      </c>
      <c r="H1149" s="6" t="str">
        <f t="shared" si="86"/>
        <v/>
      </c>
      <c r="I1149" s="18" t="str">
        <f t="shared" ca="1" si="87"/>
        <v/>
      </c>
      <c r="J1149" s="5" t="str">
        <f t="shared" si="88"/>
        <v/>
      </c>
      <c r="K1149" s="25"/>
      <c r="L1149" s="5" t="str">
        <f t="shared" si="89"/>
        <v/>
      </c>
      <c r="M1149" s="7"/>
      <c r="N1149" s="7"/>
      <c r="O1149" s="7"/>
      <c r="P1149" s="20" t="str">
        <f>IF($A1149="","",INDEX(Project_Tracker!$I$2:$I$101,INT((ROW()-6)/17)+1))</f>
        <v/>
      </c>
      <c r="Q1149" s="20" t="str">
        <f>IF($A1149="","",INDEX(Project_Tracker!$K$2:$K$101,INT((ROW()-6)/17)+1))</f>
        <v/>
      </c>
    </row>
    <row r="1150" spans="1:17" x14ac:dyDescent="0.2">
      <c r="A1150" s="20" t="str">
        <f>IF(INDEX(Project_Tracker!$AL$2:$AL$101,INT((ROW()-6)/17)+1)="","",INDEX(Project_Tracker!$AL$2:$AL$101,INT((ROW()-6)/17)+1))</f>
        <v/>
      </c>
      <c r="B1150" s="21" t="str">
        <f>IF($A1150="","",INDEX(Project_Tracker!$AM$2:$AM$101,INT((ROW()-6)/17)+1))</f>
        <v/>
      </c>
      <c r="C1150" s="20" t="str">
        <f>IF($A1150="","",INDEX(Project_Tracker!$C$2:$C$101,INT((ROW()-6)/17)+1))</f>
        <v/>
      </c>
      <c r="D1150" s="6" t="str">
        <f>IF($A1150="","",INDEX(Project_Tracker!$T$2:$T$101,INT((ROW()-6)/17)+1))</f>
        <v/>
      </c>
      <c r="E1150" s="18">
        <f t="shared" si="85"/>
        <v>6</v>
      </c>
      <c r="F1150" s="23" t="str">
        <f>IF($A1150="","",INDEX('Logic &amp; Lists'!$I$4:$I$20,$E1150))</f>
        <v/>
      </c>
      <c r="G1150" s="18" t="str">
        <f>IF($A1150="","",INDEX('Logic &amp; Lists'!$J$4:$J$20,$E1150))</f>
        <v/>
      </c>
      <c r="H1150" s="6" t="str">
        <f t="shared" si="86"/>
        <v/>
      </c>
      <c r="I1150" s="18" t="str">
        <f t="shared" ca="1" si="87"/>
        <v/>
      </c>
      <c r="J1150" s="5" t="str">
        <f t="shared" si="88"/>
        <v/>
      </c>
      <c r="K1150" s="25"/>
      <c r="L1150" s="5" t="str">
        <f t="shared" si="89"/>
        <v/>
      </c>
      <c r="M1150" s="7"/>
      <c r="N1150" s="7"/>
      <c r="O1150" s="7"/>
      <c r="P1150" s="20" t="str">
        <f>IF($A1150="","",INDEX(Project_Tracker!$I$2:$I$101,INT((ROW()-6)/17)+1))</f>
        <v/>
      </c>
      <c r="Q1150" s="20" t="str">
        <f>IF($A1150="","",INDEX(Project_Tracker!$K$2:$K$101,INT((ROW()-6)/17)+1))</f>
        <v/>
      </c>
    </row>
    <row r="1151" spans="1:17" x14ac:dyDescent="0.2">
      <c r="A1151" s="20" t="str">
        <f>IF(INDEX(Project_Tracker!$AL$2:$AL$101,INT((ROW()-6)/17)+1)="","",INDEX(Project_Tracker!$AL$2:$AL$101,INT((ROW()-6)/17)+1))</f>
        <v/>
      </c>
      <c r="B1151" s="21" t="str">
        <f>IF($A1151="","",INDEX(Project_Tracker!$AM$2:$AM$101,INT((ROW()-6)/17)+1))</f>
        <v/>
      </c>
      <c r="C1151" s="20" t="str">
        <f>IF($A1151="","",INDEX(Project_Tracker!$C$2:$C$101,INT((ROW()-6)/17)+1))</f>
        <v/>
      </c>
      <c r="D1151" s="6" t="str">
        <f>IF($A1151="","",INDEX(Project_Tracker!$T$2:$T$101,INT((ROW()-6)/17)+1))</f>
        <v/>
      </c>
      <c r="E1151" s="18">
        <f t="shared" si="85"/>
        <v>7</v>
      </c>
      <c r="F1151" s="23" t="str">
        <f>IF($A1151="","",INDEX('Logic &amp; Lists'!$I$4:$I$20,$E1151))</f>
        <v/>
      </c>
      <c r="G1151" s="18" t="str">
        <f>IF($A1151="","",INDEX('Logic &amp; Lists'!$J$4:$J$20,$E1151))</f>
        <v/>
      </c>
      <c r="H1151" s="6" t="str">
        <f t="shared" si="86"/>
        <v/>
      </c>
      <c r="I1151" s="18" t="str">
        <f t="shared" ca="1" si="87"/>
        <v/>
      </c>
      <c r="J1151" s="5" t="str">
        <f t="shared" si="88"/>
        <v/>
      </c>
      <c r="K1151" s="25"/>
      <c r="L1151" s="5" t="str">
        <f t="shared" si="89"/>
        <v/>
      </c>
      <c r="M1151" s="7"/>
      <c r="N1151" s="7"/>
      <c r="O1151" s="7"/>
      <c r="P1151" s="20" t="str">
        <f>IF($A1151="","",INDEX(Project_Tracker!$I$2:$I$101,INT((ROW()-6)/17)+1))</f>
        <v/>
      </c>
      <c r="Q1151" s="20" t="str">
        <f>IF($A1151="","",INDEX(Project_Tracker!$K$2:$K$101,INT((ROW()-6)/17)+1))</f>
        <v/>
      </c>
    </row>
    <row r="1152" spans="1:17" x14ac:dyDescent="0.2">
      <c r="A1152" s="20" t="str">
        <f>IF(INDEX(Project_Tracker!$AL$2:$AL$101,INT((ROW()-6)/17)+1)="","",INDEX(Project_Tracker!$AL$2:$AL$101,INT((ROW()-6)/17)+1))</f>
        <v/>
      </c>
      <c r="B1152" s="21" t="str">
        <f>IF($A1152="","",INDEX(Project_Tracker!$AM$2:$AM$101,INT((ROW()-6)/17)+1))</f>
        <v/>
      </c>
      <c r="C1152" s="20" t="str">
        <f>IF($A1152="","",INDEX(Project_Tracker!$C$2:$C$101,INT((ROW()-6)/17)+1))</f>
        <v/>
      </c>
      <c r="D1152" s="6" t="str">
        <f>IF($A1152="","",INDEX(Project_Tracker!$T$2:$T$101,INT((ROW()-6)/17)+1))</f>
        <v/>
      </c>
      <c r="E1152" s="18">
        <f t="shared" si="85"/>
        <v>8</v>
      </c>
      <c r="F1152" s="23" t="str">
        <f>IF($A1152="","",INDEX('Logic &amp; Lists'!$I$4:$I$20,$E1152))</f>
        <v/>
      </c>
      <c r="G1152" s="18" t="str">
        <f>IF($A1152="","",INDEX('Logic &amp; Lists'!$J$4:$J$20,$E1152))</f>
        <v/>
      </c>
      <c r="H1152" s="6" t="str">
        <f t="shared" si="86"/>
        <v/>
      </c>
      <c r="I1152" s="18" t="str">
        <f t="shared" ca="1" si="87"/>
        <v/>
      </c>
      <c r="J1152" s="5" t="str">
        <f t="shared" si="88"/>
        <v/>
      </c>
      <c r="K1152" s="25"/>
      <c r="L1152" s="5" t="str">
        <f t="shared" si="89"/>
        <v/>
      </c>
      <c r="M1152" s="7"/>
      <c r="N1152" s="7"/>
      <c r="O1152" s="7"/>
      <c r="P1152" s="20" t="str">
        <f>IF($A1152="","",INDEX(Project_Tracker!$I$2:$I$101,INT((ROW()-6)/17)+1))</f>
        <v/>
      </c>
      <c r="Q1152" s="20" t="str">
        <f>IF($A1152="","",INDEX(Project_Tracker!$K$2:$K$101,INT((ROW()-6)/17)+1))</f>
        <v/>
      </c>
    </row>
    <row r="1153" spans="1:17" x14ac:dyDescent="0.2">
      <c r="A1153" s="20" t="str">
        <f>IF(INDEX(Project_Tracker!$AL$2:$AL$101,INT((ROW()-6)/17)+1)="","",INDEX(Project_Tracker!$AL$2:$AL$101,INT((ROW()-6)/17)+1))</f>
        <v/>
      </c>
      <c r="B1153" s="21" t="str">
        <f>IF($A1153="","",INDEX(Project_Tracker!$AM$2:$AM$101,INT((ROW()-6)/17)+1))</f>
        <v/>
      </c>
      <c r="C1153" s="20" t="str">
        <f>IF($A1153="","",INDEX(Project_Tracker!$C$2:$C$101,INT((ROW()-6)/17)+1))</f>
        <v/>
      </c>
      <c r="D1153" s="6" t="str">
        <f>IF($A1153="","",INDEX(Project_Tracker!$T$2:$T$101,INT((ROW()-6)/17)+1))</f>
        <v/>
      </c>
      <c r="E1153" s="18">
        <f t="shared" si="85"/>
        <v>9</v>
      </c>
      <c r="F1153" s="23" t="str">
        <f>IF($A1153="","",INDEX('Logic &amp; Lists'!$I$4:$I$20,$E1153))</f>
        <v/>
      </c>
      <c r="G1153" s="18" t="str">
        <f>IF($A1153="","",INDEX('Logic &amp; Lists'!$J$4:$J$20,$E1153))</f>
        <v/>
      </c>
      <c r="H1153" s="6" t="str">
        <f t="shared" si="86"/>
        <v/>
      </c>
      <c r="I1153" s="18" t="str">
        <f t="shared" ca="1" si="87"/>
        <v/>
      </c>
      <c r="J1153" s="5" t="str">
        <f t="shared" si="88"/>
        <v/>
      </c>
      <c r="K1153" s="25"/>
      <c r="L1153" s="5" t="str">
        <f t="shared" si="89"/>
        <v/>
      </c>
      <c r="M1153" s="7"/>
      <c r="N1153" s="7"/>
      <c r="O1153" s="7"/>
      <c r="P1153" s="20" t="str">
        <f>IF($A1153="","",INDEX(Project_Tracker!$I$2:$I$101,INT((ROW()-6)/17)+1))</f>
        <v/>
      </c>
      <c r="Q1153" s="20" t="str">
        <f>IF($A1153="","",INDEX(Project_Tracker!$K$2:$K$101,INT((ROW()-6)/17)+1))</f>
        <v/>
      </c>
    </row>
    <row r="1154" spans="1:17" x14ac:dyDescent="0.2">
      <c r="A1154" s="20" t="str">
        <f>IF(INDEX(Project_Tracker!$AL$2:$AL$101,INT((ROW()-6)/17)+1)="","",INDEX(Project_Tracker!$AL$2:$AL$101,INT((ROW()-6)/17)+1))</f>
        <v/>
      </c>
      <c r="B1154" s="21" t="str">
        <f>IF($A1154="","",INDEX(Project_Tracker!$AM$2:$AM$101,INT((ROW()-6)/17)+1))</f>
        <v/>
      </c>
      <c r="C1154" s="20" t="str">
        <f>IF($A1154="","",INDEX(Project_Tracker!$C$2:$C$101,INT((ROW()-6)/17)+1))</f>
        <v/>
      </c>
      <c r="D1154" s="6" t="str">
        <f>IF($A1154="","",INDEX(Project_Tracker!$T$2:$T$101,INT((ROW()-6)/17)+1))</f>
        <v/>
      </c>
      <c r="E1154" s="18">
        <f t="shared" si="85"/>
        <v>10</v>
      </c>
      <c r="F1154" s="23" t="str">
        <f>IF($A1154="","",INDEX('Logic &amp; Lists'!$I$4:$I$20,$E1154))</f>
        <v/>
      </c>
      <c r="G1154" s="18" t="str">
        <f>IF($A1154="","",INDEX('Logic &amp; Lists'!$J$4:$J$20,$E1154))</f>
        <v/>
      </c>
      <c r="H1154" s="6" t="str">
        <f t="shared" si="86"/>
        <v/>
      </c>
      <c r="I1154" s="18" t="str">
        <f t="shared" ca="1" si="87"/>
        <v/>
      </c>
      <c r="J1154" s="5" t="str">
        <f t="shared" si="88"/>
        <v/>
      </c>
      <c r="K1154" s="25"/>
      <c r="L1154" s="5" t="str">
        <f t="shared" si="89"/>
        <v/>
      </c>
      <c r="M1154" s="7"/>
      <c r="N1154" s="7"/>
      <c r="O1154" s="7"/>
      <c r="P1154" s="20" t="str">
        <f>IF($A1154="","",INDEX(Project_Tracker!$I$2:$I$101,INT((ROW()-6)/17)+1))</f>
        <v/>
      </c>
      <c r="Q1154" s="20" t="str">
        <f>IF($A1154="","",INDEX(Project_Tracker!$K$2:$K$101,INT((ROW()-6)/17)+1))</f>
        <v/>
      </c>
    </row>
    <row r="1155" spans="1:17" x14ac:dyDescent="0.2">
      <c r="A1155" s="20" t="str">
        <f>IF(INDEX(Project_Tracker!$AL$2:$AL$101,INT((ROW()-6)/17)+1)="","",INDEX(Project_Tracker!$AL$2:$AL$101,INT((ROW()-6)/17)+1))</f>
        <v/>
      </c>
      <c r="B1155" s="21" t="str">
        <f>IF($A1155="","",INDEX(Project_Tracker!$AM$2:$AM$101,INT((ROW()-6)/17)+1))</f>
        <v/>
      </c>
      <c r="C1155" s="20" t="str">
        <f>IF($A1155="","",INDEX(Project_Tracker!$C$2:$C$101,INT((ROW()-6)/17)+1))</f>
        <v/>
      </c>
      <c r="D1155" s="6" t="str">
        <f>IF($A1155="","",INDEX(Project_Tracker!$T$2:$T$101,INT((ROW()-6)/17)+1))</f>
        <v/>
      </c>
      <c r="E1155" s="18">
        <f t="shared" si="85"/>
        <v>11</v>
      </c>
      <c r="F1155" s="23" t="str">
        <f>IF($A1155="","",INDEX('Logic &amp; Lists'!$I$4:$I$20,$E1155))</f>
        <v/>
      </c>
      <c r="G1155" s="18" t="str">
        <f>IF($A1155="","",INDEX('Logic &amp; Lists'!$J$4:$J$20,$E1155))</f>
        <v/>
      </c>
      <c r="H1155" s="6" t="str">
        <f t="shared" si="86"/>
        <v/>
      </c>
      <c r="I1155" s="18" t="str">
        <f t="shared" ca="1" si="87"/>
        <v/>
      </c>
      <c r="J1155" s="5" t="str">
        <f t="shared" si="88"/>
        <v/>
      </c>
      <c r="K1155" s="25"/>
      <c r="L1155" s="5" t="str">
        <f t="shared" si="89"/>
        <v/>
      </c>
      <c r="M1155" s="7"/>
      <c r="N1155" s="7"/>
      <c r="O1155" s="7"/>
      <c r="P1155" s="20" t="str">
        <f>IF($A1155="","",INDEX(Project_Tracker!$I$2:$I$101,INT((ROW()-6)/17)+1))</f>
        <v/>
      </c>
      <c r="Q1155" s="20" t="str">
        <f>IF($A1155="","",INDEX(Project_Tracker!$K$2:$K$101,INT((ROW()-6)/17)+1))</f>
        <v/>
      </c>
    </row>
    <row r="1156" spans="1:17" x14ac:dyDescent="0.2">
      <c r="A1156" s="20" t="str">
        <f>IF(INDEX(Project_Tracker!$AL$2:$AL$101,INT((ROW()-6)/17)+1)="","",INDEX(Project_Tracker!$AL$2:$AL$101,INT((ROW()-6)/17)+1))</f>
        <v/>
      </c>
      <c r="B1156" s="21" t="str">
        <f>IF($A1156="","",INDEX(Project_Tracker!$AM$2:$AM$101,INT((ROW()-6)/17)+1))</f>
        <v/>
      </c>
      <c r="C1156" s="20" t="str">
        <f>IF($A1156="","",INDEX(Project_Tracker!$C$2:$C$101,INT((ROW()-6)/17)+1))</f>
        <v/>
      </c>
      <c r="D1156" s="6" t="str">
        <f>IF($A1156="","",INDEX(Project_Tracker!$T$2:$T$101,INT((ROW()-6)/17)+1))</f>
        <v/>
      </c>
      <c r="E1156" s="18">
        <f t="shared" si="85"/>
        <v>12</v>
      </c>
      <c r="F1156" s="23" t="str">
        <f>IF($A1156="","",INDEX('Logic &amp; Lists'!$I$4:$I$20,$E1156))</f>
        <v/>
      </c>
      <c r="G1156" s="18" t="str">
        <f>IF($A1156="","",INDEX('Logic &amp; Lists'!$J$4:$J$20,$E1156))</f>
        <v/>
      </c>
      <c r="H1156" s="6" t="str">
        <f t="shared" si="86"/>
        <v/>
      </c>
      <c r="I1156" s="18" t="str">
        <f t="shared" ca="1" si="87"/>
        <v/>
      </c>
      <c r="J1156" s="5" t="str">
        <f t="shared" si="88"/>
        <v/>
      </c>
      <c r="K1156" s="25"/>
      <c r="L1156" s="5" t="str">
        <f t="shared" si="89"/>
        <v/>
      </c>
      <c r="M1156" s="7"/>
      <c r="N1156" s="7"/>
      <c r="O1156" s="7"/>
      <c r="P1156" s="20" t="str">
        <f>IF($A1156="","",INDEX(Project_Tracker!$I$2:$I$101,INT((ROW()-6)/17)+1))</f>
        <v/>
      </c>
      <c r="Q1156" s="20" t="str">
        <f>IF($A1156="","",INDEX(Project_Tracker!$K$2:$K$101,INT((ROW()-6)/17)+1))</f>
        <v/>
      </c>
    </row>
    <row r="1157" spans="1:17" x14ac:dyDescent="0.2">
      <c r="A1157" s="20" t="str">
        <f>IF(INDEX(Project_Tracker!$AL$2:$AL$101,INT((ROW()-6)/17)+1)="","",INDEX(Project_Tracker!$AL$2:$AL$101,INT((ROW()-6)/17)+1))</f>
        <v/>
      </c>
      <c r="B1157" s="21" t="str">
        <f>IF($A1157="","",INDEX(Project_Tracker!$AM$2:$AM$101,INT((ROW()-6)/17)+1))</f>
        <v/>
      </c>
      <c r="C1157" s="20" t="str">
        <f>IF($A1157="","",INDEX(Project_Tracker!$C$2:$C$101,INT((ROW()-6)/17)+1))</f>
        <v/>
      </c>
      <c r="D1157" s="6" t="str">
        <f>IF($A1157="","",INDEX(Project_Tracker!$T$2:$T$101,INT((ROW()-6)/17)+1))</f>
        <v/>
      </c>
      <c r="E1157" s="18">
        <f t="shared" si="85"/>
        <v>13</v>
      </c>
      <c r="F1157" s="23" t="str">
        <f>IF($A1157="","",INDEX('Logic &amp; Lists'!$I$4:$I$20,$E1157))</f>
        <v/>
      </c>
      <c r="G1157" s="18" t="str">
        <f>IF($A1157="","",INDEX('Logic &amp; Lists'!$J$4:$J$20,$E1157))</f>
        <v/>
      </c>
      <c r="H1157" s="6" t="str">
        <f t="shared" si="86"/>
        <v/>
      </c>
      <c r="I1157" s="18" t="str">
        <f t="shared" ca="1" si="87"/>
        <v/>
      </c>
      <c r="J1157" s="5" t="str">
        <f t="shared" si="88"/>
        <v/>
      </c>
      <c r="K1157" s="25"/>
      <c r="L1157" s="5" t="str">
        <f t="shared" si="89"/>
        <v/>
      </c>
      <c r="M1157" s="7"/>
      <c r="N1157" s="7"/>
      <c r="O1157" s="7"/>
      <c r="P1157" s="20" t="str">
        <f>IF($A1157="","",INDEX(Project_Tracker!$I$2:$I$101,INT((ROW()-6)/17)+1))</f>
        <v/>
      </c>
      <c r="Q1157" s="20" t="str">
        <f>IF($A1157="","",INDEX(Project_Tracker!$K$2:$K$101,INT((ROW()-6)/17)+1))</f>
        <v/>
      </c>
    </row>
    <row r="1158" spans="1:17" x14ac:dyDescent="0.2">
      <c r="A1158" s="20" t="str">
        <f>IF(INDEX(Project_Tracker!$AL$2:$AL$101,INT((ROW()-6)/17)+1)="","",INDEX(Project_Tracker!$AL$2:$AL$101,INT((ROW()-6)/17)+1))</f>
        <v/>
      </c>
      <c r="B1158" s="21" t="str">
        <f>IF($A1158="","",INDEX(Project_Tracker!$AM$2:$AM$101,INT((ROW()-6)/17)+1))</f>
        <v/>
      </c>
      <c r="C1158" s="20" t="str">
        <f>IF($A1158="","",INDEX(Project_Tracker!$C$2:$C$101,INT((ROW()-6)/17)+1))</f>
        <v/>
      </c>
      <c r="D1158" s="6" t="str">
        <f>IF($A1158="","",INDEX(Project_Tracker!$T$2:$T$101,INT((ROW()-6)/17)+1))</f>
        <v/>
      </c>
      <c r="E1158" s="18">
        <f t="shared" ref="E1158:E1221" si="90">MOD(ROW()-6,17)+1</f>
        <v>14</v>
      </c>
      <c r="F1158" s="23" t="str">
        <f>IF($A1158="","",INDEX('Logic &amp; Lists'!$I$4:$I$20,$E1158))</f>
        <v/>
      </c>
      <c r="G1158" s="18" t="str">
        <f>IF($A1158="","",INDEX('Logic &amp; Lists'!$J$4:$J$20,$E1158))</f>
        <v/>
      </c>
      <c r="H1158" s="6" t="str">
        <f t="shared" ref="H1158:H1221" si="91">IF($D1158="","",$D1158-$G1158)</f>
        <v/>
      </c>
      <c r="I1158" s="18" t="str">
        <f t="shared" ref="I1158:I1221" ca="1" si="92">IF($H1158="","",$H1158-TODAY())</f>
        <v/>
      </c>
      <c r="J1158" s="5" t="str">
        <f t="shared" ref="J1158:J1221" si="93">IF($A1158="","",IF($K1158&lt;&gt;"","ORDERED",IF($I1158&lt;0,"OVERDUE",IF($I1158&lt;=7,"URGENT",IF($I1158&lt;=14,"PREPARE","OK")))))</f>
        <v/>
      </c>
      <c r="K1158" s="25"/>
      <c r="L1158" s="5" t="str">
        <f t="shared" ref="L1158:L1221" si="94">IF($A1158="","",IF($K1158="",$J1158,IF($K1158&lt;=$H1158,"Ordered On Time","Ordered Late")))</f>
        <v/>
      </c>
      <c r="M1158" s="7"/>
      <c r="N1158" s="7"/>
      <c r="O1158" s="7"/>
      <c r="P1158" s="20" t="str">
        <f>IF($A1158="","",INDEX(Project_Tracker!$I$2:$I$101,INT((ROW()-6)/17)+1))</f>
        <v/>
      </c>
      <c r="Q1158" s="20" t="str">
        <f>IF($A1158="","",INDEX(Project_Tracker!$K$2:$K$101,INT((ROW()-6)/17)+1))</f>
        <v/>
      </c>
    </row>
    <row r="1159" spans="1:17" x14ac:dyDescent="0.2">
      <c r="A1159" s="20" t="str">
        <f>IF(INDEX(Project_Tracker!$AL$2:$AL$101,INT((ROW()-6)/17)+1)="","",INDEX(Project_Tracker!$AL$2:$AL$101,INT((ROW()-6)/17)+1))</f>
        <v/>
      </c>
      <c r="B1159" s="21" t="str">
        <f>IF($A1159="","",INDEX(Project_Tracker!$AM$2:$AM$101,INT((ROW()-6)/17)+1))</f>
        <v/>
      </c>
      <c r="C1159" s="20" t="str">
        <f>IF($A1159="","",INDEX(Project_Tracker!$C$2:$C$101,INT((ROW()-6)/17)+1))</f>
        <v/>
      </c>
      <c r="D1159" s="6" t="str">
        <f>IF($A1159="","",INDEX(Project_Tracker!$T$2:$T$101,INT((ROW()-6)/17)+1))</f>
        <v/>
      </c>
      <c r="E1159" s="18">
        <f t="shared" si="90"/>
        <v>15</v>
      </c>
      <c r="F1159" s="23" t="str">
        <f>IF($A1159="","",INDEX('Logic &amp; Lists'!$I$4:$I$20,$E1159))</f>
        <v/>
      </c>
      <c r="G1159" s="18" t="str">
        <f>IF($A1159="","",INDEX('Logic &amp; Lists'!$J$4:$J$20,$E1159))</f>
        <v/>
      </c>
      <c r="H1159" s="6" t="str">
        <f t="shared" si="91"/>
        <v/>
      </c>
      <c r="I1159" s="18" t="str">
        <f t="shared" ca="1" si="92"/>
        <v/>
      </c>
      <c r="J1159" s="5" t="str">
        <f t="shared" si="93"/>
        <v/>
      </c>
      <c r="K1159" s="25"/>
      <c r="L1159" s="5" t="str">
        <f t="shared" si="94"/>
        <v/>
      </c>
      <c r="M1159" s="7"/>
      <c r="N1159" s="7"/>
      <c r="O1159" s="7"/>
      <c r="P1159" s="20" t="str">
        <f>IF($A1159="","",INDEX(Project_Tracker!$I$2:$I$101,INT((ROW()-6)/17)+1))</f>
        <v/>
      </c>
      <c r="Q1159" s="20" t="str">
        <f>IF($A1159="","",INDEX(Project_Tracker!$K$2:$K$101,INT((ROW()-6)/17)+1))</f>
        <v/>
      </c>
    </row>
    <row r="1160" spans="1:17" x14ac:dyDescent="0.2">
      <c r="A1160" s="20" t="str">
        <f>IF(INDEX(Project_Tracker!$AL$2:$AL$101,INT((ROW()-6)/17)+1)="","",INDEX(Project_Tracker!$AL$2:$AL$101,INT((ROW()-6)/17)+1))</f>
        <v/>
      </c>
      <c r="B1160" s="21" t="str">
        <f>IF($A1160="","",INDEX(Project_Tracker!$AM$2:$AM$101,INT((ROW()-6)/17)+1))</f>
        <v/>
      </c>
      <c r="C1160" s="20" t="str">
        <f>IF($A1160="","",INDEX(Project_Tracker!$C$2:$C$101,INT((ROW()-6)/17)+1))</f>
        <v/>
      </c>
      <c r="D1160" s="6" t="str">
        <f>IF($A1160="","",INDEX(Project_Tracker!$T$2:$T$101,INT((ROW()-6)/17)+1))</f>
        <v/>
      </c>
      <c r="E1160" s="18">
        <f t="shared" si="90"/>
        <v>16</v>
      </c>
      <c r="F1160" s="23" t="str">
        <f>IF($A1160="","",INDEX('Logic &amp; Lists'!$I$4:$I$20,$E1160))</f>
        <v/>
      </c>
      <c r="G1160" s="18" t="str">
        <f>IF($A1160="","",INDEX('Logic &amp; Lists'!$J$4:$J$20,$E1160))</f>
        <v/>
      </c>
      <c r="H1160" s="6" t="str">
        <f t="shared" si="91"/>
        <v/>
      </c>
      <c r="I1160" s="18" t="str">
        <f t="shared" ca="1" si="92"/>
        <v/>
      </c>
      <c r="J1160" s="5" t="str">
        <f t="shared" si="93"/>
        <v/>
      </c>
      <c r="K1160" s="25"/>
      <c r="L1160" s="5" t="str">
        <f t="shared" si="94"/>
        <v/>
      </c>
      <c r="M1160" s="7"/>
      <c r="N1160" s="7"/>
      <c r="O1160" s="7"/>
      <c r="P1160" s="20" t="str">
        <f>IF($A1160="","",INDEX(Project_Tracker!$I$2:$I$101,INT((ROW()-6)/17)+1))</f>
        <v/>
      </c>
      <c r="Q1160" s="20" t="str">
        <f>IF($A1160="","",INDEX(Project_Tracker!$K$2:$K$101,INT((ROW()-6)/17)+1))</f>
        <v/>
      </c>
    </row>
    <row r="1161" spans="1:17" x14ac:dyDescent="0.2">
      <c r="A1161" s="20" t="str">
        <f>IF(INDEX(Project_Tracker!$AL$2:$AL$101,INT((ROW()-6)/17)+1)="","",INDEX(Project_Tracker!$AL$2:$AL$101,INT((ROW()-6)/17)+1))</f>
        <v/>
      </c>
      <c r="B1161" s="21" t="str">
        <f>IF($A1161="","",INDEX(Project_Tracker!$AM$2:$AM$101,INT((ROW()-6)/17)+1))</f>
        <v/>
      </c>
      <c r="C1161" s="20" t="str">
        <f>IF($A1161="","",INDEX(Project_Tracker!$C$2:$C$101,INT((ROW()-6)/17)+1))</f>
        <v/>
      </c>
      <c r="D1161" s="6" t="str">
        <f>IF($A1161="","",INDEX(Project_Tracker!$T$2:$T$101,INT((ROW()-6)/17)+1))</f>
        <v/>
      </c>
      <c r="E1161" s="18">
        <f t="shared" si="90"/>
        <v>17</v>
      </c>
      <c r="F1161" s="23" t="str">
        <f>IF($A1161="","",INDEX('Logic &amp; Lists'!$I$4:$I$20,$E1161))</f>
        <v/>
      </c>
      <c r="G1161" s="18" t="str">
        <f>IF($A1161="","",INDEX('Logic &amp; Lists'!$J$4:$J$20,$E1161))</f>
        <v/>
      </c>
      <c r="H1161" s="6" t="str">
        <f t="shared" si="91"/>
        <v/>
      </c>
      <c r="I1161" s="18" t="str">
        <f t="shared" ca="1" si="92"/>
        <v/>
      </c>
      <c r="J1161" s="5" t="str">
        <f t="shared" si="93"/>
        <v/>
      </c>
      <c r="K1161" s="25"/>
      <c r="L1161" s="5" t="str">
        <f t="shared" si="94"/>
        <v/>
      </c>
      <c r="M1161" s="7"/>
      <c r="N1161" s="7"/>
      <c r="O1161" s="7"/>
      <c r="P1161" s="20" t="str">
        <f>IF($A1161="","",INDEX(Project_Tracker!$I$2:$I$101,INT((ROW()-6)/17)+1))</f>
        <v/>
      </c>
      <c r="Q1161" s="20" t="str">
        <f>IF($A1161="","",INDEX(Project_Tracker!$K$2:$K$101,INT((ROW()-6)/17)+1))</f>
        <v/>
      </c>
    </row>
    <row r="1162" spans="1:17" x14ac:dyDescent="0.2">
      <c r="A1162" s="20" t="str">
        <f>IF(INDEX(Project_Tracker!$AL$2:$AL$101,INT((ROW()-6)/17)+1)="","",INDEX(Project_Tracker!$AL$2:$AL$101,INT((ROW()-6)/17)+1))</f>
        <v/>
      </c>
      <c r="B1162" s="21" t="str">
        <f>IF($A1162="","",INDEX(Project_Tracker!$AM$2:$AM$101,INT((ROW()-6)/17)+1))</f>
        <v/>
      </c>
      <c r="C1162" s="20" t="str">
        <f>IF($A1162="","",INDEX(Project_Tracker!$C$2:$C$101,INT((ROW()-6)/17)+1))</f>
        <v/>
      </c>
      <c r="D1162" s="6" t="str">
        <f>IF($A1162="","",INDEX(Project_Tracker!$T$2:$T$101,INT((ROW()-6)/17)+1))</f>
        <v/>
      </c>
      <c r="E1162" s="18">
        <f t="shared" si="90"/>
        <v>1</v>
      </c>
      <c r="F1162" s="23" t="str">
        <f>IF($A1162="","",INDEX('Logic &amp; Lists'!$I$4:$I$20,$E1162))</f>
        <v/>
      </c>
      <c r="G1162" s="18" t="str">
        <f>IF($A1162="","",INDEX('Logic &amp; Lists'!$J$4:$J$20,$E1162))</f>
        <v/>
      </c>
      <c r="H1162" s="6" t="str">
        <f t="shared" si="91"/>
        <v/>
      </c>
      <c r="I1162" s="18" t="str">
        <f t="shared" ca="1" si="92"/>
        <v/>
      </c>
      <c r="J1162" s="5" t="str">
        <f t="shared" si="93"/>
        <v/>
      </c>
      <c r="K1162" s="25"/>
      <c r="L1162" s="5" t="str">
        <f t="shared" si="94"/>
        <v/>
      </c>
      <c r="M1162" s="7"/>
      <c r="N1162" s="7"/>
      <c r="O1162" s="7"/>
      <c r="P1162" s="20" t="str">
        <f>IF($A1162="","",INDEX(Project_Tracker!$I$2:$I$101,INT((ROW()-6)/17)+1))</f>
        <v/>
      </c>
      <c r="Q1162" s="20" t="str">
        <f>IF($A1162="","",INDEX(Project_Tracker!$K$2:$K$101,INT((ROW()-6)/17)+1))</f>
        <v/>
      </c>
    </row>
    <row r="1163" spans="1:17" x14ac:dyDescent="0.2">
      <c r="A1163" s="20" t="str">
        <f>IF(INDEX(Project_Tracker!$AL$2:$AL$101,INT((ROW()-6)/17)+1)="","",INDEX(Project_Tracker!$AL$2:$AL$101,INT((ROW()-6)/17)+1))</f>
        <v/>
      </c>
      <c r="B1163" s="21" t="str">
        <f>IF($A1163="","",INDEX(Project_Tracker!$AM$2:$AM$101,INT((ROW()-6)/17)+1))</f>
        <v/>
      </c>
      <c r="C1163" s="20" t="str">
        <f>IF($A1163="","",INDEX(Project_Tracker!$C$2:$C$101,INT((ROW()-6)/17)+1))</f>
        <v/>
      </c>
      <c r="D1163" s="6" t="str">
        <f>IF($A1163="","",INDEX(Project_Tracker!$T$2:$T$101,INT((ROW()-6)/17)+1))</f>
        <v/>
      </c>
      <c r="E1163" s="18">
        <f t="shared" si="90"/>
        <v>2</v>
      </c>
      <c r="F1163" s="23" t="str">
        <f>IF($A1163="","",INDEX('Logic &amp; Lists'!$I$4:$I$20,$E1163))</f>
        <v/>
      </c>
      <c r="G1163" s="18" t="str">
        <f>IF($A1163="","",INDEX('Logic &amp; Lists'!$J$4:$J$20,$E1163))</f>
        <v/>
      </c>
      <c r="H1163" s="6" t="str">
        <f t="shared" si="91"/>
        <v/>
      </c>
      <c r="I1163" s="18" t="str">
        <f t="shared" ca="1" si="92"/>
        <v/>
      </c>
      <c r="J1163" s="5" t="str">
        <f t="shared" si="93"/>
        <v/>
      </c>
      <c r="K1163" s="25"/>
      <c r="L1163" s="5" t="str">
        <f t="shared" si="94"/>
        <v/>
      </c>
      <c r="M1163" s="7"/>
      <c r="N1163" s="7"/>
      <c r="O1163" s="7"/>
      <c r="P1163" s="20" t="str">
        <f>IF($A1163="","",INDEX(Project_Tracker!$I$2:$I$101,INT((ROW()-6)/17)+1))</f>
        <v/>
      </c>
      <c r="Q1163" s="20" t="str">
        <f>IF($A1163="","",INDEX(Project_Tracker!$K$2:$K$101,INT((ROW()-6)/17)+1))</f>
        <v/>
      </c>
    </row>
    <row r="1164" spans="1:17" x14ac:dyDescent="0.2">
      <c r="A1164" s="20" t="str">
        <f>IF(INDEX(Project_Tracker!$AL$2:$AL$101,INT((ROW()-6)/17)+1)="","",INDEX(Project_Tracker!$AL$2:$AL$101,INT((ROW()-6)/17)+1))</f>
        <v/>
      </c>
      <c r="B1164" s="21" t="str">
        <f>IF($A1164="","",INDEX(Project_Tracker!$AM$2:$AM$101,INT((ROW()-6)/17)+1))</f>
        <v/>
      </c>
      <c r="C1164" s="20" t="str">
        <f>IF($A1164="","",INDEX(Project_Tracker!$C$2:$C$101,INT((ROW()-6)/17)+1))</f>
        <v/>
      </c>
      <c r="D1164" s="6" t="str">
        <f>IF($A1164="","",INDEX(Project_Tracker!$T$2:$T$101,INT((ROW()-6)/17)+1))</f>
        <v/>
      </c>
      <c r="E1164" s="18">
        <f t="shared" si="90"/>
        <v>3</v>
      </c>
      <c r="F1164" s="23" t="str">
        <f>IF($A1164="","",INDEX('Logic &amp; Lists'!$I$4:$I$20,$E1164))</f>
        <v/>
      </c>
      <c r="G1164" s="18" t="str">
        <f>IF($A1164="","",INDEX('Logic &amp; Lists'!$J$4:$J$20,$E1164))</f>
        <v/>
      </c>
      <c r="H1164" s="6" t="str">
        <f t="shared" si="91"/>
        <v/>
      </c>
      <c r="I1164" s="18" t="str">
        <f t="shared" ca="1" si="92"/>
        <v/>
      </c>
      <c r="J1164" s="5" t="str">
        <f t="shared" si="93"/>
        <v/>
      </c>
      <c r="K1164" s="25"/>
      <c r="L1164" s="5" t="str">
        <f t="shared" si="94"/>
        <v/>
      </c>
      <c r="M1164" s="7"/>
      <c r="N1164" s="7"/>
      <c r="O1164" s="7"/>
      <c r="P1164" s="20" t="str">
        <f>IF($A1164="","",INDEX(Project_Tracker!$I$2:$I$101,INT((ROW()-6)/17)+1))</f>
        <v/>
      </c>
      <c r="Q1164" s="20" t="str">
        <f>IF($A1164="","",INDEX(Project_Tracker!$K$2:$K$101,INT((ROW()-6)/17)+1))</f>
        <v/>
      </c>
    </row>
    <row r="1165" spans="1:17" x14ac:dyDescent="0.2">
      <c r="A1165" s="20" t="str">
        <f>IF(INDEX(Project_Tracker!$AL$2:$AL$101,INT((ROW()-6)/17)+1)="","",INDEX(Project_Tracker!$AL$2:$AL$101,INT((ROW()-6)/17)+1))</f>
        <v/>
      </c>
      <c r="B1165" s="21" t="str">
        <f>IF($A1165="","",INDEX(Project_Tracker!$AM$2:$AM$101,INT((ROW()-6)/17)+1))</f>
        <v/>
      </c>
      <c r="C1165" s="20" t="str">
        <f>IF($A1165="","",INDEX(Project_Tracker!$C$2:$C$101,INT((ROW()-6)/17)+1))</f>
        <v/>
      </c>
      <c r="D1165" s="6" t="str">
        <f>IF($A1165="","",INDEX(Project_Tracker!$T$2:$T$101,INT((ROW()-6)/17)+1))</f>
        <v/>
      </c>
      <c r="E1165" s="18">
        <f t="shared" si="90"/>
        <v>4</v>
      </c>
      <c r="F1165" s="23" t="str">
        <f>IF($A1165="","",INDEX('Logic &amp; Lists'!$I$4:$I$20,$E1165))</f>
        <v/>
      </c>
      <c r="G1165" s="18" t="str">
        <f>IF($A1165="","",INDEX('Logic &amp; Lists'!$J$4:$J$20,$E1165))</f>
        <v/>
      </c>
      <c r="H1165" s="6" t="str">
        <f t="shared" si="91"/>
        <v/>
      </c>
      <c r="I1165" s="18" t="str">
        <f t="shared" ca="1" si="92"/>
        <v/>
      </c>
      <c r="J1165" s="5" t="str">
        <f t="shared" si="93"/>
        <v/>
      </c>
      <c r="K1165" s="25"/>
      <c r="L1165" s="5" t="str">
        <f t="shared" si="94"/>
        <v/>
      </c>
      <c r="M1165" s="7"/>
      <c r="N1165" s="7"/>
      <c r="O1165" s="7"/>
      <c r="P1165" s="20" t="str">
        <f>IF($A1165="","",INDEX(Project_Tracker!$I$2:$I$101,INT((ROW()-6)/17)+1))</f>
        <v/>
      </c>
      <c r="Q1165" s="20" t="str">
        <f>IF($A1165="","",INDEX(Project_Tracker!$K$2:$K$101,INT((ROW()-6)/17)+1))</f>
        <v/>
      </c>
    </row>
    <row r="1166" spans="1:17" x14ac:dyDescent="0.2">
      <c r="A1166" s="20" t="str">
        <f>IF(INDEX(Project_Tracker!$AL$2:$AL$101,INT((ROW()-6)/17)+1)="","",INDEX(Project_Tracker!$AL$2:$AL$101,INT((ROW()-6)/17)+1))</f>
        <v/>
      </c>
      <c r="B1166" s="21" t="str">
        <f>IF($A1166="","",INDEX(Project_Tracker!$AM$2:$AM$101,INT((ROW()-6)/17)+1))</f>
        <v/>
      </c>
      <c r="C1166" s="20" t="str">
        <f>IF($A1166="","",INDEX(Project_Tracker!$C$2:$C$101,INT((ROW()-6)/17)+1))</f>
        <v/>
      </c>
      <c r="D1166" s="6" t="str">
        <f>IF($A1166="","",INDEX(Project_Tracker!$T$2:$T$101,INT((ROW()-6)/17)+1))</f>
        <v/>
      </c>
      <c r="E1166" s="18">
        <f t="shared" si="90"/>
        <v>5</v>
      </c>
      <c r="F1166" s="23" t="str">
        <f>IF($A1166="","",INDEX('Logic &amp; Lists'!$I$4:$I$20,$E1166))</f>
        <v/>
      </c>
      <c r="G1166" s="18" t="str">
        <f>IF($A1166="","",INDEX('Logic &amp; Lists'!$J$4:$J$20,$E1166))</f>
        <v/>
      </c>
      <c r="H1166" s="6" t="str">
        <f t="shared" si="91"/>
        <v/>
      </c>
      <c r="I1166" s="18" t="str">
        <f t="shared" ca="1" si="92"/>
        <v/>
      </c>
      <c r="J1166" s="5" t="str">
        <f t="shared" si="93"/>
        <v/>
      </c>
      <c r="K1166" s="25"/>
      <c r="L1166" s="5" t="str">
        <f t="shared" si="94"/>
        <v/>
      </c>
      <c r="M1166" s="7"/>
      <c r="N1166" s="7"/>
      <c r="O1166" s="7"/>
      <c r="P1166" s="20" t="str">
        <f>IF($A1166="","",INDEX(Project_Tracker!$I$2:$I$101,INT((ROW()-6)/17)+1))</f>
        <v/>
      </c>
      <c r="Q1166" s="20" t="str">
        <f>IF($A1166="","",INDEX(Project_Tracker!$K$2:$K$101,INT((ROW()-6)/17)+1))</f>
        <v/>
      </c>
    </row>
    <row r="1167" spans="1:17" x14ac:dyDescent="0.2">
      <c r="A1167" s="20" t="str">
        <f>IF(INDEX(Project_Tracker!$AL$2:$AL$101,INT((ROW()-6)/17)+1)="","",INDEX(Project_Tracker!$AL$2:$AL$101,INT((ROW()-6)/17)+1))</f>
        <v/>
      </c>
      <c r="B1167" s="21" t="str">
        <f>IF($A1167="","",INDEX(Project_Tracker!$AM$2:$AM$101,INT((ROW()-6)/17)+1))</f>
        <v/>
      </c>
      <c r="C1167" s="20" t="str">
        <f>IF($A1167="","",INDEX(Project_Tracker!$C$2:$C$101,INT((ROW()-6)/17)+1))</f>
        <v/>
      </c>
      <c r="D1167" s="6" t="str">
        <f>IF($A1167="","",INDEX(Project_Tracker!$T$2:$T$101,INT((ROW()-6)/17)+1))</f>
        <v/>
      </c>
      <c r="E1167" s="18">
        <f t="shared" si="90"/>
        <v>6</v>
      </c>
      <c r="F1167" s="23" t="str">
        <f>IF($A1167="","",INDEX('Logic &amp; Lists'!$I$4:$I$20,$E1167))</f>
        <v/>
      </c>
      <c r="G1167" s="18" t="str">
        <f>IF($A1167="","",INDEX('Logic &amp; Lists'!$J$4:$J$20,$E1167))</f>
        <v/>
      </c>
      <c r="H1167" s="6" t="str">
        <f t="shared" si="91"/>
        <v/>
      </c>
      <c r="I1167" s="18" t="str">
        <f t="shared" ca="1" si="92"/>
        <v/>
      </c>
      <c r="J1167" s="5" t="str">
        <f t="shared" si="93"/>
        <v/>
      </c>
      <c r="K1167" s="25"/>
      <c r="L1167" s="5" t="str">
        <f t="shared" si="94"/>
        <v/>
      </c>
      <c r="M1167" s="7"/>
      <c r="N1167" s="7"/>
      <c r="O1167" s="7"/>
      <c r="P1167" s="20" t="str">
        <f>IF($A1167="","",INDEX(Project_Tracker!$I$2:$I$101,INT((ROW()-6)/17)+1))</f>
        <v/>
      </c>
      <c r="Q1167" s="20" t="str">
        <f>IF($A1167="","",INDEX(Project_Tracker!$K$2:$K$101,INT((ROW()-6)/17)+1))</f>
        <v/>
      </c>
    </row>
    <row r="1168" spans="1:17" x14ac:dyDescent="0.2">
      <c r="A1168" s="20" t="str">
        <f>IF(INDEX(Project_Tracker!$AL$2:$AL$101,INT((ROW()-6)/17)+1)="","",INDEX(Project_Tracker!$AL$2:$AL$101,INT((ROW()-6)/17)+1))</f>
        <v/>
      </c>
      <c r="B1168" s="21" t="str">
        <f>IF($A1168="","",INDEX(Project_Tracker!$AM$2:$AM$101,INT((ROW()-6)/17)+1))</f>
        <v/>
      </c>
      <c r="C1168" s="20" t="str">
        <f>IF($A1168="","",INDEX(Project_Tracker!$C$2:$C$101,INT((ROW()-6)/17)+1))</f>
        <v/>
      </c>
      <c r="D1168" s="6" t="str">
        <f>IF($A1168="","",INDEX(Project_Tracker!$T$2:$T$101,INT((ROW()-6)/17)+1))</f>
        <v/>
      </c>
      <c r="E1168" s="18">
        <f t="shared" si="90"/>
        <v>7</v>
      </c>
      <c r="F1168" s="23" t="str">
        <f>IF($A1168="","",INDEX('Logic &amp; Lists'!$I$4:$I$20,$E1168))</f>
        <v/>
      </c>
      <c r="G1168" s="18" t="str">
        <f>IF($A1168="","",INDEX('Logic &amp; Lists'!$J$4:$J$20,$E1168))</f>
        <v/>
      </c>
      <c r="H1168" s="6" t="str">
        <f t="shared" si="91"/>
        <v/>
      </c>
      <c r="I1168" s="18" t="str">
        <f t="shared" ca="1" si="92"/>
        <v/>
      </c>
      <c r="J1168" s="5" t="str">
        <f t="shared" si="93"/>
        <v/>
      </c>
      <c r="K1168" s="25"/>
      <c r="L1168" s="5" t="str">
        <f t="shared" si="94"/>
        <v/>
      </c>
      <c r="M1168" s="7"/>
      <c r="N1168" s="7"/>
      <c r="O1168" s="7"/>
      <c r="P1168" s="20" t="str">
        <f>IF($A1168="","",INDEX(Project_Tracker!$I$2:$I$101,INT((ROW()-6)/17)+1))</f>
        <v/>
      </c>
      <c r="Q1168" s="20" t="str">
        <f>IF($A1168="","",INDEX(Project_Tracker!$K$2:$K$101,INT((ROW()-6)/17)+1))</f>
        <v/>
      </c>
    </row>
    <row r="1169" spans="1:17" x14ac:dyDescent="0.2">
      <c r="A1169" s="20" t="str">
        <f>IF(INDEX(Project_Tracker!$AL$2:$AL$101,INT((ROW()-6)/17)+1)="","",INDEX(Project_Tracker!$AL$2:$AL$101,INT((ROW()-6)/17)+1))</f>
        <v/>
      </c>
      <c r="B1169" s="21" t="str">
        <f>IF($A1169="","",INDEX(Project_Tracker!$AM$2:$AM$101,INT((ROW()-6)/17)+1))</f>
        <v/>
      </c>
      <c r="C1169" s="20" t="str">
        <f>IF($A1169="","",INDEX(Project_Tracker!$C$2:$C$101,INT((ROW()-6)/17)+1))</f>
        <v/>
      </c>
      <c r="D1169" s="6" t="str">
        <f>IF($A1169="","",INDEX(Project_Tracker!$T$2:$T$101,INT((ROW()-6)/17)+1))</f>
        <v/>
      </c>
      <c r="E1169" s="18">
        <f t="shared" si="90"/>
        <v>8</v>
      </c>
      <c r="F1169" s="23" t="str">
        <f>IF($A1169="","",INDEX('Logic &amp; Lists'!$I$4:$I$20,$E1169))</f>
        <v/>
      </c>
      <c r="G1169" s="18" t="str">
        <f>IF($A1169="","",INDEX('Logic &amp; Lists'!$J$4:$J$20,$E1169))</f>
        <v/>
      </c>
      <c r="H1169" s="6" t="str">
        <f t="shared" si="91"/>
        <v/>
      </c>
      <c r="I1169" s="18" t="str">
        <f t="shared" ca="1" si="92"/>
        <v/>
      </c>
      <c r="J1169" s="5" t="str">
        <f t="shared" si="93"/>
        <v/>
      </c>
      <c r="K1169" s="25"/>
      <c r="L1169" s="5" t="str">
        <f t="shared" si="94"/>
        <v/>
      </c>
      <c r="M1169" s="7"/>
      <c r="N1169" s="7"/>
      <c r="O1169" s="7"/>
      <c r="P1169" s="20" t="str">
        <f>IF($A1169="","",INDEX(Project_Tracker!$I$2:$I$101,INT((ROW()-6)/17)+1))</f>
        <v/>
      </c>
      <c r="Q1169" s="20" t="str">
        <f>IF($A1169="","",INDEX(Project_Tracker!$K$2:$K$101,INT((ROW()-6)/17)+1))</f>
        <v/>
      </c>
    </row>
    <row r="1170" spans="1:17" x14ac:dyDescent="0.2">
      <c r="A1170" s="20" t="str">
        <f>IF(INDEX(Project_Tracker!$AL$2:$AL$101,INT((ROW()-6)/17)+1)="","",INDEX(Project_Tracker!$AL$2:$AL$101,INT((ROW()-6)/17)+1))</f>
        <v/>
      </c>
      <c r="B1170" s="21" t="str">
        <f>IF($A1170="","",INDEX(Project_Tracker!$AM$2:$AM$101,INT((ROW()-6)/17)+1))</f>
        <v/>
      </c>
      <c r="C1170" s="20" t="str">
        <f>IF($A1170="","",INDEX(Project_Tracker!$C$2:$C$101,INT((ROW()-6)/17)+1))</f>
        <v/>
      </c>
      <c r="D1170" s="6" t="str">
        <f>IF($A1170="","",INDEX(Project_Tracker!$T$2:$T$101,INT((ROW()-6)/17)+1))</f>
        <v/>
      </c>
      <c r="E1170" s="18">
        <f t="shared" si="90"/>
        <v>9</v>
      </c>
      <c r="F1170" s="23" t="str">
        <f>IF($A1170="","",INDEX('Logic &amp; Lists'!$I$4:$I$20,$E1170))</f>
        <v/>
      </c>
      <c r="G1170" s="18" t="str">
        <f>IF($A1170="","",INDEX('Logic &amp; Lists'!$J$4:$J$20,$E1170))</f>
        <v/>
      </c>
      <c r="H1170" s="6" t="str">
        <f t="shared" si="91"/>
        <v/>
      </c>
      <c r="I1170" s="18" t="str">
        <f t="shared" ca="1" si="92"/>
        <v/>
      </c>
      <c r="J1170" s="5" t="str">
        <f t="shared" si="93"/>
        <v/>
      </c>
      <c r="K1170" s="25"/>
      <c r="L1170" s="5" t="str">
        <f t="shared" si="94"/>
        <v/>
      </c>
      <c r="M1170" s="7"/>
      <c r="N1170" s="7"/>
      <c r="O1170" s="7"/>
      <c r="P1170" s="20" t="str">
        <f>IF($A1170="","",INDEX(Project_Tracker!$I$2:$I$101,INT((ROW()-6)/17)+1))</f>
        <v/>
      </c>
      <c r="Q1170" s="20" t="str">
        <f>IF($A1170="","",INDEX(Project_Tracker!$K$2:$K$101,INT((ROW()-6)/17)+1))</f>
        <v/>
      </c>
    </row>
    <row r="1171" spans="1:17" x14ac:dyDescent="0.2">
      <c r="A1171" s="20" t="str">
        <f>IF(INDEX(Project_Tracker!$AL$2:$AL$101,INT((ROW()-6)/17)+1)="","",INDEX(Project_Tracker!$AL$2:$AL$101,INT((ROW()-6)/17)+1))</f>
        <v/>
      </c>
      <c r="B1171" s="21" t="str">
        <f>IF($A1171="","",INDEX(Project_Tracker!$AM$2:$AM$101,INT((ROW()-6)/17)+1))</f>
        <v/>
      </c>
      <c r="C1171" s="20" t="str">
        <f>IF($A1171="","",INDEX(Project_Tracker!$C$2:$C$101,INT((ROW()-6)/17)+1))</f>
        <v/>
      </c>
      <c r="D1171" s="6" t="str">
        <f>IF($A1171="","",INDEX(Project_Tracker!$T$2:$T$101,INT((ROW()-6)/17)+1))</f>
        <v/>
      </c>
      <c r="E1171" s="18">
        <f t="shared" si="90"/>
        <v>10</v>
      </c>
      <c r="F1171" s="23" t="str">
        <f>IF($A1171="","",INDEX('Logic &amp; Lists'!$I$4:$I$20,$E1171))</f>
        <v/>
      </c>
      <c r="G1171" s="18" t="str">
        <f>IF($A1171="","",INDEX('Logic &amp; Lists'!$J$4:$J$20,$E1171))</f>
        <v/>
      </c>
      <c r="H1171" s="6" t="str">
        <f t="shared" si="91"/>
        <v/>
      </c>
      <c r="I1171" s="18" t="str">
        <f t="shared" ca="1" si="92"/>
        <v/>
      </c>
      <c r="J1171" s="5" t="str">
        <f t="shared" si="93"/>
        <v/>
      </c>
      <c r="K1171" s="25"/>
      <c r="L1171" s="5" t="str">
        <f t="shared" si="94"/>
        <v/>
      </c>
      <c r="M1171" s="7"/>
      <c r="N1171" s="7"/>
      <c r="O1171" s="7"/>
      <c r="P1171" s="20" t="str">
        <f>IF($A1171="","",INDEX(Project_Tracker!$I$2:$I$101,INT((ROW()-6)/17)+1))</f>
        <v/>
      </c>
      <c r="Q1171" s="20" t="str">
        <f>IF($A1171="","",INDEX(Project_Tracker!$K$2:$K$101,INT((ROW()-6)/17)+1))</f>
        <v/>
      </c>
    </row>
    <row r="1172" spans="1:17" x14ac:dyDescent="0.2">
      <c r="A1172" s="20" t="str">
        <f>IF(INDEX(Project_Tracker!$AL$2:$AL$101,INT((ROW()-6)/17)+1)="","",INDEX(Project_Tracker!$AL$2:$AL$101,INT((ROW()-6)/17)+1))</f>
        <v/>
      </c>
      <c r="B1172" s="21" t="str">
        <f>IF($A1172="","",INDEX(Project_Tracker!$AM$2:$AM$101,INT((ROW()-6)/17)+1))</f>
        <v/>
      </c>
      <c r="C1172" s="20" t="str">
        <f>IF($A1172="","",INDEX(Project_Tracker!$C$2:$C$101,INT((ROW()-6)/17)+1))</f>
        <v/>
      </c>
      <c r="D1172" s="6" t="str">
        <f>IF($A1172="","",INDEX(Project_Tracker!$T$2:$T$101,INT((ROW()-6)/17)+1))</f>
        <v/>
      </c>
      <c r="E1172" s="18">
        <f t="shared" si="90"/>
        <v>11</v>
      </c>
      <c r="F1172" s="23" t="str">
        <f>IF($A1172="","",INDEX('Logic &amp; Lists'!$I$4:$I$20,$E1172))</f>
        <v/>
      </c>
      <c r="G1172" s="18" t="str">
        <f>IF($A1172="","",INDEX('Logic &amp; Lists'!$J$4:$J$20,$E1172))</f>
        <v/>
      </c>
      <c r="H1172" s="6" t="str">
        <f t="shared" si="91"/>
        <v/>
      </c>
      <c r="I1172" s="18" t="str">
        <f t="shared" ca="1" si="92"/>
        <v/>
      </c>
      <c r="J1172" s="5" t="str">
        <f t="shared" si="93"/>
        <v/>
      </c>
      <c r="K1172" s="25"/>
      <c r="L1172" s="5" t="str">
        <f t="shared" si="94"/>
        <v/>
      </c>
      <c r="M1172" s="7"/>
      <c r="N1172" s="7"/>
      <c r="O1172" s="7"/>
      <c r="P1172" s="20" t="str">
        <f>IF($A1172="","",INDEX(Project_Tracker!$I$2:$I$101,INT((ROW()-6)/17)+1))</f>
        <v/>
      </c>
      <c r="Q1172" s="20" t="str">
        <f>IF($A1172="","",INDEX(Project_Tracker!$K$2:$K$101,INT((ROW()-6)/17)+1))</f>
        <v/>
      </c>
    </row>
    <row r="1173" spans="1:17" x14ac:dyDescent="0.2">
      <c r="A1173" s="20" t="str">
        <f>IF(INDEX(Project_Tracker!$AL$2:$AL$101,INT((ROW()-6)/17)+1)="","",INDEX(Project_Tracker!$AL$2:$AL$101,INT((ROW()-6)/17)+1))</f>
        <v/>
      </c>
      <c r="B1173" s="21" t="str">
        <f>IF($A1173="","",INDEX(Project_Tracker!$AM$2:$AM$101,INT((ROW()-6)/17)+1))</f>
        <v/>
      </c>
      <c r="C1173" s="20" t="str">
        <f>IF($A1173="","",INDEX(Project_Tracker!$C$2:$C$101,INT((ROW()-6)/17)+1))</f>
        <v/>
      </c>
      <c r="D1173" s="6" t="str">
        <f>IF($A1173="","",INDEX(Project_Tracker!$T$2:$T$101,INT((ROW()-6)/17)+1))</f>
        <v/>
      </c>
      <c r="E1173" s="18">
        <f t="shared" si="90"/>
        <v>12</v>
      </c>
      <c r="F1173" s="23" t="str">
        <f>IF($A1173="","",INDEX('Logic &amp; Lists'!$I$4:$I$20,$E1173))</f>
        <v/>
      </c>
      <c r="G1173" s="18" t="str">
        <f>IF($A1173="","",INDEX('Logic &amp; Lists'!$J$4:$J$20,$E1173))</f>
        <v/>
      </c>
      <c r="H1173" s="6" t="str">
        <f t="shared" si="91"/>
        <v/>
      </c>
      <c r="I1173" s="18" t="str">
        <f t="shared" ca="1" si="92"/>
        <v/>
      </c>
      <c r="J1173" s="5" t="str">
        <f t="shared" si="93"/>
        <v/>
      </c>
      <c r="K1173" s="25"/>
      <c r="L1173" s="5" t="str">
        <f t="shared" si="94"/>
        <v/>
      </c>
      <c r="M1173" s="7"/>
      <c r="N1173" s="7"/>
      <c r="O1173" s="7"/>
      <c r="P1173" s="20" t="str">
        <f>IF($A1173="","",INDEX(Project_Tracker!$I$2:$I$101,INT((ROW()-6)/17)+1))</f>
        <v/>
      </c>
      <c r="Q1173" s="20" t="str">
        <f>IF($A1173="","",INDEX(Project_Tracker!$K$2:$K$101,INT((ROW()-6)/17)+1))</f>
        <v/>
      </c>
    </row>
    <row r="1174" spans="1:17" x14ac:dyDescent="0.2">
      <c r="A1174" s="20" t="str">
        <f>IF(INDEX(Project_Tracker!$AL$2:$AL$101,INT((ROW()-6)/17)+1)="","",INDEX(Project_Tracker!$AL$2:$AL$101,INT((ROW()-6)/17)+1))</f>
        <v/>
      </c>
      <c r="B1174" s="21" t="str">
        <f>IF($A1174="","",INDEX(Project_Tracker!$AM$2:$AM$101,INT((ROW()-6)/17)+1))</f>
        <v/>
      </c>
      <c r="C1174" s="20" t="str">
        <f>IF($A1174="","",INDEX(Project_Tracker!$C$2:$C$101,INT((ROW()-6)/17)+1))</f>
        <v/>
      </c>
      <c r="D1174" s="6" t="str">
        <f>IF($A1174="","",INDEX(Project_Tracker!$T$2:$T$101,INT((ROW()-6)/17)+1))</f>
        <v/>
      </c>
      <c r="E1174" s="18">
        <f t="shared" si="90"/>
        <v>13</v>
      </c>
      <c r="F1174" s="23" t="str">
        <f>IF($A1174="","",INDEX('Logic &amp; Lists'!$I$4:$I$20,$E1174))</f>
        <v/>
      </c>
      <c r="G1174" s="18" t="str">
        <f>IF($A1174="","",INDEX('Logic &amp; Lists'!$J$4:$J$20,$E1174))</f>
        <v/>
      </c>
      <c r="H1174" s="6" t="str">
        <f t="shared" si="91"/>
        <v/>
      </c>
      <c r="I1174" s="18" t="str">
        <f t="shared" ca="1" si="92"/>
        <v/>
      </c>
      <c r="J1174" s="5" t="str">
        <f t="shared" si="93"/>
        <v/>
      </c>
      <c r="K1174" s="25"/>
      <c r="L1174" s="5" t="str">
        <f t="shared" si="94"/>
        <v/>
      </c>
      <c r="M1174" s="7"/>
      <c r="N1174" s="7"/>
      <c r="O1174" s="7"/>
      <c r="P1174" s="20" t="str">
        <f>IF($A1174="","",INDEX(Project_Tracker!$I$2:$I$101,INT((ROW()-6)/17)+1))</f>
        <v/>
      </c>
      <c r="Q1174" s="20" t="str">
        <f>IF($A1174="","",INDEX(Project_Tracker!$K$2:$K$101,INT((ROW()-6)/17)+1))</f>
        <v/>
      </c>
    </row>
    <row r="1175" spans="1:17" x14ac:dyDescent="0.2">
      <c r="A1175" s="20" t="str">
        <f>IF(INDEX(Project_Tracker!$AL$2:$AL$101,INT((ROW()-6)/17)+1)="","",INDEX(Project_Tracker!$AL$2:$AL$101,INT((ROW()-6)/17)+1))</f>
        <v/>
      </c>
      <c r="B1175" s="21" t="str">
        <f>IF($A1175="","",INDEX(Project_Tracker!$AM$2:$AM$101,INT((ROW()-6)/17)+1))</f>
        <v/>
      </c>
      <c r="C1175" s="20" t="str">
        <f>IF($A1175="","",INDEX(Project_Tracker!$C$2:$C$101,INT((ROW()-6)/17)+1))</f>
        <v/>
      </c>
      <c r="D1175" s="6" t="str">
        <f>IF($A1175="","",INDEX(Project_Tracker!$T$2:$T$101,INT((ROW()-6)/17)+1))</f>
        <v/>
      </c>
      <c r="E1175" s="18">
        <f t="shared" si="90"/>
        <v>14</v>
      </c>
      <c r="F1175" s="23" t="str">
        <f>IF($A1175="","",INDEX('Logic &amp; Lists'!$I$4:$I$20,$E1175))</f>
        <v/>
      </c>
      <c r="G1175" s="18" t="str">
        <f>IF($A1175="","",INDEX('Logic &amp; Lists'!$J$4:$J$20,$E1175))</f>
        <v/>
      </c>
      <c r="H1175" s="6" t="str">
        <f t="shared" si="91"/>
        <v/>
      </c>
      <c r="I1175" s="18" t="str">
        <f t="shared" ca="1" si="92"/>
        <v/>
      </c>
      <c r="J1175" s="5" t="str">
        <f t="shared" si="93"/>
        <v/>
      </c>
      <c r="K1175" s="25"/>
      <c r="L1175" s="5" t="str">
        <f t="shared" si="94"/>
        <v/>
      </c>
      <c r="M1175" s="7"/>
      <c r="N1175" s="7"/>
      <c r="O1175" s="7"/>
      <c r="P1175" s="20" t="str">
        <f>IF($A1175="","",INDEX(Project_Tracker!$I$2:$I$101,INT((ROW()-6)/17)+1))</f>
        <v/>
      </c>
      <c r="Q1175" s="20" t="str">
        <f>IF($A1175="","",INDEX(Project_Tracker!$K$2:$K$101,INT((ROW()-6)/17)+1))</f>
        <v/>
      </c>
    </row>
    <row r="1176" spans="1:17" x14ac:dyDescent="0.2">
      <c r="A1176" s="20" t="str">
        <f>IF(INDEX(Project_Tracker!$AL$2:$AL$101,INT((ROW()-6)/17)+1)="","",INDEX(Project_Tracker!$AL$2:$AL$101,INT((ROW()-6)/17)+1))</f>
        <v/>
      </c>
      <c r="B1176" s="21" t="str">
        <f>IF($A1176="","",INDEX(Project_Tracker!$AM$2:$AM$101,INT((ROW()-6)/17)+1))</f>
        <v/>
      </c>
      <c r="C1176" s="20" t="str">
        <f>IF($A1176="","",INDEX(Project_Tracker!$C$2:$C$101,INT((ROW()-6)/17)+1))</f>
        <v/>
      </c>
      <c r="D1176" s="6" t="str">
        <f>IF($A1176="","",INDEX(Project_Tracker!$T$2:$T$101,INT((ROW()-6)/17)+1))</f>
        <v/>
      </c>
      <c r="E1176" s="18">
        <f t="shared" si="90"/>
        <v>15</v>
      </c>
      <c r="F1176" s="23" t="str">
        <f>IF($A1176="","",INDEX('Logic &amp; Lists'!$I$4:$I$20,$E1176))</f>
        <v/>
      </c>
      <c r="G1176" s="18" t="str">
        <f>IF($A1176="","",INDEX('Logic &amp; Lists'!$J$4:$J$20,$E1176))</f>
        <v/>
      </c>
      <c r="H1176" s="6" t="str">
        <f t="shared" si="91"/>
        <v/>
      </c>
      <c r="I1176" s="18" t="str">
        <f t="shared" ca="1" si="92"/>
        <v/>
      </c>
      <c r="J1176" s="5" t="str">
        <f t="shared" si="93"/>
        <v/>
      </c>
      <c r="K1176" s="25"/>
      <c r="L1176" s="5" t="str">
        <f t="shared" si="94"/>
        <v/>
      </c>
      <c r="M1176" s="7"/>
      <c r="N1176" s="7"/>
      <c r="O1176" s="7"/>
      <c r="P1176" s="20" t="str">
        <f>IF($A1176="","",INDEX(Project_Tracker!$I$2:$I$101,INT((ROW()-6)/17)+1))</f>
        <v/>
      </c>
      <c r="Q1176" s="20" t="str">
        <f>IF($A1176="","",INDEX(Project_Tracker!$K$2:$K$101,INT((ROW()-6)/17)+1))</f>
        <v/>
      </c>
    </row>
    <row r="1177" spans="1:17" x14ac:dyDescent="0.2">
      <c r="A1177" s="20" t="str">
        <f>IF(INDEX(Project_Tracker!$AL$2:$AL$101,INT((ROW()-6)/17)+1)="","",INDEX(Project_Tracker!$AL$2:$AL$101,INT((ROW()-6)/17)+1))</f>
        <v/>
      </c>
      <c r="B1177" s="21" t="str">
        <f>IF($A1177="","",INDEX(Project_Tracker!$AM$2:$AM$101,INT((ROW()-6)/17)+1))</f>
        <v/>
      </c>
      <c r="C1177" s="20" t="str">
        <f>IF($A1177="","",INDEX(Project_Tracker!$C$2:$C$101,INT((ROW()-6)/17)+1))</f>
        <v/>
      </c>
      <c r="D1177" s="6" t="str">
        <f>IF($A1177="","",INDEX(Project_Tracker!$T$2:$T$101,INT((ROW()-6)/17)+1))</f>
        <v/>
      </c>
      <c r="E1177" s="18">
        <f t="shared" si="90"/>
        <v>16</v>
      </c>
      <c r="F1177" s="23" t="str">
        <f>IF($A1177="","",INDEX('Logic &amp; Lists'!$I$4:$I$20,$E1177))</f>
        <v/>
      </c>
      <c r="G1177" s="18" t="str">
        <f>IF($A1177="","",INDEX('Logic &amp; Lists'!$J$4:$J$20,$E1177))</f>
        <v/>
      </c>
      <c r="H1177" s="6" t="str">
        <f t="shared" si="91"/>
        <v/>
      </c>
      <c r="I1177" s="18" t="str">
        <f t="shared" ca="1" si="92"/>
        <v/>
      </c>
      <c r="J1177" s="5" t="str">
        <f t="shared" si="93"/>
        <v/>
      </c>
      <c r="K1177" s="25"/>
      <c r="L1177" s="5" t="str">
        <f t="shared" si="94"/>
        <v/>
      </c>
      <c r="M1177" s="7"/>
      <c r="N1177" s="7"/>
      <c r="O1177" s="7"/>
      <c r="P1177" s="20" t="str">
        <f>IF($A1177="","",INDEX(Project_Tracker!$I$2:$I$101,INT((ROW()-6)/17)+1))</f>
        <v/>
      </c>
      <c r="Q1177" s="20" t="str">
        <f>IF($A1177="","",INDEX(Project_Tracker!$K$2:$K$101,INT((ROW()-6)/17)+1))</f>
        <v/>
      </c>
    </row>
    <row r="1178" spans="1:17" x14ac:dyDescent="0.2">
      <c r="A1178" s="20" t="str">
        <f>IF(INDEX(Project_Tracker!$AL$2:$AL$101,INT((ROW()-6)/17)+1)="","",INDEX(Project_Tracker!$AL$2:$AL$101,INT((ROW()-6)/17)+1))</f>
        <v/>
      </c>
      <c r="B1178" s="21" t="str">
        <f>IF($A1178="","",INDEX(Project_Tracker!$AM$2:$AM$101,INT((ROW()-6)/17)+1))</f>
        <v/>
      </c>
      <c r="C1178" s="20" t="str">
        <f>IF($A1178="","",INDEX(Project_Tracker!$C$2:$C$101,INT((ROW()-6)/17)+1))</f>
        <v/>
      </c>
      <c r="D1178" s="6" t="str">
        <f>IF($A1178="","",INDEX(Project_Tracker!$T$2:$T$101,INT((ROW()-6)/17)+1))</f>
        <v/>
      </c>
      <c r="E1178" s="18">
        <f t="shared" si="90"/>
        <v>17</v>
      </c>
      <c r="F1178" s="23" t="str">
        <f>IF($A1178="","",INDEX('Logic &amp; Lists'!$I$4:$I$20,$E1178))</f>
        <v/>
      </c>
      <c r="G1178" s="18" t="str">
        <f>IF($A1178="","",INDEX('Logic &amp; Lists'!$J$4:$J$20,$E1178))</f>
        <v/>
      </c>
      <c r="H1178" s="6" t="str">
        <f t="shared" si="91"/>
        <v/>
      </c>
      <c r="I1178" s="18" t="str">
        <f t="shared" ca="1" si="92"/>
        <v/>
      </c>
      <c r="J1178" s="5" t="str">
        <f t="shared" si="93"/>
        <v/>
      </c>
      <c r="K1178" s="25"/>
      <c r="L1178" s="5" t="str">
        <f t="shared" si="94"/>
        <v/>
      </c>
      <c r="M1178" s="7"/>
      <c r="N1178" s="7"/>
      <c r="O1178" s="7"/>
      <c r="P1178" s="20" t="str">
        <f>IF($A1178="","",INDEX(Project_Tracker!$I$2:$I$101,INT((ROW()-6)/17)+1))</f>
        <v/>
      </c>
      <c r="Q1178" s="20" t="str">
        <f>IF($A1178="","",INDEX(Project_Tracker!$K$2:$K$101,INT((ROW()-6)/17)+1))</f>
        <v/>
      </c>
    </row>
    <row r="1179" spans="1:17" x14ac:dyDescent="0.2">
      <c r="A1179" s="20" t="str">
        <f>IF(INDEX(Project_Tracker!$AL$2:$AL$101,INT((ROW()-6)/17)+1)="","",INDEX(Project_Tracker!$AL$2:$AL$101,INT((ROW()-6)/17)+1))</f>
        <v/>
      </c>
      <c r="B1179" s="21" t="str">
        <f>IF($A1179="","",INDEX(Project_Tracker!$AM$2:$AM$101,INT((ROW()-6)/17)+1))</f>
        <v/>
      </c>
      <c r="C1179" s="20" t="str">
        <f>IF($A1179="","",INDEX(Project_Tracker!$C$2:$C$101,INT((ROW()-6)/17)+1))</f>
        <v/>
      </c>
      <c r="D1179" s="6" t="str">
        <f>IF($A1179="","",INDEX(Project_Tracker!$T$2:$T$101,INT((ROW()-6)/17)+1))</f>
        <v/>
      </c>
      <c r="E1179" s="18">
        <f t="shared" si="90"/>
        <v>1</v>
      </c>
      <c r="F1179" s="23" t="str">
        <f>IF($A1179="","",INDEX('Logic &amp; Lists'!$I$4:$I$20,$E1179))</f>
        <v/>
      </c>
      <c r="G1179" s="18" t="str">
        <f>IF($A1179="","",INDEX('Logic &amp; Lists'!$J$4:$J$20,$E1179))</f>
        <v/>
      </c>
      <c r="H1179" s="6" t="str">
        <f t="shared" si="91"/>
        <v/>
      </c>
      <c r="I1179" s="18" t="str">
        <f t="shared" ca="1" si="92"/>
        <v/>
      </c>
      <c r="J1179" s="5" t="str">
        <f t="shared" si="93"/>
        <v/>
      </c>
      <c r="K1179" s="25"/>
      <c r="L1179" s="5" t="str">
        <f t="shared" si="94"/>
        <v/>
      </c>
      <c r="M1179" s="7"/>
      <c r="N1179" s="7"/>
      <c r="O1179" s="7"/>
      <c r="P1179" s="20" t="str">
        <f>IF($A1179="","",INDEX(Project_Tracker!$I$2:$I$101,INT((ROW()-6)/17)+1))</f>
        <v/>
      </c>
      <c r="Q1179" s="20" t="str">
        <f>IF($A1179="","",INDEX(Project_Tracker!$K$2:$K$101,INT((ROW()-6)/17)+1))</f>
        <v/>
      </c>
    </row>
    <row r="1180" spans="1:17" x14ac:dyDescent="0.2">
      <c r="A1180" s="20" t="str">
        <f>IF(INDEX(Project_Tracker!$AL$2:$AL$101,INT((ROW()-6)/17)+1)="","",INDEX(Project_Tracker!$AL$2:$AL$101,INT((ROW()-6)/17)+1))</f>
        <v/>
      </c>
      <c r="B1180" s="21" t="str">
        <f>IF($A1180="","",INDEX(Project_Tracker!$AM$2:$AM$101,INT((ROW()-6)/17)+1))</f>
        <v/>
      </c>
      <c r="C1180" s="20" t="str">
        <f>IF($A1180="","",INDEX(Project_Tracker!$C$2:$C$101,INT((ROW()-6)/17)+1))</f>
        <v/>
      </c>
      <c r="D1180" s="6" t="str">
        <f>IF($A1180="","",INDEX(Project_Tracker!$T$2:$T$101,INT((ROW()-6)/17)+1))</f>
        <v/>
      </c>
      <c r="E1180" s="18">
        <f t="shared" si="90"/>
        <v>2</v>
      </c>
      <c r="F1180" s="23" t="str">
        <f>IF($A1180="","",INDEX('Logic &amp; Lists'!$I$4:$I$20,$E1180))</f>
        <v/>
      </c>
      <c r="G1180" s="18" t="str">
        <f>IF($A1180="","",INDEX('Logic &amp; Lists'!$J$4:$J$20,$E1180))</f>
        <v/>
      </c>
      <c r="H1180" s="6" t="str">
        <f t="shared" si="91"/>
        <v/>
      </c>
      <c r="I1180" s="18" t="str">
        <f t="shared" ca="1" si="92"/>
        <v/>
      </c>
      <c r="J1180" s="5" t="str">
        <f t="shared" si="93"/>
        <v/>
      </c>
      <c r="K1180" s="25"/>
      <c r="L1180" s="5" t="str">
        <f t="shared" si="94"/>
        <v/>
      </c>
      <c r="M1180" s="7"/>
      <c r="N1180" s="7"/>
      <c r="O1180" s="7"/>
      <c r="P1180" s="20" t="str">
        <f>IF($A1180="","",INDEX(Project_Tracker!$I$2:$I$101,INT((ROW()-6)/17)+1))</f>
        <v/>
      </c>
      <c r="Q1180" s="20" t="str">
        <f>IF($A1180="","",INDEX(Project_Tracker!$K$2:$K$101,INT((ROW()-6)/17)+1))</f>
        <v/>
      </c>
    </row>
    <row r="1181" spans="1:17" x14ac:dyDescent="0.2">
      <c r="A1181" s="20" t="str">
        <f>IF(INDEX(Project_Tracker!$AL$2:$AL$101,INT((ROW()-6)/17)+1)="","",INDEX(Project_Tracker!$AL$2:$AL$101,INT((ROW()-6)/17)+1))</f>
        <v/>
      </c>
      <c r="B1181" s="21" t="str">
        <f>IF($A1181="","",INDEX(Project_Tracker!$AM$2:$AM$101,INT((ROW()-6)/17)+1))</f>
        <v/>
      </c>
      <c r="C1181" s="20" t="str">
        <f>IF($A1181="","",INDEX(Project_Tracker!$C$2:$C$101,INT((ROW()-6)/17)+1))</f>
        <v/>
      </c>
      <c r="D1181" s="6" t="str">
        <f>IF($A1181="","",INDEX(Project_Tracker!$T$2:$T$101,INT((ROW()-6)/17)+1))</f>
        <v/>
      </c>
      <c r="E1181" s="18">
        <f t="shared" si="90"/>
        <v>3</v>
      </c>
      <c r="F1181" s="23" t="str">
        <f>IF($A1181="","",INDEX('Logic &amp; Lists'!$I$4:$I$20,$E1181))</f>
        <v/>
      </c>
      <c r="G1181" s="18" t="str">
        <f>IF($A1181="","",INDEX('Logic &amp; Lists'!$J$4:$J$20,$E1181))</f>
        <v/>
      </c>
      <c r="H1181" s="6" t="str">
        <f t="shared" si="91"/>
        <v/>
      </c>
      <c r="I1181" s="18" t="str">
        <f t="shared" ca="1" si="92"/>
        <v/>
      </c>
      <c r="J1181" s="5" t="str">
        <f t="shared" si="93"/>
        <v/>
      </c>
      <c r="K1181" s="25"/>
      <c r="L1181" s="5" t="str">
        <f t="shared" si="94"/>
        <v/>
      </c>
      <c r="M1181" s="7"/>
      <c r="N1181" s="7"/>
      <c r="O1181" s="7"/>
      <c r="P1181" s="20" t="str">
        <f>IF($A1181="","",INDEX(Project_Tracker!$I$2:$I$101,INT((ROW()-6)/17)+1))</f>
        <v/>
      </c>
      <c r="Q1181" s="20" t="str">
        <f>IF($A1181="","",INDEX(Project_Tracker!$K$2:$K$101,INT((ROW()-6)/17)+1))</f>
        <v/>
      </c>
    </row>
    <row r="1182" spans="1:17" x14ac:dyDescent="0.2">
      <c r="A1182" s="20" t="str">
        <f>IF(INDEX(Project_Tracker!$AL$2:$AL$101,INT((ROW()-6)/17)+1)="","",INDEX(Project_Tracker!$AL$2:$AL$101,INT((ROW()-6)/17)+1))</f>
        <v/>
      </c>
      <c r="B1182" s="21" t="str">
        <f>IF($A1182="","",INDEX(Project_Tracker!$AM$2:$AM$101,INT((ROW()-6)/17)+1))</f>
        <v/>
      </c>
      <c r="C1182" s="20" t="str">
        <f>IF($A1182="","",INDEX(Project_Tracker!$C$2:$C$101,INT((ROW()-6)/17)+1))</f>
        <v/>
      </c>
      <c r="D1182" s="6" t="str">
        <f>IF($A1182="","",INDEX(Project_Tracker!$T$2:$T$101,INT((ROW()-6)/17)+1))</f>
        <v/>
      </c>
      <c r="E1182" s="18">
        <f t="shared" si="90"/>
        <v>4</v>
      </c>
      <c r="F1182" s="23" t="str">
        <f>IF($A1182="","",INDEX('Logic &amp; Lists'!$I$4:$I$20,$E1182))</f>
        <v/>
      </c>
      <c r="G1182" s="18" t="str">
        <f>IF($A1182="","",INDEX('Logic &amp; Lists'!$J$4:$J$20,$E1182))</f>
        <v/>
      </c>
      <c r="H1182" s="6" t="str">
        <f t="shared" si="91"/>
        <v/>
      </c>
      <c r="I1182" s="18" t="str">
        <f t="shared" ca="1" si="92"/>
        <v/>
      </c>
      <c r="J1182" s="5" t="str">
        <f t="shared" si="93"/>
        <v/>
      </c>
      <c r="K1182" s="25"/>
      <c r="L1182" s="5" t="str">
        <f t="shared" si="94"/>
        <v/>
      </c>
      <c r="M1182" s="7"/>
      <c r="N1182" s="7"/>
      <c r="O1182" s="7"/>
      <c r="P1182" s="20" t="str">
        <f>IF($A1182="","",INDEX(Project_Tracker!$I$2:$I$101,INT((ROW()-6)/17)+1))</f>
        <v/>
      </c>
      <c r="Q1182" s="20" t="str">
        <f>IF($A1182="","",INDEX(Project_Tracker!$K$2:$K$101,INT((ROW()-6)/17)+1))</f>
        <v/>
      </c>
    </row>
    <row r="1183" spans="1:17" x14ac:dyDescent="0.2">
      <c r="A1183" s="20" t="str">
        <f>IF(INDEX(Project_Tracker!$AL$2:$AL$101,INT((ROW()-6)/17)+1)="","",INDEX(Project_Tracker!$AL$2:$AL$101,INT((ROW()-6)/17)+1))</f>
        <v/>
      </c>
      <c r="B1183" s="21" t="str">
        <f>IF($A1183="","",INDEX(Project_Tracker!$AM$2:$AM$101,INT((ROW()-6)/17)+1))</f>
        <v/>
      </c>
      <c r="C1183" s="20" t="str">
        <f>IF($A1183="","",INDEX(Project_Tracker!$C$2:$C$101,INT((ROW()-6)/17)+1))</f>
        <v/>
      </c>
      <c r="D1183" s="6" t="str">
        <f>IF($A1183="","",INDEX(Project_Tracker!$T$2:$T$101,INT((ROW()-6)/17)+1))</f>
        <v/>
      </c>
      <c r="E1183" s="18">
        <f t="shared" si="90"/>
        <v>5</v>
      </c>
      <c r="F1183" s="23" t="str">
        <f>IF($A1183="","",INDEX('Logic &amp; Lists'!$I$4:$I$20,$E1183))</f>
        <v/>
      </c>
      <c r="G1183" s="18" t="str">
        <f>IF($A1183="","",INDEX('Logic &amp; Lists'!$J$4:$J$20,$E1183))</f>
        <v/>
      </c>
      <c r="H1183" s="6" t="str">
        <f t="shared" si="91"/>
        <v/>
      </c>
      <c r="I1183" s="18" t="str">
        <f t="shared" ca="1" si="92"/>
        <v/>
      </c>
      <c r="J1183" s="5" t="str">
        <f t="shared" si="93"/>
        <v/>
      </c>
      <c r="K1183" s="25"/>
      <c r="L1183" s="5" t="str">
        <f t="shared" si="94"/>
        <v/>
      </c>
      <c r="M1183" s="7"/>
      <c r="N1183" s="7"/>
      <c r="O1183" s="7"/>
      <c r="P1183" s="20" t="str">
        <f>IF($A1183="","",INDEX(Project_Tracker!$I$2:$I$101,INT((ROW()-6)/17)+1))</f>
        <v/>
      </c>
      <c r="Q1183" s="20" t="str">
        <f>IF($A1183="","",INDEX(Project_Tracker!$K$2:$K$101,INT((ROW()-6)/17)+1))</f>
        <v/>
      </c>
    </row>
    <row r="1184" spans="1:17" x14ac:dyDescent="0.2">
      <c r="A1184" s="20" t="str">
        <f>IF(INDEX(Project_Tracker!$AL$2:$AL$101,INT((ROW()-6)/17)+1)="","",INDEX(Project_Tracker!$AL$2:$AL$101,INT((ROW()-6)/17)+1))</f>
        <v/>
      </c>
      <c r="B1184" s="21" t="str">
        <f>IF($A1184="","",INDEX(Project_Tracker!$AM$2:$AM$101,INT((ROW()-6)/17)+1))</f>
        <v/>
      </c>
      <c r="C1184" s="20" t="str">
        <f>IF($A1184="","",INDEX(Project_Tracker!$C$2:$C$101,INT((ROW()-6)/17)+1))</f>
        <v/>
      </c>
      <c r="D1184" s="6" t="str">
        <f>IF($A1184="","",INDEX(Project_Tracker!$T$2:$T$101,INT((ROW()-6)/17)+1))</f>
        <v/>
      </c>
      <c r="E1184" s="18">
        <f t="shared" si="90"/>
        <v>6</v>
      </c>
      <c r="F1184" s="23" t="str">
        <f>IF($A1184="","",INDEX('Logic &amp; Lists'!$I$4:$I$20,$E1184))</f>
        <v/>
      </c>
      <c r="G1184" s="18" t="str">
        <f>IF($A1184="","",INDEX('Logic &amp; Lists'!$J$4:$J$20,$E1184))</f>
        <v/>
      </c>
      <c r="H1184" s="6" t="str">
        <f t="shared" si="91"/>
        <v/>
      </c>
      <c r="I1184" s="18" t="str">
        <f t="shared" ca="1" si="92"/>
        <v/>
      </c>
      <c r="J1184" s="5" t="str">
        <f t="shared" si="93"/>
        <v/>
      </c>
      <c r="K1184" s="25"/>
      <c r="L1184" s="5" t="str">
        <f t="shared" si="94"/>
        <v/>
      </c>
      <c r="M1184" s="7"/>
      <c r="N1184" s="7"/>
      <c r="O1184" s="7"/>
      <c r="P1184" s="20" t="str">
        <f>IF($A1184="","",INDEX(Project_Tracker!$I$2:$I$101,INT((ROW()-6)/17)+1))</f>
        <v/>
      </c>
      <c r="Q1184" s="20" t="str">
        <f>IF($A1184="","",INDEX(Project_Tracker!$K$2:$K$101,INT((ROW()-6)/17)+1))</f>
        <v/>
      </c>
    </row>
    <row r="1185" spans="1:17" x14ac:dyDescent="0.2">
      <c r="A1185" s="20" t="str">
        <f>IF(INDEX(Project_Tracker!$AL$2:$AL$101,INT((ROW()-6)/17)+1)="","",INDEX(Project_Tracker!$AL$2:$AL$101,INT((ROW()-6)/17)+1))</f>
        <v/>
      </c>
      <c r="B1185" s="21" t="str">
        <f>IF($A1185="","",INDEX(Project_Tracker!$AM$2:$AM$101,INT((ROW()-6)/17)+1))</f>
        <v/>
      </c>
      <c r="C1185" s="20" t="str">
        <f>IF($A1185="","",INDEX(Project_Tracker!$C$2:$C$101,INT((ROW()-6)/17)+1))</f>
        <v/>
      </c>
      <c r="D1185" s="6" t="str">
        <f>IF($A1185="","",INDEX(Project_Tracker!$T$2:$T$101,INT((ROW()-6)/17)+1))</f>
        <v/>
      </c>
      <c r="E1185" s="18">
        <f t="shared" si="90"/>
        <v>7</v>
      </c>
      <c r="F1185" s="23" t="str">
        <f>IF($A1185="","",INDEX('Logic &amp; Lists'!$I$4:$I$20,$E1185))</f>
        <v/>
      </c>
      <c r="G1185" s="18" t="str">
        <f>IF($A1185="","",INDEX('Logic &amp; Lists'!$J$4:$J$20,$E1185))</f>
        <v/>
      </c>
      <c r="H1185" s="6" t="str">
        <f t="shared" si="91"/>
        <v/>
      </c>
      <c r="I1185" s="18" t="str">
        <f t="shared" ca="1" si="92"/>
        <v/>
      </c>
      <c r="J1185" s="5" t="str">
        <f t="shared" si="93"/>
        <v/>
      </c>
      <c r="K1185" s="25"/>
      <c r="L1185" s="5" t="str">
        <f t="shared" si="94"/>
        <v/>
      </c>
      <c r="M1185" s="7"/>
      <c r="N1185" s="7"/>
      <c r="O1185" s="7"/>
      <c r="P1185" s="20" t="str">
        <f>IF($A1185="","",INDEX(Project_Tracker!$I$2:$I$101,INT((ROW()-6)/17)+1))</f>
        <v/>
      </c>
      <c r="Q1185" s="20" t="str">
        <f>IF($A1185="","",INDEX(Project_Tracker!$K$2:$K$101,INT((ROW()-6)/17)+1))</f>
        <v/>
      </c>
    </row>
    <row r="1186" spans="1:17" x14ac:dyDescent="0.2">
      <c r="A1186" s="20" t="str">
        <f>IF(INDEX(Project_Tracker!$AL$2:$AL$101,INT((ROW()-6)/17)+1)="","",INDEX(Project_Tracker!$AL$2:$AL$101,INT((ROW()-6)/17)+1))</f>
        <v/>
      </c>
      <c r="B1186" s="21" t="str">
        <f>IF($A1186="","",INDEX(Project_Tracker!$AM$2:$AM$101,INT((ROW()-6)/17)+1))</f>
        <v/>
      </c>
      <c r="C1186" s="20" t="str">
        <f>IF($A1186="","",INDEX(Project_Tracker!$C$2:$C$101,INT((ROW()-6)/17)+1))</f>
        <v/>
      </c>
      <c r="D1186" s="6" t="str">
        <f>IF($A1186="","",INDEX(Project_Tracker!$T$2:$T$101,INT((ROW()-6)/17)+1))</f>
        <v/>
      </c>
      <c r="E1186" s="18">
        <f t="shared" si="90"/>
        <v>8</v>
      </c>
      <c r="F1186" s="23" t="str">
        <f>IF($A1186="","",INDEX('Logic &amp; Lists'!$I$4:$I$20,$E1186))</f>
        <v/>
      </c>
      <c r="G1186" s="18" t="str">
        <f>IF($A1186="","",INDEX('Logic &amp; Lists'!$J$4:$J$20,$E1186))</f>
        <v/>
      </c>
      <c r="H1186" s="6" t="str">
        <f t="shared" si="91"/>
        <v/>
      </c>
      <c r="I1186" s="18" t="str">
        <f t="shared" ca="1" si="92"/>
        <v/>
      </c>
      <c r="J1186" s="5" t="str">
        <f t="shared" si="93"/>
        <v/>
      </c>
      <c r="K1186" s="25"/>
      <c r="L1186" s="5" t="str">
        <f t="shared" si="94"/>
        <v/>
      </c>
      <c r="M1186" s="7"/>
      <c r="N1186" s="7"/>
      <c r="O1186" s="7"/>
      <c r="P1186" s="20" t="str">
        <f>IF($A1186="","",INDEX(Project_Tracker!$I$2:$I$101,INT((ROW()-6)/17)+1))</f>
        <v/>
      </c>
      <c r="Q1186" s="20" t="str">
        <f>IF($A1186="","",INDEX(Project_Tracker!$K$2:$K$101,INT((ROW()-6)/17)+1))</f>
        <v/>
      </c>
    </row>
    <row r="1187" spans="1:17" x14ac:dyDescent="0.2">
      <c r="A1187" s="20" t="str">
        <f>IF(INDEX(Project_Tracker!$AL$2:$AL$101,INT((ROW()-6)/17)+1)="","",INDEX(Project_Tracker!$AL$2:$AL$101,INT((ROW()-6)/17)+1))</f>
        <v/>
      </c>
      <c r="B1187" s="21" t="str">
        <f>IF($A1187="","",INDEX(Project_Tracker!$AM$2:$AM$101,INT((ROW()-6)/17)+1))</f>
        <v/>
      </c>
      <c r="C1187" s="20" t="str">
        <f>IF($A1187="","",INDEX(Project_Tracker!$C$2:$C$101,INT((ROW()-6)/17)+1))</f>
        <v/>
      </c>
      <c r="D1187" s="6" t="str">
        <f>IF($A1187="","",INDEX(Project_Tracker!$T$2:$T$101,INT((ROW()-6)/17)+1))</f>
        <v/>
      </c>
      <c r="E1187" s="18">
        <f t="shared" si="90"/>
        <v>9</v>
      </c>
      <c r="F1187" s="23" t="str">
        <f>IF($A1187="","",INDEX('Logic &amp; Lists'!$I$4:$I$20,$E1187))</f>
        <v/>
      </c>
      <c r="G1187" s="18" t="str">
        <f>IF($A1187="","",INDEX('Logic &amp; Lists'!$J$4:$J$20,$E1187))</f>
        <v/>
      </c>
      <c r="H1187" s="6" t="str">
        <f t="shared" si="91"/>
        <v/>
      </c>
      <c r="I1187" s="18" t="str">
        <f t="shared" ca="1" si="92"/>
        <v/>
      </c>
      <c r="J1187" s="5" t="str">
        <f t="shared" si="93"/>
        <v/>
      </c>
      <c r="K1187" s="25"/>
      <c r="L1187" s="5" t="str">
        <f t="shared" si="94"/>
        <v/>
      </c>
      <c r="M1187" s="7"/>
      <c r="N1187" s="7"/>
      <c r="O1187" s="7"/>
      <c r="P1187" s="20" t="str">
        <f>IF($A1187="","",INDEX(Project_Tracker!$I$2:$I$101,INT((ROW()-6)/17)+1))</f>
        <v/>
      </c>
      <c r="Q1187" s="20" t="str">
        <f>IF($A1187="","",INDEX(Project_Tracker!$K$2:$K$101,INT((ROW()-6)/17)+1))</f>
        <v/>
      </c>
    </row>
    <row r="1188" spans="1:17" x14ac:dyDescent="0.2">
      <c r="A1188" s="20" t="str">
        <f>IF(INDEX(Project_Tracker!$AL$2:$AL$101,INT((ROW()-6)/17)+1)="","",INDEX(Project_Tracker!$AL$2:$AL$101,INT((ROW()-6)/17)+1))</f>
        <v/>
      </c>
      <c r="B1188" s="21" t="str">
        <f>IF($A1188="","",INDEX(Project_Tracker!$AM$2:$AM$101,INT((ROW()-6)/17)+1))</f>
        <v/>
      </c>
      <c r="C1188" s="20" t="str">
        <f>IF($A1188="","",INDEX(Project_Tracker!$C$2:$C$101,INT((ROW()-6)/17)+1))</f>
        <v/>
      </c>
      <c r="D1188" s="6" t="str">
        <f>IF($A1188="","",INDEX(Project_Tracker!$T$2:$T$101,INT((ROW()-6)/17)+1))</f>
        <v/>
      </c>
      <c r="E1188" s="18">
        <f t="shared" si="90"/>
        <v>10</v>
      </c>
      <c r="F1188" s="23" t="str">
        <f>IF($A1188="","",INDEX('Logic &amp; Lists'!$I$4:$I$20,$E1188))</f>
        <v/>
      </c>
      <c r="G1188" s="18" t="str">
        <f>IF($A1188="","",INDEX('Logic &amp; Lists'!$J$4:$J$20,$E1188))</f>
        <v/>
      </c>
      <c r="H1188" s="6" t="str">
        <f t="shared" si="91"/>
        <v/>
      </c>
      <c r="I1188" s="18" t="str">
        <f t="shared" ca="1" si="92"/>
        <v/>
      </c>
      <c r="J1188" s="5" t="str">
        <f t="shared" si="93"/>
        <v/>
      </c>
      <c r="K1188" s="25"/>
      <c r="L1188" s="5" t="str">
        <f t="shared" si="94"/>
        <v/>
      </c>
      <c r="M1188" s="7"/>
      <c r="N1188" s="7"/>
      <c r="O1188" s="7"/>
      <c r="P1188" s="20" t="str">
        <f>IF($A1188="","",INDEX(Project_Tracker!$I$2:$I$101,INT((ROW()-6)/17)+1))</f>
        <v/>
      </c>
      <c r="Q1188" s="20" t="str">
        <f>IF($A1188="","",INDEX(Project_Tracker!$K$2:$K$101,INT((ROW()-6)/17)+1))</f>
        <v/>
      </c>
    </row>
    <row r="1189" spans="1:17" x14ac:dyDescent="0.2">
      <c r="A1189" s="20" t="str">
        <f>IF(INDEX(Project_Tracker!$AL$2:$AL$101,INT((ROW()-6)/17)+1)="","",INDEX(Project_Tracker!$AL$2:$AL$101,INT((ROW()-6)/17)+1))</f>
        <v/>
      </c>
      <c r="B1189" s="21" t="str">
        <f>IF($A1189="","",INDEX(Project_Tracker!$AM$2:$AM$101,INT((ROW()-6)/17)+1))</f>
        <v/>
      </c>
      <c r="C1189" s="20" t="str">
        <f>IF($A1189="","",INDEX(Project_Tracker!$C$2:$C$101,INT((ROW()-6)/17)+1))</f>
        <v/>
      </c>
      <c r="D1189" s="6" t="str">
        <f>IF($A1189="","",INDEX(Project_Tracker!$T$2:$T$101,INT((ROW()-6)/17)+1))</f>
        <v/>
      </c>
      <c r="E1189" s="18">
        <f t="shared" si="90"/>
        <v>11</v>
      </c>
      <c r="F1189" s="23" t="str">
        <f>IF($A1189="","",INDEX('Logic &amp; Lists'!$I$4:$I$20,$E1189))</f>
        <v/>
      </c>
      <c r="G1189" s="18" t="str">
        <f>IF($A1189="","",INDEX('Logic &amp; Lists'!$J$4:$J$20,$E1189))</f>
        <v/>
      </c>
      <c r="H1189" s="6" t="str">
        <f t="shared" si="91"/>
        <v/>
      </c>
      <c r="I1189" s="18" t="str">
        <f t="shared" ca="1" si="92"/>
        <v/>
      </c>
      <c r="J1189" s="5" t="str">
        <f t="shared" si="93"/>
        <v/>
      </c>
      <c r="K1189" s="25"/>
      <c r="L1189" s="5" t="str">
        <f t="shared" si="94"/>
        <v/>
      </c>
      <c r="M1189" s="7"/>
      <c r="N1189" s="7"/>
      <c r="O1189" s="7"/>
      <c r="P1189" s="20" t="str">
        <f>IF($A1189="","",INDEX(Project_Tracker!$I$2:$I$101,INT((ROW()-6)/17)+1))</f>
        <v/>
      </c>
      <c r="Q1189" s="20" t="str">
        <f>IF($A1189="","",INDEX(Project_Tracker!$K$2:$K$101,INT((ROW()-6)/17)+1))</f>
        <v/>
      </c>
    </row>
    <row r="1190" spans="1:17" x14ac:dyDescent="0.2">
      <c r="A1190" s="20" t="str">
        <f>IF(INDEX(Project_Tracker!$AL$2:$AL$101,INT((ROW()-6)/17)+1)="","",INDEX(Project_Tracker!$AL$2:$AL$101,INT((ROW()-6)/17)+1))</f>
        <v/>
      </c>
      <c r="B1190" s="21" t="str">
        <f>IF($A1190="","",INDEX(Project_Tracker!$AM$2:$AM$101,INT((ROW()-6)/17)+1))</f>
        <v/>
      </c>
      <c r="C1190" s="20" t="str">
        <f>IF($A1190="","",INDEX(Project_Tracker!$C$2:$C$101,INT((ROW()-6)/17)+1))</f>
        <v/>
      </c>
      <c r="D1190" s="6" t="str">
        <f>IF($A1190="","",INDEX(Project_Tracker!$T$2:$T$101,INT((ROW()-6)/17)+1))</f>
        <v/>
      </c>
      <c r="E1190" s="18">
        <f t="shared" si="90"/>
        <v>12</v>
      </c>
      <c r="F1190" s="23" t="str">
        <f>IF($A1190="","",INDEX('Logic &amp; Lists'!$I$4:$I$20,$E1190))</f>
        <v/>
      </c>
      <c r="G1190" s="18" t="str">
        <f>IF($A1190="","",INDEX('Logic &amp; Lists'!$J$4:$J$20,$E1190))</f>
        <v/>
      </c>
      <c r="H1190" s="6" t="str">
        <f t="shared" si="91"/>
        <v/>
      </c>
      <c r="I1190" s="18" t="str">
        <f t="shared" ca="1" si="92"/>
        <v/>
      </c>
      <c r="J1190" s="5" t="str">
        <f t="shared" si="93"/>
        <v/>
      </c>
      <c r="K1190" s="25"/>
      <c r="L1190" s="5" t="str">
        <f t="shared" si="94"/>
        <v/>
      </c>
      <c r="M1190" s="7"/>
      <c r="N1190" s="7"/>
      <c r="O1190" s="7"/>
      <c r="P1190" s="20" t="str">
        <f>IF($A1190="","",INDEX(Project_Tracker!$I$2:$I$101,INT((ROW()-6)/17)+1))</f>
        <v/>
      </c>
      <c r="Q1190" s="20" t="str">
        <f>IF($A1190="","",INDEX(Project_Tracker!$K$2:$K$101,INT((ROW()-6)/17)+1))</f>
        <v/>
      </c>
    </row>
    <row r="1191" spans="1:17" x14ac:dyDescent="0.2">
      <c r="A1191" s="20" t="str">
        <f>IF(INDEX(Project_Tracker!$AL$2:$AL$101,INT((ROW()-6)/17)+1)="","",INDEX(Project_Tracker!$AL$2:$AL$101,INT((ROW()-6)/17)+1))</f>
        <v/>
      </c>
      <c r="B1191" s="21" t="str">
        <f>IF($A1191="","",INDEX(Project_Tracker!$AM$2:$AM$101,INT((ROW()-6)/17)+1))</f>
        <v/>
      </c>
      <c r="C1191" s="20" t="str">
        <f>IF($A1191="","",INDEX(Project_Tracker!$C$2:$C$101,INT((ROW()-6)/17)+1))</f>
        <v/>
      </c>
      <c r="D1191" s="6" t="str">
        <f>IF($A1191="","",INDEX(Project_Tracker!$T$2:$T$101,INT((ROW()-6)/17)+1))</f>
        <v/>
      </c>
      <c r="E1191" s="18">
        <f t="shared" si="90"/>
        <v>13</v>
      </c>
      <c r="F1191" s="23" t="str">
        <f>IF($A1191="","",INDEX('Logic &amp; Lists'!$I$4:$I$20,$E1191))</f>
        <v/>
      </c>
      <c r="G1191" s="18" t="str">
        <f>IF($A1191="","",INDEX('Logic &amp; Lists'!$J$4:$J$20,$E1191))</f>
        <v/>
      </c>
      <c r="H1191" s="6" t="str">
        <f t="shared" si="91"/>
        <v/>
      </c>
      <c r="I1191" s="18" t="str">
        <f t="shared" ca="1" si="92"/>
        <v/>
      </c>
      <c r="J1191" s="5" t="str">
        <f t="shared" si="93"/>
        <v/>
      </c>
      <c r="K1191" s="25"/>
      <c r="L1191" s="5" t="str">
        <f t="shared" si="94"/>
        <v/>
      </c>
      <c r="M1191" s="7"/>
      <c r="N1191" s="7"/>
      <c r="O1191" s="7"/>
      <c r="P1191" s="20" t="str">
        <f>IF($A1191="","",INDEX(Project_Tracker!$I$2:$I$101,INT((ROW()-6)/17)+1))</f>
        <v/>
      </c>
      <c r="Q1191" s="20" t="str">
        <f>IF($A1191="","",INDEX(Project_Tracker!$K$2:$K$101,INT((ROW()-6)/17)+1))</f>
        <v/>
      </c>
    </row>
    <row r="1192" spans="1:17" x14ac:dyDescent="0.2">
      <c r="A1192" s="20" t="str">
        <f>IF(INDEX(Project_Tracker!$AL$2:$AL$101,INT((ROW()-6)/17)+1)="","",INDEX(Project_Tracker!$AL$2:$AL$101,INT((ROW()-6)/17)+1))</f>
        <v/>
      </c>
      <c r="B1192" s="21" t="str">
        <f>IF($A1192="","",INDEX(Project_Tracker!$AM$2:$AM$101,INT((ROW()-6)/17)+1))</f>
        <v/>
      </c>
      <c r="C1192" s="20" t="str">
        <f>IF($A1192="","",INDEX(Project_Tracker!$C$2:$C$101,INT((ROW()-6)/17)+1))</f>
        <v/>
      </c>
      <c r="D1192" s="6" t="str">
        <f>IF($A1192="","",INDEX(Project_Tracker!$T$2:$T$101,INT((ROW()-6)/17)+1))</f>
        <v/>
      </c>
      <c r="E1192" s="18">
        <f t="shared" si="90"/>
        <v>14</v>
      </c>
      <c r="F1192" s="23" t="str">
        <f>IF($A1192="","",INDEX('Logic &amp; Lists'!$I$4:$I$20,$E1192))</f>
        <v/>
      </c>
      <c r="G1192" s="18" t="str">
        <f>IF($A1192="","",INDEX('Logic &amp; Lists'!$J$4:$J$20,$E1192))</f>
        <v/>
      </c>
      <c r="H1192" s="6" t="str">
        <f t="shared" si="91"/>
        <v/>
      </c>
      <c r="I1192" s="18" t="str">
        <f t="shared" ca="1" si="92"/>
        <v/>
      </c>
      <c r="J1192" s="5" t="str">
        <f t="shared" si="93"/>
        <v/>
      </c>
      <c r="K1192" s="25"/>
      <c r="L1192" s="5" t="str">
        <f t="shared" si="94"/>
        <v/>
      </c>
      <c r="M1192" s="7"/>
      <c r="N1192" s="7"/>
      <c r="O1192" s="7"/>
      <c r="P1192" s="20" t="str">
        <f>IF($A1192="","",INDEX(Project_Tracker!$I$2:$I$101,INT((ROW()-6)/17)+1))</f>
        <v/>
      </c>
      <c r="Q1192" s="20" t="str">
        <f>IF($A1192="","",INDEX(Project_Tracker!$K$2:$K$101,INT((ROW()-6)/17)+1))</f>
        <v/>
      </c>
    </row>
    <row r="1193" spans="1:17" x14ac:dyDescent="0.2">
      <c r="A1193" s="20" t="str">
        <f>IF(INDEX(Project_Tracker!$AL$2:$AL$101,INT((ROW()-6)/17)+1)="","",INDEX(Project_Tracker!$AL$2:$AL$101,INT((ROW()-6)/17)+1))</f>
        <v/>
      </c>
      <c r="B1193" s="21" t="str">
        <f>IF($A1193="","",INDEX(Project_Tracker!$AM$2:$AM$101,INT((ROW()-6)/17)+1))</f>
        <v/>
      </c>
      <c r="C1193" s="20" t="str">
        <f>IF($A1193="","",INDEX(Project_Tracker!$C$2:$C$101,INT((ROW()-6)/17)+1))</f>
        <v/>
      </c>
      <c r="D1193" s="6" t="str">
        <f>IF($A1193="","",INDEX(Project_Tracker!$T$2:$T$101,INT((ROW()-6)/17)+1))</f>
        <v/>
      </c>
      <c r="E1193" s="18">
        <f t="shared" si="90"/>
        <v>15</v>
      </c>
      <c r="F1193" s="23" t="str">
        <f>IF($A1193="","",INDEX('Logic &amp; Lists'!$I$4:$I$20,$E1193))</f>
        <v/>
      </c>
      <c r="G1193" s="18" t="str">
        <f>IF($A1193="","",INDEX('Logic &amp; Lists'!$J$4:$J$20,$E1193))</f>
        <v/>
      </c>
      <c r="H1193" s="6" t="str">
        <f t="shared" si="91"/>
        <v/>
      </c>
      <c r="I1193" s="18" t="str">
        <f t="shared" ca="1" si="92"/>
        <v/>
      </c>
      <c r="J1193" s="5" t="str">
        <f t="shared" si="93"/>
        <v/>
      </c>
      <c r="K1193" s="25"/>
      <c r="L1193" s="5" t="str">
        <f t="shared" si="94"/>
        <v/>
      </c>
      <c r="M1193" s="7"/>
      <c r="N1193" s="7"/>
      <c r="O1193" s="7"/>
      <c r="P1193" s="20" t="str">
        <f>IF($A1193="","",INDEX(Project_Tracker!$I$2:$I$101,INT((ROW()-6)/17)+1))</f>
        <v/>
      </c>
      <c r="Q1193" s="20" t="str">
        <f>IF($A1193="","",INDEX(Project_Tracker!$K$2:$K$101,INT((ROW()-6)/17)+1))</f>
        <v/>
      </c>
    </row>
    <row r="1194" spans="1:17" x14ac:dyDescent="0.2">
      <c r="A1194" s="20" t="str">
        <f>IF(INDEX(Project_Tracker!$AL$2:$AL$101,INT((ROW()-6)/17)+1)="","",INDEX(Project_Tracker!$AL$2:$AL$101,INT((ROW()-6)/17)+1))</f>
        <v/>
      </c>
      <c r="B1194" s="21" t="str">
        <f>IF($A1194="","",INDEX(Project_Tracker!$AM$2:$AM$101,INT((ROW()-6)/17)+1))</f>
        <v/>
      </c>
      <c r="C1194" s="20" t="str">
        <f>IF($A1194="","",INDEX(Project_Tracker!$C$2:$C$101,INT((ROW()-6)/17)+1))</f>
        <v/>
      </c>
      <c r="D1194" s="6" t="str">
        <f>IF($A1194="","",INDEX(Project_Tracker!$T$2:$T$101,INT((ROW()-6)/17)+1))</f>
        <v/>
      </c>
      <c r="E1194" s="18">
        <f t="shared" si="90"/>
        <v>16</v>
      </c>
      <c r="F1194" s="23" t="str">
        <f>IF($A1194="","",INDEX('Logic &amp; Lists'!$I$4:$I$20,$E1194))</f>
        <v/>
      </c>
      <c r="G1194" s="18" t="str">
        <f>IF($A1194="","",INDEX('Logic &amp; Lists'!$J$4:$J$20,$E1194))</f>
        <v/>
      </c>
      <c r="H1194" s="6" t="str">
        <f t="shared" si="91"/>
        <v/>
      </c>
      <c r="I1194" s="18" t="str">
        <f t="shared" ca="1" si="92"/>
        <v/>
      </c>
      <c r="J1194" s="5" t="str">
        <f t="shared" si="93"/>
        <v/>
      </c>
      <c r="K1194" s="25"/>
      <c r="L1194" s="5" t="str">
        <f t="shared" si="94"/>
        <v/>
      </c>
      <c r="M1194" s="7"/>
      <c r="N1194" s="7"/>
      <c r="O1194" s="7"/>
      <c r="P1194" s="20" t="str">
        <f>IF($A1194="","",INDEX(Project_Tracker!$I$2:$I$101,INT((ROW()-6)/17)+1))</f>
        <v/>
      </c>
      <c r="Q1194" s="20" t="str">
        <f>IF($A1194="","",INDEX(Project_Tracker!$K$2:$K$101,INT((ROW()-6)/17)+1))</f>
        <v/>
      </c>
    </row>
    <row r="1195" spans="1:17" x14ac:dyDescent="0.2">
      <c r="A1195" s="20" t="str">
        <f>IF(INDEX(Project_Tracker!$AL$2:$AL$101,INT((ROW()-6)/17)+1)="","",INDEX(Project_Tracker!$AL$2:$AL$101,INT((ROW()-6)/17)+1))</f>
        <v/>
      </c>
      <c r="B1195" s="21" t="str">
        <f>IF($A1195="","",INDEX(Project_Tracker!$AM$2:$AM$101,INT((ROW()-6)/17)+1))</f>
        <v/>
      </c>
      <c r="C1195" s="20" t="str">
        <f>IF($A1195="","",INDEX(Project_Tracker!$C$2:$C$101,INT((ROW()-6)/17)+1))</f>
        <v/>
      </c>
      <c r="D1195" s="6" t="str">
        <f>IF($A1195="","",INDEX(Project_Tracker!$T$2:$T$101,INT((ROW()-6)/17)+1))</f>
        <v/>
      </c>
      <c r="E1195" s="18">
        <f t="shared" si="90"/>
        <v>17</v>
      </c>
      <c r="F1195" s="23" t="str">
        <f>IF($A1195="","",INDEX('Logic &amp; Lists'!$I$4:$I$20,$E1195))</f>
        <v/>
      </c>
      <c r="G1195" s="18" t="str">
        <f>IF($A1195="","",INDEX('Logic &amp; Lists'!$J$4:$J$20,$E1195))</f>
        <v/>
      </c>
      <c r="H1195" s="6" t="str">
        <f t="shared" si="91"/>
        <v/>
      </c>
      <c r="I1195" s="18" t="str">
        <f t="shared" ca="1" si="92"/>
        <v/>
      </c>
      <c r="J1195" s="5" t="str">
        <f t="shared" si="93"/>
        <v/>
      </c>
      <c r="K1195" s="25"/>
      <c r="L1195" s="5" t="str">
        <f t="shared" si="94"/>
        <v/>
      </c>
      <c r="M1195" s="7"/>
      <c r="N1195" s="7"/>
      <c r="O1195" s="7"/>
      <c r="P1195" s="20" t="str">
        <f>IF($A1195="","",INDEX(Project_Tracker!$I$2:$I$101,INT((ROW()-6)/17)+1))</f>
        <v/>
      </c>
      <c r="Q1195" s="20" t="str">
        <f>IF($A1195="","",INDEX(Project_Tracker!$K$2:$K$101,INT((ROW()-6)/17)+1))</f>
        <v/>
      </c>
    </row>
    <row r="1196" spans="1:17" x14ac:dyDescent="0.2">
      <c r="A1196" s="20" t="str">
        <f>IF(INDEX(Project_Tracker!$AL$2:$AL$101,INT((ROW()-6)/17)+1)="","",INDEX(Project_Tracker!$AL$2:$AL$101,INT((ROW()-6)/17)+1))</f>
        <v/>
      </c>
      <c r="B1196" s="21" t="str">
        <f>IF($A1196="","",INDEX(Project_Tracker!$AM$2:$AM$101,INT((ROW()-6)/17)+1))</f>
        <v/>
      </c>
      <c r="C1196" s="20" t="str">
        <f>IF($A1196="","",INDEX(Project_Tracker!$C$2:$C$101,INT((ROW()-6)/17)+1))</f>
        <v/>
      </c>
      <c r="D1196" s="6" t="str">
        <f>IF($A1196="","",INDEX(Project_Tracker!$T$2:$T$101,INT((ROW()-6)/17)+1))</f>
        <v/>
      </c>
      <c r="E1196" s="18">
        <f t="shared" si="90"/>
        <v>1</v>
      </c>
      <c r="F1196" s="23" t="str">
        <f>IF($A1196="","",INDEX('Logic &amp; Lists'!$I$4:$I$20,$E1196))</f>
        <v/>
      </c>
      <c r="G1196" s="18" t="str">
        <f>IF($A1196="","",INDEX('Logic &amp; Lists'!$J$4:$J$20,$E1196))</f>
        <v/>
      </c>
      <c r="H1196" s="6" t="str">
        <f t="shared" si="91"/>
        <v/>
      </c>
      <c r="I1196" s="18" t="str">
        <f t="shared" ca="1" si="92"/>
        <v/>
      </c>
      <c r="J1196" s="5" t="str">
        <f t="shared" si="93"/>
        <v/>
      </c>
      <c r="K1196" s="25"/>
      <c r="L1196" s="5" t="str">
        <f t="shared" si="94"/>
        <v/>
      </c>
      <c r="M1196" s="7"/>
      <c r="N1196" s="7"/>
      <c r="O1196" s="7"/>
      <c r="P1196" s="20" t="str">
        <f>IF($A1196="","",INDEX(Project_Tracker!$I$2:$I$101,INT((ROW()-6)/17)+1))</f>
        <v/>
      </c>
      <c r="Q1196" s="20" t="str">
        <f>IF($A1196="","",INDEX(Project_Tracker!$K$2:$K$101,INT((ROW()-6)/17)+1))</f>
        <v/>
      </c>
    </row>
    <row r="1197" spans="1:17" x14ac:dyDescent="0.2">
      <c r="A1197" s="20" t="str">
        <f>IF(INDEX(Project_Tracker!$AL$2:$AL$101,INT((ROW()-6)/17)+1)="","",INDEX(Project_Tracker!$AL$2:$AL$101,INT((ROW()-6)/17)+1))</f>
        <v/>
      </c>
      <c r="B1197" s="21" t="str">
        <f>IF($A1197="","",INDEX(Project_Tracker!$AM$2:$AM$101,INT((ROW()-6)/17)+1))</f>
        <v/>
      </c>
      <c r="C1197" s="20" t="str">
        <f>IF($A1197="","",INDEX(Project_Tracker!$C$2:$C$101,INT((ROW()-6)/17)+1))</f>
        <v/>
      </c>
      <c r="D1197" s="6" t="str">
        <f>IF($A1197="","",INDEX(Project_Tracker!$T$2:$T$101,INT((ROW()-6)/17)+1))</f>
        <v/>
      </c>
      <c r="E1197" s="18">
        <f t="shared" si="90"/>
        <v>2</v>
      </c>
      <c r="F1197" s="23" t="str">
        <f>IF($A1197="","",INDEX('Logic &amp; Lists'!$I$4:$I$20,$E1197))</f>
        <v/>
      </c>
      <c r="G1197" s="18" t="str">
        <f>IF($A1197="","",INDEX('Logic &amp; Lists'!$J$4:$J$20,$E1197))</f>
        <v/>
      </c>
      <c r="H1197" s="6" t="str">
        <f t="shared" si="91"/>
        <v/>
      </c>
      <c r="I1197" s="18" t="str">
        <f t="shared" ca="1" si="92"/>
        <v/>
      </c>
      <c r="J1197" s="5" t="str">
        <f t="shared" si="93"/>
        <v/>
      </c>
      <c r="K1197" s="25"/>
      <c r="L1197" s="5" t="str">
        <f t="shared" si="94"/>
        <v/>
      </c>
      <c r="M1197" s="7"/>
      <c r="N1197" s="7"/>
      <c r="O1197" s="7"/>
      <c r="P1197" s="20" t="str">
        <f>IF($A1197="","",INDEX(Project_Tracker!$I$2:$I$101,INT((ROW()-6)/17)+1))</f>
        <v/>
      </c>
      <c r="Q1197" s="20" t="str">
        <f>IF($A1197="","",INDEX(Project_Tracker!$K$2:$K$101,INT((ROW()-6)/17)+1))</f>
        <v/>
      </c>
    </row>
    <row r="1198" spans="1:17" x14ac:dyDescent="0.2">
      <c r="A1198" s="20" t="str">
        <f>IF(INDEX(Project_Tracker!$AL$2:$AL$101,INT((ROW()-6)/17)+1)="","",INDEX(Project_Tracker!$AL$2:$AL$101,INT((ROW()-6)/17)+1))</f>
        <v/>
      </c>
      <c r="B1198" s="21" t="str">
        <f>IF($A1198="","",INDEX(Project_Tracker!$AM$2:$AM$101,INT((ROW()-6)/17)+1))</f>
        <v/>
      </c>
      <c r="C1198" s="20" t="str">
        <f>IF($A1198="","",INDEX(Project_Tracker!$C$2:$C$101,INT((ROW()-6)/17)+1))</f>
        <v/>
      </c>
      <c r="D1198" s="6" t="str">
        <f>IF($A1198="","",INDEX(Project_Tracker!$T$2:$T$101,INT((ROW()-6)/17)+1))</f>
        <v/>
      </c>
      <c r="E1198" s="18">
        <f t="shared" si="90"/>
        <v>3</v>
      </c>
      <c r="F1198" s="23" t="str">
        <f>IF($A1198="","",INDEX('Logic &amp; Lists'!$I$4:$I$20,$E1198))</f>
        <v/>
      </c>
      <c r="G1198" s="18" t="str">
        <f>IF($A1198="","",INDEX('Logic &amp; Lists'!$J$4:$J$20,$E1198))</f>
        <v/>
      </c>
      <c r="H1198" s="6" t="str">
        <f t="shared" si="91"/>
        <v/>
      </c>
      <c r="I1198" s="18" t="str">
        <f t="shared" ca="1" si="92"/>
        <v/>
      </c>
      <c r="J1198" s="5" t="str">
        <f t="shared" si="93"/>
        <v/>
      </c>
      <c r="K1198" s="25"/>
      <c r="L1198" s="5" t="str">
        <f t="shared" si="94"/>
        <v/>
      </c>
      <c r="M1198" s="7"/>
      <c r="N1198" s="7"/>
      <c r="O1198" s="7"/>
      <c r="P1198" s="20" t="str">
        <f>IF($A1198="","",INDEX(Project_Tracker!$I$2:$I$101,INT((ROW()-6)/17)+1))</f>
        <v/>
      </c>
      <c r="Q1198" s="20" t="str">
        <f>IF($A1198="","",INDEX(Project_Tracker!$K$2:$K$101,INT((ROW()-6)/17)+1))</f>
        <v/>
      </c>
    </row>
    <row r="1199" spans="1:17" x14ac:dyDescent="0.2">
      <c r="A1199" s="20" t="str">
        <f>IF(INDEX(Project_Tracker!$AL$2:$AL$101,INT((ROW()-6)/17)+1)="","",INDEX(Project_Tracker!$AL$2:$AL$101,INT((ROW()-6)/17)+1))</f>
        <v/>
      </c>
      <c r="B1199" s="21" t="str">
        <f>IF($A1199="","",INDEX(Project_Tracker!$AM$2:$AM$101,INT((ROW()-6)/17)+1))</f>
        <v/>
      </c>
      <c r="C1199" s="20" t="str">
        <f>IF($A1199="","",INDEX(Project_Tracker!$C$2:$C$101,INT((ROW()-6)/17)+1))</f>
        <v/>
      </c>
      <c r="D1199" s="6" t="str">
        <f>IF($A1199="","",INDEX(Project_Tracker!$T$2:$T$101,INT((ROW()-6)/17)+1))</f>
        <v/>
      </c>
      <c r="E1199" s="18">
        <f t="shared" si="90"/>
        <v>4</v>
      </c>
      <c r="F1199" s="23" t="str">
        <f>IF($A1199="","",INDEX('Logic &amp; Lists'!$I$4:$I$20,$E1199))</f>
        <v/>
      </c>
      <c r="G1199" s="18" t="str">
        <f>IF($A1199="","",INDEX('Logic &amp; Lists'!$J$4:$J$20,$E1199))</f>
        <v/>
      </c>
      <c r="H1199" s="6" t="str">
        <f t="shared" si="91"/>
        <v/>
      </c>
      <c r="I1199" s="18" t="str">
        <f t="shared" ca="1" si="92"/>
        <v/>
      </c>
      <c r="J1199" s="5" t="str">
        <f t="shared" si="93"/>
        <v/>
      </c>
      <c r="K1199" s="25"/>
      <c r="L1199" s="5" t="str">
        <f t="shared" si="94"/>
        <v/>
      </c>
      <c r="M1199" s="7"/>
      <c r="N1199" s="7"/>
      <c r="O1199" s="7"/>
      <c r="P1199" s="20" t="str">
        <f>IF($A1199="","",INDEX(Project_Tracker!$I$2:$I$101,INT((ROW()-6)/17)+1))</f>
        <v/>
      </c>
      <c r="Q1199" s="20" t="str">
        <f>IF($A1199="","",INDEX(Project_Tracker!$K$2:$K$101,INT((ROW()-6)/17)+1))</f>
        <v/>
      </c>
    </row>
    <row r="1200" spans="1:17" x14ac:dyDescent="0.2">
      <c r="A1200" s="20" t="str">
        <f>IF(INDEX(Project_Tracker!$AL$2:$AL$101,INT((ROW()-6)/17)+1)="","",INDEX(Project_Tracker!$AL$2:$AL$101,INT((ROW()-6)/17)+1))</f>
        <v/>
      </c>
      <c r="B1200" s="21" t="str">
        <f>IF($A1200="","",INDEX(Project_Tracker!$AM$2:$AM$101,INT((ROW()-6)/17)+1))</f>
        <v/>
      </c>
      <c r="C1200" s="20" t="str">
        <f>IF($A1200="","",INDEX(Project_Tracker!$C$2:$C$101,INT((ROW()-6)/17)+1))</f>
        <v/>
      </c>
      <c r="D1200" s="6" t="str">
        <f>IF($A1200="","",INDEX(Project_Tracker!$T$2:$T$101,INT((ROW()-6)/17)+1))</f>
        <v/>
      </c>
      <c r="E1200" s="18">
        <f t="shared" si="90"/>
        <v>5</v>
      </c>
      <c r="F1200" s="23" t="str">
        <f>IF($A1200="","",INDEX('Logic &amp; Lists'!$I$4:$I$20,$E1200))</f>
        <v/>
      </c>
      <c r="G1200" s="18" t="str">
        <f>IF($A1200="","",INDEX('Logic &amp; Lists'!$J$4:$J$20,$E1200))</f>
        <v/>
      </c>
      <c r="H1200" s="6" t="str">
        <f t="shared" si="91"/>
        <v/>
      </c>
      <c r="I1200" s="18" t="str">
        <f t="shared" ca="1" si="92"/>
        <v/>
      </c>
      <c r="J1200" s="5" t="str">
        <f t="shared" si="93"/>
        <v/>
      </c>
      <c r="K1200" s="25"/>
      <c r="L1200" s="5" t="str">
        <f t="shared" si="94"/>
        <v/>
      </c>
      <c r="M1200" s="7"/>
      <c r="N1200" s="7"/>
      <c r="O1200" s="7"/>
      <c r="P1200" s="20" t="str">
        <f>IF($A1200="","",INDEX(Project_Tracker!$I$2:$I$101,INT((ROW()-6)/17)+1))</f>
        <v/>
      </c>
      <c r="Q1200" s="20" t="str">
        <f>IF($A1200="","",INDEX(Project_Tracker!$K$2:$K$101,INT((ROW()-6)/17)+1))</f>
        <v/>
      </c>
    </row>
    <row r="1201" spans="1:17" x14ac:dyDescent="0.2">
      <c r="A1201" s="20" t="str">
        <f>IF(INDEX(Project_Tracker!$AL$2:$AL$101,INT((ROW()-6)/17)+1)="","",INDEX(Project_Tracker!$AL$2:$AL$101,INT((ROW()-6)/17)+1))</f>
        <v/>
      </c>
      <c r="B1201" s="21" t="str">
        <f>IF($A1201="","",INDEX(Project_Tracker!$AM$2:$AM$101,INT((ROW()-6)/17)+1))</f>
        <v/>
      </c>
      <c r="C1201" s="20" t="str">
        <f>IF($A1201="","",INDEX(Project_Tracker!$C$2:$C$101,INT((ROW()-6)/17)+1))</f>
        <v/>
      </c>
      <c r="D1201" s="6" t="str">
        <f>IF($A1201="","",INDEX(Project_Tracker!$T$2:$T$101,INT((ROW()-6)/17)+1))</f>
        <v/>
      </c>
      <c r="E1201" s="18">
        <f t="shared" si="90"/>
        <v>6</v>
      </c>
      <c r="F1201" s="23" t="str">
        <f>IF($A1201="","",INDEX('Logic &amp; Lists'!$I$4:$I$20,$E1201))</f>
        <v/>
      </c>
      <c r="G1201" s="18" t="str">
        <f>IF($A1201="","",INDEX('Logic &amp; Lists'!$J$4:$J$20,$E1201))</f>
        <v/>
      </c>
      <c r="H1201" s="6" t="str">
        <f t="shared" si="91"/>
        <v/>
      </c>
      <c r="I1201" s="18" t="str">
        <f t="shared" ca="1" si="92"/>
        <v/>
      </c>
      <c r="J1201" s="5" t="str">
        <f t="shared" si="93"/>
        <v/>
      </c>
      <c r="K1201" s="25"/>
      <c r="L1201" s="5" t="str">
        <f t="shared" si="94"/>
        <v/>
      </c>
      <c r="M1201" s="7"/>
      <c r="N1201" s="7"/>
      <c r="O1201" s="7"/>
      <c r="P1201" s="20" t="str">
        <f>IF($A1201="","",INDEX(Project_Tracker!$I$2:$I$101,INT((ROW()-6)/17)+1))</f>
        <v/>
      </c>
      <c r="Q1201" s="20" t="str">
        <f>IF($A1201="","",INDEX(Project_Tracker!$K$2:$K$101,INT((ROW()-6)/17)+1))</f>
        <v/>
      </c>
    </row>
    <row r="1202" spans="1:17" x14ac:dyDescent="0.2">
      <c r="A1202" s="20" t="str">
        <f>IF(INDEX(Project_Tracker!$AL$2:$AL$101,INT((ROW()-6)/17)+1)="","",INDEX(Project_Tracker!$AL$2:$AL$101,INT((ROW()-6)/17)+1))</f>
        <v/>
      </c>
      <c r="B1202" s="21" t="str">
        <f>IF($A1202="","",INDEX(Project_Tracker!$AM$2:$AM$101,INT((ROW()-6)/17)+1))</f>
        <v/>
      </c>
      <c r="C1202" s="20" t="str">
        <f>IF($A1202="","",INDEX(Project_Tracker!$C$2:$C$101,INT((ROW()-6)/17)+1))</f>
        <v/>
      </c>
      <c r="D1202" s="6" t="str">
        <f>IF($A1202="","",INDEX(Project_Tracker!$T$2:$T$101,INT((ROW()-6)/17)+1))</f>
        <v/>
      </c>
      <c r="E1202" s="18">
        <f t="shared" si="90"/>
        <v>7</v>
      </c>
      <c r="F1202" s="23" t="str">
        <f>IF($A1202="","",INDEX('Logic &amp; Lists'!$I$4:$I$20,$E1202))</f>
        <v/>
      </c>
      <c r="G1202" s="18" t="str">
        <f>IF($A1202="","",INDEX('Logic &amp; Lists'!$J$4:$J$20,$E1202))</f>
        <v/>
      </c>
      <c r="H1202" s="6" t="str">
        <f t="shared" si="91"/>
        <v/>
      </c>
      <c r="I1202" s="18" t="str">
        <f t="shared" ca="1" si="92"/>
        <v/>
      </c>
      <c r="J1202" s="5" t="str">
        <f t="shared" si="93"/>
        <v/>
      </c>
      <c r="K1202" s="25"/>
      <c r="L1202" s="5" t="str">
        <f t="shared" si="94"/>
        <v/>
      </c>
      <c r="M1202" s="7"/>
      <c r="N1202" s="7"/>
      <c r="O1202" s="7"/>
      <c r="P1202" s="20" t="str">
        <f>IF($A1202="","",INDEX(Project_Tracker!$I$2:$I$101,INT((ROW()-6)/17)+1))</f>
        <v/>
      </c>
      <c r="Q1202" s="20" t="str">
        <f>IF($A1202="","",INDEX(Project_Tracker!$K$2:$K$101,INT((ROW()-6)/17)+1))</f>
        <v/>
      </c>
    </row>
    <row r="1203" spans="1:17" x14ac:dyDescent="0.2">
      <c r="A1203" s="20" t="str">
        <f>IF(INDEX(Project_Tracker!$AL$2:$AL$101,INT((ROW()-6)/17)+1)="","",INDEX(Project_Tracker!$AL$2:$AL$101,INT((ROW()-6)/17)+1))</f>
        <v/>
      </c>
      <c r="B1203" s="21" t="str">
        <f>IF($A1203="","",INDEX(Project_Tracker!$AM$2:$AM$101,INT((ROW()-6)/17)+1))</f>
        <v/>
      </c>
      <c r="C1203" s="20" t="str">
        <f>IF($A1203="","",INDEX(Project_Tracker!$C$2:$C$101,INT((ROW()-6)/17)+1))</f>
        <v/>
      </c>
      <c r="D1203" s="6" t="str">
        <f>IF($A1203="","",INDEX(Project_Tracker!$T$2:$T$101,INT((ROW()-6)/17)+1))</f>
        <v/>
      </c>
      <c r="E1203" s="18">
        <f t="shared" si="90"/>
        <v>8</v>
      </c>
      <c r="F1203" s="23" t="str">
        <f>IF($A1203="","",INDEX('Logic &amp; Lists'!$I$4:$I$20,$E1203))</f>
        <v/>
      </c>
      <c r="G1203" s="18" t="str">
        <f>IF($A1203="","",INDEX('Logic &amp; Lists'!$J$4:$J$20,$E1203))</f>
        <v/>
      </c>
      <c r="H1203" s="6" t="str">
        <f t="shared" si="91"/>
        <v/>
      </c>
      <c r="I1203" s="18" t="str">
        <f t="shared" ca="1" si="92"/>
        <v/>
      </c>
      <c r="J1203" s="5" t="str">
        <f t="shared" si="93"/>
        <v/>
      </c>
      <c r="K1203" s="25"/>
      <c r="L1203" s="5" t="str">
        <f t="shared" si="94"/>
        <v/>
      </c>
      <c r="M1203" s="7"/>
      <c r="N1203" s="7"/>
      <c r="O1203" s="7"/>
      <c r="P1203" s="20" t="str">
        <f>IF($A1203="","",INDEX(Project_Tracker!$I$2:$I$101,INT((ROW()-6)/17)+1))</f>
        <v/>
      </c>
      <c r="Q1203" s="20" t="str">
        <f>IF($A1203="","",INDEX(Project_Tracker!$K$2:$K$101,INT((ROW()-6)/17)+1))</f>
        <v/>
      </c>
    </row>
    <row r="1204" spans="1:17" x14ac:dyDescent="0.2">
      <c r="A1204" s="20" t="str">
        <f>IF(INDEX(Project_Tracker!$AL$2:$AL$101,INT((ROW()-6)/17)+1)="","",INDEX(Project_Tracker!$AL$2:$AL$101,INT((ROW()-6)/17)+1))</f>
        <v/>
      </c>
      <c r="B1204" s="21" t="str">
        <f>IF($A1204="","",INDEX(Project_Tracker!$AM$2:$AM$101,INT((ROW()-6)/17)+1))</f>
        <v/>
      </c>
      <c r="C1204" s="20" t="str">
        <f>IF($A1204="","",INDEX(Project_Tracker!$C$2:$C$101,INT((ROW()-6)/17)+1))</f>
        <v/>
      </c>
      <c r="D1204" s="6" t="str">
        <f>IF($A1204="","",INDEX(Project_Tracker!$T$2:$T$101,INT((ROW()-6)/17)+1))</f>
        <v/>
      </c>
      <c r="E1204" s="18">
        <f t="shared" si="90"/>
        <v>9</v>
      </c>
      <c r="F1204" s="23" t="str">
        <f>IF($A1204="","",INDEX('Logic &amp; Lists'!$I$4:$I$20,$E1204))</f>
        <v/>
      </c>
      <c r="G1204" s="18" t="str">
        <f>IF($A1204="","",INDEX('Logic &amp; Lists'!$J$4:$J$20,$E1204))</f>
        <v/>
      </c>
      <c r="H1204" s="6" t="str">
        <f t="shared" si="91"/>
        <v/>
      </c>
      <c r="I1204" s="18" t="str">
        <f t="shared" ca="1" si="92"/>
        <v/>
      </c>
      <c r="J1204" s="5" t="str">
        <f t="shared" si="93"/>
        <v/>
      </c>
      <c r="K1204" s="25"/>
      <c r="L1204" s="5" t="str">
        <f t="shared" si="94"/>
        <v/>
      </c>
      <c r="M1204" s="7"/>
      <c r="N1204" s="7"/>
      <c r="O1204" s="7"/>
      <c r="P1204" s="20" t="str">
        <f>IF($A1204="","",INDEX(Project_Tracker!$I$2:$I$101,INT((ROW()-6)/17)+1))</f>
        <v/>
      </c>
      <c r="Q1204" s="20" t="str">
        <f>IF($A1204="","",INDEX(Project_Tracker!$K$2:$K$101,INT((ROW()-6)/17)+1))</f>
        <v/>
      </c>
    </row>
    <row r="1205" spans="1:17" x14ac:dyDescent="0.2">
      <c r="A1205" s="20" t="str">
        <f>IF(INDEX(Project_Tracker!$AL$2:$AL$101,INT((ROW()-6)/17)+1)="","",INDEX(Project_Tracker!$AL$2:$AL$101,INT((ROW()-6)/17)+1))</f>
        <v/>
      </c>
      <c r="B1205" s="21" t="str">
        <f>IF($A1205="","",INDEX(Project_Tracker!$AM$2:$AM$101,INT((ROW()-6)/17)+1))</f>
        <v/>
      </c>
      <c r="C1205" s="20" t="str">
        <f>IF($A1205="","",INDEX(Project_Tracker!$C$2:$C$101,INT((ROW()-6)/17)+1))</f>
        <v/>
      </c>
      <c r="D1205" s="6" t="str">
        <f>IF($A1205="","",INDEX(Project_Tracker!$T$2:$T$101,INT((ROW()-6)/17)+1))</f>
        <v/>
      </c>
      <c r="E1205" s="18">
        <f t="shared" si="90"/>
        <v>10</v>
      </c>
      <c r="F1205" s="23" t="str">
        <f>IF($A1205="","",INDEX('Logic &amp; Lists'!$I$4:$I$20,$E1205))</f>
        <v/>
      </c>
      <c r="G1205" s="18" t="str">
        <f>IF($A1205="","",INDEX('Logic &amp; Lists'!$J$4:$J$20,$E1205))</f>
        <v/>
      </c>
      <c r="H1205" s="6" t="str">
        <f t="shared" si="91"/>
        <v/>
      </c>
      <c r="I1205" s="18" t="str">
        <f t="shared" ca="1" si="92"/>
        <v/>
      </c>
      <c r="J1205" s="5" t="str">
        <f t="shared" si="93"/>
        <v/>
      </c>
      <c r="K1205" s="25"/>
      <c r="L1205" s="5" t="str">
        <f t="shared" si="94"/>
        <v/>
      </c>
      <c r="M1205" s="7"/>
      <c r="N1205" s="7"/>
      <c r="O1205" s="7"/>
      <c r="P1205" s="20" t="str">
        <f>IF($A1205="","",INDEX(Project_Tracker!$I$2:$I$101,INT((ROW()-6)/17)+1))</f>
        <v/>
      </c>
      <c r="Q1205" s="20" t="str">
        <f>IF($A1205="","",INDEX(Project_Tracker!$K$2:$K$101,INT((ROW()-6)/17)+1))</f>
        <v/>
      </c>
    </row>
    <row r="1206" spans="1:17" x14ac:dyDescent="0.2">
      <c r="A1206" s="20" t="str">
        <f>IF(INDEX(Project_Tracker!$AL$2:$AL$101,INT((ROW()-6)/17)+1)="","",INDEX(Project_Tracker!$AL$2:$AL$101,INT((ROW()-6)/17)+1))</f>
        <v/>
      </c>
      <c r="B1206" s="21" t="str">
        <f>IF($A1206="","",INDEX(Project_Tracker!$AM$2:$AM$101,INT((ROW()-6)/17)+1))</f>
        <v/>
      </c>
      <c r="C1206" s="20" t="str">
        <f>IF($A1206="","",INDEX(Project_Tracker!$C$2:$C$101,INT((ROW()-6)/17)+1))</f>
        <v/>
      </c>
      <c r="D1206" s="6" t="str">
        <f>IF($A1206="","",INDEX(Project_Tracker!$T$2:$T$101,INT((ROW()-6)/17)+1))</f>
        <v/>
      </c>
      <c r="E1206" s="18">
        <f t="shared" si="90"/>
        <v>11</v>
      </c>
      <c r="F1206" s="23" t="str">
        <f>IF($A1206="","",INDEX('Logic &amp; Lists'!$I$4:$I$20,$E1206))</f>
        <v/>
      </c>
      <c r="G1206" s="18" t="str">
        <f>IF($A1206="","",INDEX('Logic &amp; Lists'!$J$4:$J$20,$E1206))</f>
        <v/>
      </c>
      <c r="H1206" s="6" t="str">
        <f t="shared" si="91"/>
        <v/>
      </c>
      <c r="I1206" s="18" t="str">
        <f t="shared" ca="1" si="92"/>
        <v/>
      </c>
      <c r="J1206" s="5" t="str">
        <f t="shared" si="93"/>
        <v/>
      </c>
      <c r="K1206" s="25"/>
      <c r="L1206" s="5" t="str">
        <f t="shared" si="94"/>
        <v/>
      </c>
      <c r="M1206" s="7"/>
      <c r="N1206" s="7"/>
      <c r="O1206" s="7"/>
      <c r="P1206" s="20" t="str">
        <f>IF($A1206="","",INDEX(Project_Tracker!$I$2:$I$101,INT((ROW()-6)/17)+1))</f>
        <v/>
      </c>
      <c r="Q1206" s="20" t="str">
        <f>IF($A1206="","",INDEX(Project_Tracker!$K$2:$K$101,INT((ROW()-6)/17)+1))</f>
        <v/>
      </c>
    </row>
    <row r="1207" spans="1:17" x14ac:dyDescent="0.2">
      <c r="A1207" s="20" t="str">
        <f>IF(INDEX(Project_Tracker!$AL$2:$AL$101,INT((ROW()-6)/17)+1)="","",INDEX(Project_Tracker!$AL$2:$AL$101,INT((ROW()-6)/17)+1))</f>
        <v/>
      </c>
      <c r="B1207" s="21" t="str">
        <f>IF($A1207="","",INDEX(Project_Tracker!$AM$2:$AM$101,INT((ROW()-6)/17)+1))</f>
        <v/>
      </c>
      <c r="C1207" s="20" t="str">
        <f>IF($A1207="","",INDEX(Project_Tracker!$C$2:$C$101,INT((ROW()-6)/17)+1))</f>
        <v/>
      </c>
      <c r="D1207" s="6" t="str">
        <f>IF($A1207="","",INDEX(Project_Tracker!$T$2:$T$101,INT((ROW()-6)/17)+1))</f>
        <v/>
      </c>
      <c r="E1207" s="18">
        <f t="shared" si="90"/>
        <v>12</v>
      </c>
      <c r="F1207" s="23" t="str">
        <f>IF($A1207="","",INDEX('Logic &amp; Lists'!$I$4:$I$20,$E1207))</f>
        <v/>
      </c>
      <c r="G1207" s="18" t="str">
        <f>IF($A1207="","",INDEX('Logic &amp; Lists'!$J$4:$J$20,$E1207))</f>
        <v/>
      </c>
      <c r="H1207" s="6" t="str">
        <f t="shared" si="91"/>
        <v/>
      </c>
      <c r="I1207" s="18" t="str">
        <f t="shared" ca="1" si="92"/>
        <v/>
      </c>
      <c r="J1207" s="5" t="str">
        <f t="shared" si="93"/>
        <v/>
      </c>
      <c r="K1207" s="25"/>
      <c r="L1207" s="5" t="str">
        <f t="shared" si="94"/>
        <v/>
      </c>
      <c r="M1207" s="7"/>
      <c r="N1207" s="7"/>
      <c r="O1207" s="7"/>
      <c r="P1207" s="20" t="str">
        <f>IF($A1207="","",INDEX(Project_Tracker!$I$2:$I$101,INT((ROW()-6)/17)+1))</f>
        <v/>
      </c>
      <c r="Q1207" s="20" t="str">
        <f>IF($A1207="","",INDEX(Project_Tracker!$K$2:$K$101,INT((ROW()-6)/17)+1))</f>
        <v/>
      </c>
    </row>
    <row r="1208" spans="1:17" x14ac:dyDescent="0.2">
      <c r="A1208" s="20" t="str">
        <f>IF(INDEX(Project_Tracker!$AL$2:$AL$101,INT((ROW()-6)/17)+1)="","",INDEX(Project_Tracker!$AL$2:$AL$101,INT((ROW()-6)/17)+1))</f>
        <v/>
      </c>
      <c r="B1208" s="21" t="str">
        <f>IF($A1208="","",INDEX(Project_Tracker!$AM$2:$AM$101,INT((ROW()-6)/17)+1))</f>
        <v/>
      </c>
      <c r="C1208" s="20" t="str">
        <f>IF($A1208="","",INDEX(Project_Tracker!$C$2:$C$101,INT((ROW()-6)/17)+1))</f>
        <v/>
      </c>
      <c r="D1208" s="6" t="str">
        <f>IF($A1208="","",INDEX(Project_Tracker!$T$2:$T$101,INT((ROW()-6)/17)+1))</f>
        <v/>
      </c>
      <c r="E1208" s="18">
        <f t="shared" si="90"/>
        <v>13</v>
      </c>
      <c r="F1208" s="23" t="str">
        <f>IF($A1208="","",INDEX('Logic &amp; Lists'!$I$4:$I$20,$E1208))</f>
        <v/>
      </c>
      <c r="G1208" s="18" t="str">
        <f>IF($A1208="","",INDEX('Logic &amp; Lists'!$J$4:$J$20,$E1208))</f>
        <v/>
      </c>
      <c r="H1208" s="6" t="str">
        <f t="shared" si="91"/>
        <v/>
      </c>
      <c r="I1208" s="18" t="str">
        <f t="shared" ca="1" si="92"/>
        <v/>
      </c>
      <c r="J1208" s="5" t="str">
        <f t="shared" si="93"/>
        <v/>
      </c>
      <c r="K1208" s="25"/>
      <c r="L1208" s="5" t="str">
        <f t="shared" si="94"/>
        <v/>
      </c>
      <c r="M1208" s="7"/>
      <c r="N1208" s="7"/>
      <c r="O1208" s="7"/>
      <c r="P1208" s="20" t="str">
        <f>IF($A1208="","",INDEX(Project_Tracker!$I$2:$I$101,INT((ROW()-6)/17)+1))</f>
        <v/>
      </c>
      <c r="Q1208" s="20" t="str">
        <f>IF($A1208="","",INDEX(Project_Tracker!$K$2:$K$101,INT((ROW()-6)/17)+1))</f>
        <v/>
      </c>
    </row>
    <row r="1209" spans="1:17" x14ac:dyDescent="0.2">
      <c r="A1209" s="20" t="str">
        <f>IF(INDEX(Project_Tracker!$AL$2:$AL$101,INT((ROW()-6)/17)+1)="","",INDEX(Project_Tracker!$AL$2:$AL$101,INT((ROW()-6)/17)+1))</f>
        <v/>
      </c>
      <c r="B1209" s="21" t="str">
        <f>IF($A1209="","",INDEX(Project_Tracker!$AM$2:$AM$101,INT((ROW()-6)/17)+1))</f>
        <v/>
      </c>
      <c r="C1209" s="20" t="str">
        <f>IF($A1209="","",INDEX(Project_Tracker!$C$2:$C$101,INT((ROW()-6)/17)+1))</f>
        <v/>
      </c>
      <c r="D1209" s="6" t="str">
        <f>IF($A1209="","",INDEX(Project_Tracker!$T$2:$T$101,INT((ROW()-6)/17)+1))</f>
        <v/>
      </c>
      <c r="E1209" s="18">
        <f t="shared" si="90"/>
        <v>14</v>
      </c>
      <c r="F1209" s="23" t="str">
        <f>IF($A1209="","",INDEX('Logic &amp; Lists'!$I$4:$I$20,$E1209))</f>
        <v/>
      </c>
      <c r="G1209" s="18" t="str">
        <f>IF($A1209="","",INDEX('Logic &amp; Lists'!$J$4:$J$20,$E1209))</f>
        <v/>
      </c>
      <c r="H1209" s="6" t="str">
        <f t="shared" si="91"/>
        <v/>
      </c>
      <c r="I1209" s="18" t="str">
        <f t="shared" ca="1" si="92"/>
        <v/>
      </c>
      <c r="J1209" s="5" t="str">
        <f t="shared" si="93"/>
        <v/>
      </c>
      <c r="K1209" s="25"/>
      <c r="L1209" s="5" t="str">
        <f t="shared" si="94"/>
        <v/>
      </c>
      <c r="M1209" s="7"/>
      <c r="N1209" s="7"/>
      <c r="O1209" s="7"/>
      <c r="P1209" s="20" t="str">
        <f>IF($A1209="","",INDEX(Project_Tracker!$I$2:$I$101,INT((ROW()-6)/17)+1))</f>
        <v/>
      </c>
      <c r="Q1209" s="20" t="str">
        <f>IF($A1209="","",INDEX(Project_Tracker!$K$2:$K$101,INT((ROW()-6)/17)+1))</f>
        <v/>
      </c>
    </row>
    <row r="1210" spans="1:17" x14ac:dyDescent="0.2">
      <c r="A1210" s="20" t="str">
        <f>IF(INDEX(Project_Tracker!$AL$2:$AL$101,INT((ROW()-6)/17)+1)="","",INDEX(Project_Tracker!$AL$2:$AL$101,INT((ROW()-6)/17)+1))</f>
        <v/>
      </c>
      <c r="B1210" s="21" t="str">
        <f>IF($A1210="","",INDEX(Project_Tracker!$AM$2:$AM$101,INT((ROW()-6)/17)+1))</f>
        <v/>
      </c>
      <c r="C1210" s="20" t="str">
        <f>IF($A1210="","",INDEX(Project_Tracker!$C$2:$C$101,INT((ROW()-6)/17)+1))</f>
        <v/>
      </c>
      <c r="D1210" s="6" t="str">
        <f>IF($A1210="","",INDEX(Project_Tracker!$T$2:$T$101,INT((ROW()-6)/17)+1))</f>
        <v/>
      </c>
      <c r="E1210" s="18">
        <f t="shared" si="90"/>
        <v>15</v>
      </c>
      <c r="F1210" s="23" t="str">
        <f>IF($A1210="","",INDEX('Logic &amp; Lists'!$I$4:$I$20,$E1210))</f>
        <v/>
      </c>
      <c r="G1210" s="18" t="str">
        <f>IF($A1210="","",INDEX('Logic &amp; Lists'!$J$4:$J$20,$E1210))</f>
        <v/>
      </c>
      <c r="H1210" s="6" t="str">
        <f t="shared" si="91"/>
        <v/>
      </c>
      <c r="I1210" s="18" t="str">
        <f t="shared" ca="1" si="92"/>
        <v/>
      </c>
      <c r="J1210" s="5" t="str">
        <f t="shared" si="93"/>
        <v/>
      </c>
      <c r="K1210" s="25"/>
      <c r="L1210" s="5" t="str">
        <f t="shared" si="94"/>
        <v/>
      </c>
      <c r="M1210" s="7"/>
      <c r="N1210" s="7"/>
      <c r="O1210" s="7"/>
      <c r="P1210" s="20" t="str">
        <f>IF($A1210="","",INDEX(Project_Tracker!$I$2:$I$101,INT((ROW()-6)/17)+1))</f>
        <v/>
      </c>
      <c r="Q1210" s="20" t="str">
        <f>IF($A1210="","",INDEX(Project_Tracker!$K$2:$K$101,INT((ROW()-6)/17)+1))</f>
        <v/>
      </c>
    </row>
    <row r="1211" spans="1:17" x14ac:dyDescent="0.2">
      <c r="A1211" s="20" t="str">
        <f>IF(INDEX(Project_Tracker!$AL$2:$AL$101,INT((ROW()-6)/17)+1)="","",INDEX(Project_Tracker!$AL$2:$AL$101,INT((ROW()-6)/17)+1))</f>
        <v/>
      </c>
      <c r="B1211" s="21" t="str">
        <f>IF($A1211="","",INDEX(Project_Tracker!$AM$2:$AM$101,INT((ROW()-6)/17)+1))</f>
        <v/>
      </c>
      <c r="C1211" s="20" t="str">
        <f>IF($A1211="","",INDEX(Project_Tracker!$C$2:$C$101,INT((ROW()-6)/17)+1))</f>
        <v/>
      </c>
      <c r="D1211" s="6" t="str">
        <f>IF($A1211="","",INDEX(Project_Tracker!$T$2:$T$101,INT((ROW()-6)/17)+1))</f>
        <v/>
      </c>
      <c r="E1211" s="18">
        <f t="shared" si="90"/>
        <v>16</v>
      </c>
      <c r="F1211" s="23" t="str">
        <f>IF($A1211="","",INDEX('Logic &amp; Lists'!$I$4:$I$20,$E1211))</f>
        <v/>
      </c>
      <c r="G1211" s="18" t="str">
        <f>IF($A1211="","",INDEX('Logic &amp; Lists'!$J$4:$J$20,$E1211))</f>
        <v/>
      </c>
      <c r="H1211" s="6" t="str">
        <f t="shared" si="91"/>
        <v/>
      </c>
      <c r="I1211" s="18" t="str">
        <f t="shared" ca="1" si="92"/>
        <v/>
      </c>
      <c r="J1211" s="5" t="str">
        <f t="shared" si="93"/>
        <v/>
      </c>
      <c r="K1211" s="25"/>
      <c r="L1211" s="5" t="str">
        <f t="shared" si="94"/>
        <v/>
      </c>
      <c r="M1211" s="7"/>
      <c r="N1211" s="7"/>
      <c r="O1211" s="7"/>
      <c r="P1211" s="20" t="str">
        <f>IF($A1211="","",INDEX(Project_Tracker!$I$2:$I$101,INT((ROW()-6)/17)+1))</f>
        <v/>
      </c>
      <c r="Q1211" s="20" t="str">
        <f>IF($A1211="","",INDEX(Project_Tracker!$K$2:$K$101,INT((ROW()-6)/17)+1))</f>
        <v/>
      </c>
    </row>
    <row r="1212" spans="1:17" x14ac:dyDescent="0.2">
      <c r="A1212" s="20" t="str">
        <f>IF(INDEX(Project_Tracker!$AL$2:$AL$101,INT((ROW()-6)/17)+1)="","",INDEX(Project_Tracker!$AL$2:$AL$101,INT((ROW()-6)/17)+1))</f>
        <v/>
      </c>
      <c r="B1212" s="21" t="str">
        <f>IF($A1212="","",INDEX(Project_Tracker!$AM$2:$AM$101,INT((ROW()-6)/17)+1))</f>
        <v/>
      </c>
      <c r="C1212" s="20" t="str">
        <f>IF($A1212="","",INDEX(Project_Tracker!$C$2:$C$101,INT((ROW()-6)/17)+1))</f>
        <v/>
      </c>
      <c r="D1212" s="6" t="str">
        <f>IF($A1212="","",INDEX(Project_Tracker!$T$2:$T$101,INT((ROW()-6)/17)+1))</f>
        <v/>
      </c>
      <c r="E1212" s="18">
        <f t="shared" si="90"/>
        <v>17</v>
      </c>
      <c r="F1212" s="23" t="str">
        <f>IF($A1212="","",INDEX('Logic &amp; Lists'!$I$4:$I$20,$E1212))</f>
        <v/>
      </c>
      <c r="G1212" s="18" t="str">
        <f>IF($A1212="","",INDEX('Logic &amp; Lists'!$J$4:$J$20,$E1212))</f>
        <v/>
      </c>
      <c r="H1212" s="6" t="str">
        <f t="shared" si="91"/>
        <v/>
      </c>
      <c r="I1212" s="18" t="str">
        <f t="shared" ca="1" si="92"/>
        <v/>
      </c>
      <c r="J1212" s="5" t="str">
        <f t="shared" si="93"/>
        <v/>
      </c>
      <c r="K1212" s="25"/>
      <c r="L1212" s="5" t="str">
        <f t="shared" si="94"/>
        <v/>
      </c>
      <c r="M1212" s="7"/>
      <c r="N1212" s="7"/>
      <c r="O1212" s="7"/>
      <c r="P1212" s="20" t="str">
        <f>IF($A1212="","",INDEX(Project_Tracker!$I$2:$I$101,INT((ROW()-6)/17)+1))</f>
        <v/>
      </c>
      <c r="Q1212" s="20" t="str">
        <f>IF($A1212="","",INDEX(Project_Tracker!$K$2:$K$101,INT((ROW()-6)/17)+1))</f>
        <v/>
      </c>
    </row>
    <row r="1213" spans="1:17" x14ac:dyDescent="0.2">
      <c r="A1213" s="20" t="str">
        <f>IF(INDEX(Project_Tracker!$AL$2:$AL$101,INT((ROW()-6)/17)+1)="","",INDEX(Project_Tracker!$AL$2:$AL$101,INT((ROW()-6)/17)+1))</f>
        <v/>
      </c>
      <c r="B1213" s="21" t="str">
        <f>IF($A1213="","",INDEX(Project_Tracker!$AM$2:$AM$101,INT((ROW()-6)/17)+1))</f>
        <v/>
      </c>
      <c r="C1213" s="20" t="str">
        <f>IF($A1213="","",INDEX(Project_Tracker!$C$2:$C$101,INT((ROW()-6)/17)+1))</f>
        <v/>
      </c>
      <c r="D1213" s="6" t="str">
        <f>IF($A1213="","",INDEX(Project_Tracker!$T$2:$T$101,INT((ROW()-6)/17)+1))</f>
        <v/>
      </c>
      <c r="E1213" s="18">
        <f t="shared" si="90"/>
        <v>1</v>
      </c>
      <c r="F1213" s="23" t="str">
        <f>IF($A1213="","",INDEX('Logic &amp; Lists'!$I$4:$I$20,$E1213))</f>
        <v/>
      </c>
      <c r="G1213" s="18" t="str">
        <f>IF($A1213="","",INDEX('Logic &amp; Lists'!$J$4:$J$20,$E1213))</f>
        <v/>
      </c>
      <c r="H1213" s="6" t="str">
        <f t="shared" si="91"/>
        <v/>
      </c>
      <c r="I1213" s="18" t="str">
        <f t="shared" ca="1" si="92"/>
        <v/>
      </c>
      <c r="J1213" s="5" t="str">
        <f t="shared" si="93"/>
        <v/>
      </c>
      <c r="K1213" s="25"/>
      <c r="L1213" s="5" t="str">
        <f t="shared" si="94"/>
        <v/>
      </c>
      <c r="M1213" s="7"/>
      <c r="N1213" s="7"/>
      <c r="O1213" s="7"/>
      <c r="P1213" s="20" t="str">
        <f>IF($A1213="","",INDEX(Project_Tracker!$I$2:$I$101,INT((ROW()-6)/17)+1))</f>
        <v/>
      </c>
      <c r="Q1213" s="20" t="str">
        <f>IF($A1213="","",INDEX(Project_Tracker!$K$2:$K$101,INT((ROW()-6)/17)+1))</f>
        <v/>
      </c>
    </row>
    <row r="1214" spans="1:17" x14ac:dyDescent="0.2">
      <c r="A1214" s="20" t="str">
        <f>IF(INDEX(Project_Tracker!$AL$2:$AL$101,INT((ROW()-6)/17)+1)="","",INDEX(Project_Tracker!$AL$2:$AL$101,INT((ROW()-6)/17)+1))</f>
        <v/>
      </c>
      <c r="B1214" s="21" t="str">
        <f>IF($A1214="","",INDEX(Project_Tracker!$AM$2:$AM$101,INT((ROW()-6)/17)+1))</f>
        <v/>
      </c>
      <c r="C1214" s="20" t="str">
        <f>IF($A1214="","",INDEX(Project_Tracker!$C$2:$C$101,INT((ROW()-6)/17)+1))</f>
        <v/>
      </c>
      <c r="D1214" s="6" t="str">
        <f>IF($A1214="","",INDEX(Project_Tracker!$T$2:$T$101,INT((ROW()-6)/17)+1))</f>
        <v/>
      </c>
      <c r="E1214" s="18">
        <f t="shared" si="90"/>
        <v>2</v>
      </c>
      <c r="F1214" s="23" t="str">
        <f>IF($A1214="","",INDEX('Logic &amp; Lists'!$I$4:$I$20,$E1214))</f>
        <v/>
      </c>
      <c r="G1214" s="18" t="str">
        <f>IF($A1214="","",INDEX('Logic &amp; Lists'!$J$4:$J$20,$E1214))</f>
        <v/>
      </c>
      <c r="H1214" s="6" t="str">
        <f t="shared" si="91"/>
        <v/>
      </c>
      <c r="I1214" s="18" t="str">
        <f t="shared" ca="1" si="92"/>
        <v/>
      </c>
      <c r="J1214" s="5" t="str">
        <f t="shared" si="93"/>
        <v/>
      </c>
      <c r="K1214" s="25"/>
      <c r="L1214" s="5" t="str">
        <f t="shared" si="94"/>
        <v/>
      </c>
      <c r="M1214" s="7"/>
      <c r="N1214" s="7"/>
      <c r="O1214" s="7"/>
      <c r="P1214" s="20" t="str">
        <f>IF($A1214="","",INDEX(Project_Tracker!$I$2:$I$101,INT((ROW()-6)/17)+1))</f>
        <v/>
      </c>
      <c r="Q1214" s="20" t="str">
        <f>IF($A1214="","",INDEX(Project_Tracker!$K$2:$K$101,INT((ROW()-6)/17)+1))</f>
        <v/>
      </c>
    </row>
    <row r="1215" spans="1:17" x14ac:dyDescent="0.2">
      <c r="A1215" s="20" t="str">
        <f>IF(INDEX(Project_Tracker!$AL$2:$AL$101,INT((ROW()-6)/17)+1)="","",INDEX(Project_Tracker!$AL$2:$AL$101,INT((ROW()-6)/17)+1))</f>
        <v/>
      </c>
      <c r="B1215" s="21" t="str">
        <f>IF($A1215="","",INDEX(Project_Tracker!$AM$2:$AM$101,INT((ROW()-6)/17)+1))</f>
        <v/>
      </c>
      <c r="C1215" s="20" t="str">
        <f>IF($A1215="","",INDEX(Project_Tracker!$C$2:$C$101,INT((ROW()-6)/17)+1))</f>
        <v/>
      </c>
      <c r="D1215" s="6" t="str">
        <f>IF($A1215="","",INDEX(Project_Tracker!$T$2:$T$101,INT((ROW()-6)/17)+1))</f>
        <v/>
      </c>
      <c r="E1215" s="18">
        <f t="shared" si="90"/>
        <v>3</v>
      </c>
      <c r="F1215" s="23" t="str">
        <f>IF($A1215="","",INDEX('Logic &amp; Lists'!$I$4:$I$20,$E1215))</f>
        <v/>
      </c>
      <c r="G1215" s="18" t="str">
        <f>IF($A1215="","",INDEX('Logic &amp; Lists'!$J$4:$J$20,$E1215))</f>
        <v/>
      </c>
      <c r="H1215" s="6" t="str">
        <f t="shared" si="91"/>
        <v/>
      </c>
      <c r="I1215" s="18" t="str">
        <f t="shared" ca="1" si="92"/>
        <v/>
      </c>
      <c r="J1215" s="5" t="str">
        <f t="shared" si="93"/>
        <v/>
      </c>
      <c r="K1215" s="25"/>
      <c r="L1215" s="5" t="str">
        <f t="shared" si="94"/>
        <v/>
      </c>
      <c r="M1215" s="7"/>
      <c r="N1215" s="7"/>
      <c r="O1215" s="7"/>
      <c r="P1215" s="20" t="str">
        <f>IF($A1215="","",INDEX(Project_Tracker!$I$2:$I$101,INT((ROW()-6)/17)+1))</f>
        <v/>
      </c>
      <c r="Q1215" s="20" t="str">
        <f>IF($A1215="","",INDEX(Project_Tracker!$K$2:$K$101,INT((ROW()-6)/17)+1))</f>
        <v/>
      </c>
    </row>
    <row r="1216" spans="1:17" x14ac:dyDescent="0.2">
      <c r="A1216" s="20" t="str">
        <f>IF(INDEX(Project_Tracker!$AL$2:$AL$101,INT((ROW()-6)/17)+1)="","",INDEX(Project_Tracker!$AL$2:$AL$101,INT((ROW()-6)/17)+1))</f>
        <v/>
      </c>
      <c r="B1216" s="21" t="str">
        <f>IF($A1216="","",INDEX(Project_Tracker!$AM$2:$AM$101,INT((ROW()-6)/17)+1))</f>
        <v/>
      </c>
      <c r="C1216" s="20" t="str">
        <f>IF($A1216="","",INDEX(Project_Tracker!$C$2:$C$101,INT((ROW()-6)/17)+1))</f>
        <v/>
      </c>
      <c r="D1216" s="6" t="str">
        <f>IF($A1216="","",INDEX(Project_Tracker!$T$2:$T$101,INT((ROW()-6)/17)+1))</f>
        <v/>
      </c>
      <c r="E1216" s="18">
        <f t="shared" si="90"/>
        <v>4</v>
      </c>
      <c r="F1216" s="23" t="str">
        <f>IF($A1216="","",INDEX('Logic &amp; Lists'!$I$4:$I$20,$E1216))</f>
        <v/>
      </c>
      <c r="G1216" s="18" t="str">
        <f>IF($A1216="","",INDEX('Logic &amp; Lists'!$J$4:$J$20,$E1216))</f>
        <v/>
      </c>
      <c r="H1216" s="6" t="str">
        <f t="shared" si="91"/>
        <v/>
      </c>
      <c r="I1216" s="18" t="str">
        <f t="shared" ca="1" si="92"/>
        <v/>
      </c>
      <c r="J1216" s="5" t="str">
        <f t="shared" si="93"/>
        <v/>
      </c>
      <c r="K1216" s="25"/>
      <c r="L1216" s="5" t="str">
        <f t="shared" si="94"/>
        <v/>
      </c>
      <c r="M1216" s="7"/>
      <c r="N1216" s="7"/>
      <c r="O1216" s="7"/>
      <c r="P1216" s="20" t="str">
        <f>IF($A1216="","",INDEX(Project_Tracker!$I$2:$I$101,INT((ROW()-6)/17)+1))</f>
        <v/>
      </c>
      <c r="Q1216" s="20" t="str">
        <f>IF($A1216="","",INDEX(Project_Tracker!$K$2:$K$101,INT((ROW()-6)/17)+1))</f>
        <v/>
      </c>
    </row>
    <row r="1217" spans="1:17" x14ac:dyDescent="0.2">
      <c r="A1217" s="20" t="str">
        <f>IF(INDEX(Project_Tracker!$AL$2:$AL$101,INT((ROW()-6)/17)+1)="","",INDEX(Project_Tracker!$AL$2:$AL$101,INT((ROW()-6)/17)+1))</f>
        <v/>
      </c>
      <c r="B1217" s="21" t="str">
        <f>IF($A1217="","",INDEX(Project_Tracker!$AM$2:$AM$101,INT((ROW()-6)/17)+1))</f>
        <v/>
      </c>
      <c r="C1217" s="20" t="str">
        <f>IF($A1217="","",INDEX(Project_Tracker!$C$2:$C$101,INT((ROW()-6)/17)+1))</f>
        <v/>
      </c>
      <c r="D1217" s="6" t="str">
        <f>IF($A1217="","",INDEX(Project_Tracker!$T$2:$T$101,INT((ROW()-6)/17)+1))</f>
        <v/>
      </c>
      <c r="E1217" s="18">
        <f t="shared" si="90"/>
        <v>5</v>
      </c>
      <c r="F1217" s="23" t="str">
        <f>IF($A1217="","",INDEX('Logic &amp; Lists'!$I$4:$I$20,$E1217))</f>
        <v/>
      </c>
      <c r="G1217" s="18" t="str">
        <f>IF($A1217="","",INDEX('Logic &amp; Lists'!$J$4:$J$20,$E1217))</f>
        <v/>
      </c>
      <c r="H1217" s="6" t="str">
        <f t="shared" si="91"/>
        <v/>
      </c>
      <c r="I1217" s="18" t="str">
        <f t="shared" ca="1" si="92"/>
        <v/>
      </c>
      <c r="J1217" s="5" t="str">
        <f t="shared" si="93"/>
        <v/>
      </c>
      <c r="K1217" s="25"/>
      <c r="L1217" s="5" t="str">
        <f t="shared" si="94"/>
        <v/>
      </c>
      <c r="M1217" s="7"/>
      <c r="N1217" s="7"/>
      <c r="O1217" s="7"/>
      <c r="P1217" s="20" t="str">
        <f>IF($A1217="","",INDEX(Project_Tracker!$I$2:$I$101,INT((ROW()-6)/17)+1))</f>
        <v/>
      </c>
      <c r="Q1217" s="20" t="str">
        <f>IF($A1217="","",INDEX(Project_Tracker!$K$2:$K$101,INT((ROW()-6)/17)+1))</f>
        <v/>
      </c>
    </row>
    <row r="1218" spans="1:17" x14ac:dyDescent="0.2">
      <c r="A1218" s="20" t="str">
        <f>IF(INDEX(Project_Tracker!$AL$2:$AL$101,INT((ROW()-6)/17)+1)="","",INDEX(Project_Tracker!$AL$2:$AL$101,INT((ROW()-6)/17)+1))</f>
        <v/>
      </c>
      <c r="B1218" s="21" t="str">
        <f>IF($A1218="","",INDEX(Project_Tracker!$AM$2:$AM$101,INT((ROW()-6)/17)+1))</f>
        <v/>
      </c>
      <c r="C1218" s="20" t="str">
        <f>IF($A1218="","",INDEX(Project_Tracker!$C$2:$C$101,INT((ROW()-6)/17)+1))</f>
        <v/>
      </c>
      <c r="D1218" s="6" t="str">
        <f>IF($A1218="","",INDEX(Project_Tracker!$T$2:$T$101,INT((ROW()-6)/17)+1))</f>
        <v/>
      </c>
      <c r="E1218" s="18">
        <f t="shared" si="90"/>
        <v>6</v>
      </c>
      <c r="F1218" s="23" t="str">
        <f>IF($A1218="","",INDEX('Logic &amp; Lists'!$I$4:$I$20,$E1218))</f>
        <v/>
      </c>
      <c r="G1218" s="18" t="str">
        <f>IF($A1218="","",INDEX('Logic &amp; Lists'!$J$4:$J$20,$E1218))</f>
        <v/>
      </c>
      <c r="H1218" s="6" t="str">
        <f t="shared" si="91"/>
        <v/>
      </c>
      <c r="I1218" s="18" t="str">
        <f t="shared" ca="1" si="92"/>
        <v/>
      </c>
      <c r="J1218" s="5" t="str">
        <f t="shared" si="93"/>
        <v/>
      </c>
      <c r="K1218" s="25"/>
      <c r="L1218" s="5" t="str">
        <f t="shared" si="94"/>
        <v/>
      </c>
      <c r="M1218" s="7"/>
      <c r="N1218" s="7"/>
      <c r="O1218" s="7"/>
      <c r="P1218" s="20" t="str">
        <f>IF($A1218="","",INDEX(Project_Tracker!$I$2:$I$101,INT((ROW()-6)/17)+1))</f>
        <v/>
      </c>
      <c r="Q1218" s="20" t="str">
        <f>IF($A1218="","",INDEX(Project_Tracker!$K$2:$K$101,INT((ROW()-6)/17)+1))</f>
        <v/>
      </c>
    </row>
    <row r="1219" spans="1:17" x14ac:dyDescent="0.2">
      <c r="A1219" s="20" t="str">
        <f>IF(INDEX(Project_Tracker!$AL$2:$AL$101,INT((ROW()-6)/17)+1)="","",INDEX(Project_Tracker!$AL$2:$AL$101,INT((ROW()-6)/17)+1))</f>
        <v/>
      </c>
      <c r="B1219" s="21" t="str">
        <f>IF($A1219="","",INDEX(Project_Tracker!$AM$2:$AM$101,INT((ROW()-6)/17)+1))</f>
        <v/>
      </c>
      <c r="C1219" s="20" t="str">
        <f>IF($A1219="","",INDEX(Project_Tracker!$C$2:$C$101,INT((ROW()-6)/17)+1))</f>
        <v/>
      </c>
      <c r="D1219" s="6" t="str">
        <f>IF($A1219="","",INDEX(Project_Tracker!$T$2:$T$101,INT((ROW()-6)/17)+1))</f>
        <v/>
      </c>
      <c r="E1219" s="18">
        <f t="shared" si="90"/>
        <v>7</v>
      </c>
      <c r="F1219" s="23" t="str">
        <f>IF($A1219="","",INDEX('Logic &amp; Lists'!$I$4:$I$20,$E1219))</f>
        <v/>
      </c>
      <c r="G1219" s="18" t="str">
        <f>IF($A1219="","",INDEX('Logic &amp; Lists'!$J$4:$J$20,$E1219))</f>
        <v/>
      </c>
      <c r="H1219" s="6" t="str">
        <f t="shared" si="91"/>
        <v/>
      </c>
      <c r="I1219" s="18" t="str">
        <f t="shared" ca="1" si="92"/>
        <v/>
      </c>
      <c r="J1219" s="5" t="str">
        <f t="shared" si="93"/>
        <v/>
      </c>
      <c r="K1219" s="25"/>
      <c r="L1219" s="5" t="str">
        <f t="shared" si="94"/>
        <v/>
      </c>
      <c r="M1219" s="7"/>
      <c r="N1219" s="7"/>
      <c r="O1219" s="7"/>
      <c r="P1219" s="20" t="str">
        <f>IF($A1219="","",INDEX(Project_Tracker!$I$2:$I$101,INT((ROW()-6)/17)+1))</f>
        <v/>
      </c>
      <c r="Q1219" s="20" t="str">
        <f>IF($A1219="","",INDEX(Project_Tracker!$K$2:$K$101,INT((ROW()-6)/17)+1))</f>
        <v/>
      </c>
    </row>
    <row r="1220" spans="1:17" x14ac:dyDescent="0.2">
      <c r="A1220" s="20" t="str">
        <f>IF(INDEX(Project_Tracker!$AL$2:$AL$101,INT((ROW()-6)/17)+1)="","",INDEX(Project_Tracker!$AL$2:$AL$101,INT((ROW()-6)/17)+1))</f>
        <v/>
      </c>
      <c r="B1220" s="21" t="str">
        <f>IF($A1220="","",INDEX(Project_Tracker!$AM$2:$AM$101,INT((ROW()-6)/17)+1))</f>
        <v/>
      </c>
      <c r="C1220" s="20" t="str">
        <f>IF($A1220="","",INDEX(Project_Tracker!$C$2:$C$101,INT((ROW()-6)/17)+1))</f>
        <v/>
      </c>
      <c r="D1220" s="6" t="str">
        <f>IF($A1220="","",INDEX(Project_Tracker!$T$2:$T$101,INT((ROW()-6)/17)+1))</f>
        <v/>
      </c>
      <c r="E1220" s="18">
        <f t="shared" si="90"/>
        <v>8</v>
      </c>
      <c r="F1220" s="23" t="str">
        <f>IF($A1220="","",INDEX('Logic &amp; Lists'!$I$4:$I$20,$E1220))</f>
        <v/>
      </c>
      <c r="G1220" s="18" t="str">
        <f>IF($A1220="","",INDEX('Logic &amp; Lists'!$J$4:$J$20,$E1220))</f>
        <v/>
      </c>
      <c r="H1220" s="6" t="str">
        <f t="shared" si="91"/>
        <v/>
      </c>
      <c r="I1220" s="18" t="str">
        <f t="shared" ca="1" si="92"/>
        <v/>
      </c>
      <c r="J1220" s="5" t="str">
        <f t="shared" si="93"/>
        <v/>
      </c>
      <c r="K1220" s="25"/>
      <c r="L1220" s="5" t="str">
        <f t="shared" si="94"/>
        <v/>
      </c>
      <c r="M1220" s="7"/>
      <c r="N1220" s="7"/>
      <c r="O1220" s="7"/>
      <c r="P1220" s="20" t="str">
        <f>IF($A1220="","",INDEX(Project_Tracker!$I$2:$I$101,INT((ROW()-6)/17)+1))</f>
        <v/>
      </c>
      <c r="Q1220" s="20" t="str">
        <f>IF($A1220="","",INDEX(Project_Tracker!$K$2:$K$101,INT((ROW()-6)/17)+1))</f>
        <v/>
      </c>
    </row>
    <row r="1221" spans="1:17" x14ac:dyDescent="0.2">
      <c r="A1221" s="20" t="str">
        <f>IF(INDEX(Project_Tracker!$AL$2:$AL$101,INT((ROW()-6)/17)+1)="","",INDEX(Project_Tracker!$AL$2:$AL$101,INT((ROW()-6)/17)+1))</f>
        <v/>
      </c>
      <c r="B1221" s="21" t="str">
        <f>IF($A1221="","",INDEX(Project_Tracker!$AM$2:$AM$101,INT((ROW()-6)/17)+1))</f>
        <v/>
      </c>
      <c r="C1221" s="20" t="str">
        <f>IF($A1221="","",INDEX(Project_Tracker!$C$2:$C$101,INT((ROW()-6)/17)+1))</f>
        <v/>
      </c>
      <c r="D1221" s="6" t="str">
        <f>IF($A1221="","",INDEX(Project_Tracker!$T$2:$T$101,INT((ROW()-6)/17)+1))</f>
        <v/>
      </c>
      <c r="E1221" s="18">
        <f t="shared" si="90"/>
        <v>9</v>
      </c>
      <c r="F1221" s="23" t="str">
        <f>IF($A1221="","",INDEX('Logic &amp; Lists'!$I$4:$I$20,$E1221))</f>
        <v/>
      </c>
      <c r="G1221" s="18" t="str">
        <f>IF($A1221="","",INDEX('Logic &amp; Lists'!$J$4:$J$20,$E1221))</f>
        <v/>
      </c>
      <c r="H1221" s="6" t="str">
        <f t="shared" si="91"/>
        <v/>
      </c>
      <c r="I1221" s="18" t="str">
        <f t="shared" ca="1" si="92"/>
        <v/>
      </c>
      <c r="J1221" s="5" t="str">
        <f t="shared" si="93"/>
        <v/>
      </c>
      <c r="K1221" s="25"/>
      <c r="L1221" s="5" t="str">
        <f t="shared" si="94"/>
        <v/>
      </c>
      <c r="M1221" s="7"/>
      <c r="N1221" s="7"/>
      <c r="O1221" s="7"/>
      <c r="P1221" s="20" t="str">
        <f>IF($A1221="","",INDEX(Project_Tracker!$I$2:$I$101,INT((ROW()-6)/17)+1))</f>
        <v/>
      </c>
      <c r="Q1221" s="20" t="str">
        <f>IF($A1221="","",INDEX(Project_Tracker!$K$2:$K$101,INT((ROW()-6)/17)+1))</f>
        <v/>
      </c>
    </row>
    <row r="1222" spans="1:17" x14ac:dyDescent="0.2">
      <c r="A1222" s="20" t="str">
        <f>IF(INDEX(Project_Tracker!$AL$2:$AL$101,INT((ROW()-6)/17)+1)="","",INDEX(Project_Tracker!$AL$2:$AL$101,INT((ROW()-6)/17)+1))</f>
        <v/>
      </c>
      <c r="B1222" s="21" t="str">
        <f>IF($A1222="","",INDEX(Project_Tracker!$AM$2:$AM$101,INT((ROW()-6)/17)+1))</f>
        <v/>
      </c>
      <c r="C1222" s="20" t="str">
        <f>IF($A1222="","",INDEX(Project_Tracker!$C$2:$C$101,INT((ROW()-6)/17)+1))</f>
        <v/>
      </c>
      <c r="D1222" s="6" t="str">
        <f>IF($A1222="","",INDEX(Project_Tracker!$T$2:$T$101,INT((ROW()-6)/17)+1))</f>
        <v/>
      </c>
      <c r="E1222" s="18">
        <f t="shared" ref="E1222:E1285" si="95">MOD(ROW()-6,17)+1</f>
        <v>10</v>
      </c>
      <c r="F1222" s="23" t="str">
        <f>IF($A1222="","",INDEX('Logic &amp; Lists'!$I$4:$I$20,$E1222))</f>
        <v/>
      </c>
      <c r="G1222" s="18" t="str">
        <f>IF($A1222="","",INDEX('Logic &amp; Lists'!$J$4:$J$20,$E1222))</f>
        <v/>
      </c>
      <c r="H1222" s="6" t="str">
        <f t="shared" ref="H1222:H1285" si="96">IF($D1222="","",$D1222-$G1222)</f>
        <v/>
      </c>
      <c r="I1222" s="18" t="str">
        <f t="shared" ref="I1222:I1285" ca="1" si="97">IF($H1222="","",$H1222-TODAY())</f>
        <v/>
      </c>
      <c r="J1222" s="5" t="str">
        <f t="shared" ref="J1222:J1285" si="98">IF($A1222="","",IF($K1222&lt;&gt;"","ORDERED",IF($I1222&lt;0,"OVERDUE",IF($I1222&lt;=7,"URGENT",IF($I1222&lt;=14,"PREPARE","OK")))))</f>
        <v/>
      </c>
      <c r="K1222" s="25"/>
      <c r="L1222" s="5" t="str">
        <f t="shared" ref="L1222:L1285" si="99">IF($A1222="","",IF($K1222="",$J1222,IF($K1222&lt;=$H1222,"Ordered On Time","Ordered Late")))</f>
        <v/>
      </c>
      <c r="M1222" s="7"/>
      <c r="N1222" s="7"/>
      <c r="O1222" s="7"/>
      <c r="P1222" s="20" t="str">
        <f>IF($A1222="","",INDEX(Project_Tracker!$I$2:$I$101,INT((ROW()-6)/17)+1))</f>
        <v/>
      </c>
      <c r="Q1222" s="20" t="str">
        <f>IF($A1222="","",INDEX(Project_Tracker!$K$2:$K$101,INT((ROW()-6)/17)+1))</f>
        <v/>
      </c>
    </row>
    <row r="1223" spans="1:17" x14ac:dyDescent="0.2">
      <c r="A1223" s="20" t="str">
        <f>IF(INDEX(Project_Tracker!$AL$2:$AL$101,INT((ROW()-6)/17)+1)="","",INDEX(Project_Tracker!$AL$2:$AL$101,INT((ROW()-6)/17)+1))</f>
        <v/>
      </c>
      <c r="B1223" s="21" t="str">
        <f>IF($A1223="","",INDEX(Project_Tracker!$AM$2:$AM$101,INT((ROW()-6)/17)+1))</f>
        <v/>
      </c>
      <c r="C1223" s="20" t="str">
        <f>IF($A1223="","",INDEX(Project_Tracker!$C$2:$C$101,INT((ROW()-6)/17)+1))</f>
        <v/>
      </c>
      <c r="D1223" s="6" t="str">
        <f>IF($A1223="","",INDEX(Project_Tracker!$T$2:$T$101,INT((ROW()-6)/17)+1))</f>
        <v/>
      </c>
      <c r="E1223" s="18">
        <f t="shared" si="95"/>
        <v>11</v>
      </c>
      <c r="F1223" s="23" t="str">
        <f>IF($A1223="","",INDEX('Logic &amp; Lists'!$I$4:$I$20,$E1223))</f>
        <v/>
      </c>
      <c r="G1223" s="18" t="str">
        <f>IF($A1223="","",INDEX('Logic &amp; Lists'!$J$4:$J$20,$E1223))</f>
        <v/>
      </c>
      <c r="H1223" s="6" t="str">
        <f t="shared" si="96"/>
        <v/>
      </c>
      <c r="I1223" s="18" t="str">
        <f t="shared" ca="1" si="97"/>
        <v/>
      </c>
      <c r="J1223" s="5" t="str">
        <f t="shared" si="98"/>
        <v/>
      </c>
      <c r="K1223" s="25"/>
      <c r="L1223" s="5" t="str">
        <f t="shared" si="99"/>
        <v/>
      </c>
      <c r="M1223" s="7"/>
      <c r="N1223" s="7"/>
      <c r="O1223" s="7"/>
      <c r="P1223" s="20" t="str">
        <f>IF($A1223="","",INDEX(Project_Tracker!$I$2:$I$101,INT((ROW()-6)/17)+1))</f>
        <v/>
      </c>
      <c r="Q1223" s="20" t="str">
        <f>IF($A1223="","",INDEX(Project_Tracker!$K$2:$K$101,INT((ROW()-6)/17)+1))</f>
        <v/>
      </c>
    </row>
    <row r="1224" spans="1:17" x14ac:dyDescent="0.2">
      <c r="A1224" s="20" t="str">
        <f>IF(INDEX(Project_Tracker!$AL$2:$AL$101,INT((ROW()-6)/17)+1)="","",INDEX(Project_Tracker!$AL$2:$AL$101,INT((ROW()-6)/17)+1))</f>
        <v/>
      </c>
      <c r="B1224" s="21" t="str">
        <f>IF($A1224="","",INDEX(Project_Tracker!$AM$2:$AM$101,INT((ROW()-6)/17)+1))</f>
        <v/>
      </c>
      <c r="C1224" s="20" t="str">
        <f>IF($A1224="","",INDEX(Project_Tracker!$C$2:$C$101,INT((ROW()-6)/17)+1))</f>
        <v/>
      </c>
      <c r="D1224" s="6" t="str">
        <f>IF($A1224="","",INDEX(Project_Tracker!$T$2:$T$101,INT((ROW()-6)/17)+1))</f>
        <v/>
      </c>
      <c r="E1224" s="18">
        <f t="shared" si="95"/>
        <v>12</v>
      </c>
      <c r="F1224" s="23" t="str">
        <f>IF($A1224="","",INDEX('Logic &amp; Lists'!$I$4:$I$20,$E1224))</f>
        <v/>
      </c>
      <c r="G1224" s="18" t="str">
        <f>IF($A1224="","",INDEX('Logic &amp; Lists'!$J$4:$J$20,$E1224))</f>
        <v/>
      </c>
      <c r="H1224" s="6" t="str">
        <f t="shared" si="96"/>
        <v/>
      </c>
      <c r="I1224" s="18" t="str">
        <f t="shared" ca="1" si="97"/>
        <v/>
      </c>
      <c r="J1224" s="5" t="str">
        <f t="shared" si="98"/>
        <v/>
      </c>
      <c r="K1224" s="25"/>
      <c r="L1224" s="5" t="str">
        <f t="shared" si="99"/>
        <v/>
      </c>
      <c r="M1224" s="7"/>
      <c r="N1224" s="7"/>
      <c r="O1224" s="7"/>
      <c r="P1224" s="20" t="str">
        <f>IF($A1224="","",INDEX(Project_Tracker!$I$2:$I$101,INT((ROW()-6)/17)+1))</f>
        <v/>
      </c>
      <c r="Q1224" s="20" t="str">
        <f>IF($A1224="","",INDEX(Project_Tracker!$K$2:$K$101,INT((ROW()-6)/17)+1))</f>
        <v/>
      </c>
    </row>
    <row r="1225" spans="1:17" x14ac:dyDescent="0.2">
      <c r="A1225" s="20" t="str">
        <f>IF(INDEX(Project_Tracker!$AL$2:$AL$101,INT((ROW()-6)/17)+1)="","",INDEX(Project_Tracker!$AL$2:$AL$101,INT((ROW()-6)/17)+1))</f>
        <v/>
      </c>
      <c r="B1225" s="21" t="str">
        <f>IF($A1225="","",INDEX(Project_Tracker!$AM$2:$AM$101,INT((ROW()-6)/17)+1))</f>
        <v/>
      </c>
      <c r="C1225" s="20" t="str">
        <f>IF($A1225="","",INDEX(Project_Tracker!$C$2:$C$101,INT((ROW()-6)/17)+1))</f>
        <v/>
      </c>
      <c r="D1225" s="6" t="str">
        <f>IF($A1225="","",INDEX(Project_Tracker!$T$2:$T$101,INT((ROW()-6)/17)+1))</f>
        <v/>
      </c>
      <c r="E1225" s="18">
        <f t="shared" si="95"/>
        <v>13</v>
      </c>
      <c r="F1225" s="23" t="str">
        <f>IF($A1225="","",INDEX('Logic &amp; Lists'!$I$4:$I$20,$E1225))</f>
        <v/>
      </c>
      <c r="G1225" s="18" t="str">
        <f>IF($A1225="","",INDEX('Logic &amp; Lists'!$J$4:$J$20,$E1225))</f>
        <v/>
      </c>
      <c r="H1225" s="6" t="str">
        <f t="shared" si="96"/>
        <v/>
      </c>
      <c r="I1225" s="18" t="str">
        <f t="shared" ca="1" si="97"/>
        <v/>
      </c>
      <c r="J1225" s="5" t="str">
        <f t="shared" si="98"/>
        <v/>
      </c>
      <c r="K1225" s="25"/>
      <c r="L1225" s="5" t="str">
        <f t="shared" si="99"/>
        <v/>
      </c>
      <c r="M1225" s="7"/>
      <c r="N1225" s="7"/>
      <c r="O1225" s="7"/>
      <c r="P1225" s="20" t="str">
        <f>IF($A1225="","",INDEX(Project_Tracker!$I$2:$I$101,INT((ROW()-6)/17)+1))</f>
        <v/>
      </c>
      <c r="Q1225" s="20" t="str">
        <f>IF($A1225="","",INDEX(Project_Tracker!$K$2:$K$101,INT((ROW()-6)/17)+1))</f>
        <v/>
      </c>
    </row>
    <row r="1226" spans="1:17" x14ac:dyDescent="0.2">
      <c r="A1226" s="20" t="str">
        <f>IF(INDEX(Project_Tracker!$AL$2:$AL$101,INT((ROW()-6)/17)+1)="","",INDEX(Project_Tracker!$AL$2:$AL$101,INT((ROW()-6)/17)+1))</f>
        <v/>
      </c>
      <c r="B1226" s="21" t="str">
        <f>IF($A1226="","",INDEX(Project_Tracker!$AM$2:$AM$101,INT((ROW()-6)/17)+1))</f>
        <v/>
      </c>
      <c r="C1226" s="20" t="str">
        <f>IF($A1226="","",INDEX(Project_Tracker!$C$2:$C$101,INT((ROW()-6)/17)+1))</f>
        <v/>
      </c>
      <c r="D1226" s="6" t="str">
        <f>IF($A1226="","",INDEX(Project_Tracker!$T$2:$T$101,INT((ROW()-6)/17)+1))</f>
        <v/>
      </c>
      <c r="E1226" s="18">
        <f t="shared" si="95"/>
        <v>14</v>
      </c>
      <c r="F1226" s="23" t="str">
        <f>IF($A1226="","",INDEX('Logic &amp; Lists'!$I$4:$I$20,$E1226))</f>
        <v/>
      </c>
      <c r="G1226" s="18" t="str">
        <f>IF($A1226="","",INDEX('Logic &amp; Lists'!$J$4:$J$20,$E1226))</f>
        <v/>
      </c>
      <c r="H1226" s="6" t="str">
        <f t="shared" si="96"/>
        <v/>
      </c>
      <c r="I1226" s="18" t="str">
        <f t="shared" ca="1" si="97"/>
        <v/>
      </c>
      <c r="J1226" s="5" t="str">
        <f t="shared" si="98"/>
        <v/>
      </c>
      <c r="K1226" s="25"/>
      <c r="L1226" s="5" t="str">
        <f t="shared" si="99"/>
        <v/>
      </c>
      <c r="M1226" s="7"/>
      <c r="N1226" s="7"/>
      <c r="O1226" s="7"/>
      <c r="P1226" s="20" t="str">
        <f>IF($A1226="","",INDEX(Project_Tracker!$I$2:$I$101,INT((ROW()-6)/17)+1))</f>
        <v/>
      </c>
      <c r="Q1226" s="20" t="str">
        <f>IF($A1226="","",INDEX(Project_Tracker!$K$2:$K$101,INT((ROW()-6)/17)+1))</f>
        <v/>
      </c>
    </row>
    <row r="1227" spans="1:17" x14ac:dyDescent="0.2">
      <c r="A1227" s="20" t="str">
        <f>IF(INDEX(Project_Tracker!$AL$2:$AL$101,INT((ROW()-6)/17)+1)="","",INDEX(Project_Tracker!$AL$2:$AL$101,INT((ROW()-6)/17)+1))</f>
        <v/>
      </c>
      <c r="B1227" s="21" t="str">
        <f>IF($A1227="","",INDEX(Project_Tracker!$AM$2:$AM$101,INT((ROW()-6)/17)+1))</f>
        <v/>
      </c>
      <c r="C1227" s="20" t="str">
        <f>IF($A1227="","",INDEX(Project_Tracker!$C$2:$C$101,INT((ROW()-6)/17)+1))</f>
        <v/>
      </c>
      <c r="D1227" s="6" t="str">
        <f>IF($A1227="","",INDEX(Project_Tracker!$T$2:$T$101,INT((ROW()-6)/17)+1))</f>
        <v/>
      </c>
      <c r="E1227" s="18">
        <f t="shared" si="95"/>
        <v>15</v>
      </c>
      <c r="F1227" s="23" t="str">
        <f>IF($A1227="","",INDEX('Logic &amp; Lists'!$I$4:$I$20,$E1227))</f>
        <v/>
      </c>
      <c r="G1227" s="18" t="str">
        <f>IF($A1227="","",INDEX('Logic &amp; Lists'!$J$4:$J$20,$E1227))</f>
        <v/>
      </c>
      <c r="H1227" s="6" t="str">
        <f t="shared" si="96"/>
        <v/>
      </c>
      <c r="I1227" s="18" t="str">
        <f t="shared" ca="1" si="97"/>
        <v/>
      </c>
      <c r="J1227" s="5" t="str">
        <f t="shared" si="98"/>
        <v/>
      </c>
      <c r="K1227" s="25"/>
      <c r="L1227" s="5" t="str">
        <f t="shared" si="99"/>
        <v/>
      </c>
      <c r="M1227" s="7"/>
      <c r="N1227" s="7"/>
      <c r="O1227" s="7"/>
      <c r="P1227" s="20" t="str">
        <f>IF($A1227="","",INDEX(Project_Tracker!$I$2:$I$101,INT((ROW()-6)/17)+1))</f>
        <v/>
      </c>
      <c r="Q1227" s="20" t="str">
        <f>IF($A1227="","",INDEX(Project_Tracker!$K$2:$K$101,INT((ROW()-6)/17)+1))</f>
        <v/>
      </c>
    </row>
    <row r="1228" spans="1:17" x14ac:dyDescent="0.2">
      <c r="A1228" s="20" t="str">
        <f>IF(INDEX(Project_Tracker!$AL$2:$AL$101,INT((ROW()-6)/17)+1)="","",INDEX(Project_Tracker!$AL$2:$AL$101,INT((ROW()-6)/17)+1))</f>
        <v/>
      </c>
      <c r="B1228" s="21" t="str">
        <f>IF($A1228="","",INDEX(Project_Tracker!$AM$2:$AM$101,INT((ROW()-6)/17)+1))</f>
        <v/>
      </c>
      <c r="C1228" s="20" t="str">
        <f>IF($A1228="","",INDEX(Project_Tracker!$C$2:$C$101,INT((ROW()-6)/17)+1))</f>
        <v/>
      </c>
      <c r="D1228" s="6" t="str">
        <f>IF($A1228="","",INDEX(Project_Tracker!$T$2:$T$101,INT((ROW()-6)/17)+1))</f>
        <v/>
      </c>
      <c r="E1228" s="18">
        <f t="shared" si="95"/>
        <v>16</v>
      </c>
      <c r="F1228" s="23" t="str">
        <f>IF($A1228="","",INDEX('Logic &amp; Lists'!$I$4:$I$20,$E1228))</f>
        <v/>
      </c>
      <c r="G1228" s="18" t="str">
        <f>IF($A1228="","",INDEX('Logic &amp; Lists'!$J$4:$J$20,$E1228))</f>
        <v/>
      </c>
      <c r="H1228" s="6" t="str">
        <f t="shared" si="96"/>
        <v/>
      </c>
      <c r="I1228" s="18" t="str">
        <f t="shared" ca="1" si="97"/>
        <v/>
      </c>
      <c r="J1228" s="5" t="str">
        <f t="shared" si="98"/>
        <v/>
      </c>
      <c r="K1228" s="25"/>
      <c r="L1228" s="5" t="str">
        <f t="shared" si="99"/>
        <v/>
      </c>
      <c r="M1228" s="7"/>
      <c r="N1228" s="7"/>
      <c r="O1228" s="7"/>
      <c r="P1228" s="20" t="str">
        <f>IF($A1228="","",INDEX(Project_Tracker!$I$2:$I$101,INT((ROW()-6)/17)+1))</f>
        <v/>
      </c>
      <c r="Q1228" s="20" t="str">
        <f>IF($A1228="","",INDEX(Project_Tracker!$K$2:$K$101,INT((ROW()-6)/17)+1))</f>
        <v/>
      </c>
    </row>
    <row r="1229" spans="1:17" x14ac:dyDescent="0.2">
      <c r="A1229" s="20" t="str">
        <f>IF(INDEX(Project_Tracker!$AL$2:$AL$101,INT((ROW()-6)/17)+1)="","",INDEX(Project_Tracker!$AL$2:$AL$101,INT((ROW()-6)/17)+1))</f>
        <v/>
      </c>
      <c r="B1229" s="21" t="str">
        <f>IF($A1229="","",INDEX(Project_Tracker!$AM$2:$AM$101,INT((ROW()-6)/17)+1))</f>
        <v/>
      </c>
      <c r="C1229" s="20" t="str">
        <f>IF($A1229="","",INDEX(Project_Tracker!$C$2:$C$101,INT((ROW()-6)/17)+1))</f>
        <v/>
      </c>
      <c r="D1229" s="6" t="str">
        <f>IF($A1229="","",INDEX(Project_Tracker!$T$2:$T$101,INT((ROW()-6)/17)+1))</f>
        <v/>
      </c>
      <c r="E1229" s="18">
        <f t="shared" si="95"/>
        <v>17</v>
      </c>
      <c r="F1229" s="23" t="str">
        <f>IF($A1229="","",INDEX('Logic &amp; Lists'!$I$4:$I$20,$E1229))</f>
        <v/>
      </c>
      <c r="G1229" s="18" t="str">
        <f>IF($A1229="","",INDEX('Logic &amp; Lists'!$J$4:$J$20,$E1229))</f>
        <v/>
      </c>
      <c r="H1229" s="6" t="str">
        <f t="shared" si="96"/>
        <v/>
      </c>
      <c r="I1229" s="18" t="str">
        <f t="shared" ca="1" si="97"/>
        <v/>
      </c>
      <c r="J1229" s="5" t="str">
        <f t="shared" si="98"/>
        <v/>
      </c>
      <c r="K1229" s="25"/>
      <c r="L1229" s="5" t="str">
        <f t="shared" si="99"/>
        <v/>
      </c>
      <c r="M1229" s="7"/>
      <c r="N1229" s="7"/>
      <c r="O1229" s="7"/>
      <c r="P1229" s="20" t="str">
        <f>IF($A1229="","",INDEX(Project_Tracker!$I$2:$I$101,INT((ROW()-6)/17)+1))</f>
        <v/>
      </c>
      <c r="Q1229" s="20" t="str">
        <f>IF($A1229="","",INDEX(Project_Tracker!$K$2:$K$101,INT((ROW()-6)/17)+1))</f>
        <v/>
      </c>
    </row>
    <row r="1230" spans="1:17" x14ac:dyDescent="0.2">
      <c r="A1230" s="20" t="str">
        <f>IF(INDEX(Project_Tracker!$AL$2:$AL$101,INT((ROW()-6)/17)+1)="","",INDEX(Project_Tracker!$AL$2:$AL$101,INT((ROW()-6)/17)+1))</f>
        <v/>
      </c>
      <c r="B1230" s="21" t="str">
        <f>IF($A1230="","",INDEX(Project_Tracker!$AM$2:$AM$101,INT((ROW()-6)/17)+1))</f>
        <v/>
      </c>
      <c r="C1230" s="20" t="str">
        <f>IF($A1230="","",INDEX(Project_Tracker!$C$2:$C$101,INT((ROW()-6)/17)+1))</f>
        <v/>
      </c>
      <c r="D1230" s="6" t="str">
        <f>IF($A1230="","",INDEX(Project_Tracker!$T$2:$T$101,INT((ROW()-6)/17)+1))</f>
        <v/>
      </c>
      <c r="E1230" s="18">
        <f t="shared" si="95"/>
        <v>1</v>
      </c>
      <c r="F1230" s="23" t="str">
        <f>IF($A1230="","",INDEX('Logic &amp; Lists'!$I$4:$I$20,$E1230))</f>
        <v/>
      </c>
      <c r="G1230" s="18" t="str">
        <f>IF($A1230="","",INDEX('Logic &amp; Lists'!$J$4:$J$20,$E1230))</f>
        <v/>
      </c>
      <c r="H1230" s="6" t="str">
        <f t="shared" si="96"/>
        <v/>
      </c>
      <c r="I1230" s="18" t="str">
        <f t="shared" ca="1" si="97"/>
        <v/>
      </c>
      <c r="J1230" s="5" t="str">
        <f t="shared" si="98"/>
        <v/>
      </c>
      <c r="K1230" s="25"/>
      <c r="L1230" s="5" t="str">
        <f t="shared" si="99"/>
        <v/>
      </c>
      <c r="M1230" s="7"/>
      <c r="N1230" s="7"/>
      <c r="O1230" s="7"/>
      <c r="P1230" s="20" t="str">
        <f>IF($A1230="","",INDEX(Project_Tracker!$I$2:$I$101,INT((ROW()-6)/17)+1))</f>
        <v/>
      </c>
      <c r="Q1230" s="20" t="str">
        <f>IF($A1230="","",INDEX(Project_Tracker!$K$2:$K$101,INT((ROW()-6)/17)+1))</f>
        <v/>
      </c>
    </row>
    <row r="1231" spans="1:17" x14ac:dyDescent="0.2">
      <c r="A1231" s="20" t="str">
        <f>IF(INDEX(Project_Tracker!$AL$2:$AL$101,INT((ROW()-6)/17)+1)="","",INDEX(Project_Tracker!$AL$2:$AL$101,INT((ROW()-6)/17)+1))</f>
        <v/>
      </c>
      <c r="B1231" s="21" t="str">
        <f>IF($A1231="","",INDEX(Project_Tracker!$AM$2:$AM$101,INT((ROW()-6)/17)+1))</f>
        <v/>
      </c>
      <c r="C1231" s="20" t="str">
        <f>IF($A1231="","",INDEX(Project_Tracker!$C$2:$C$101,INT((ROW()-6)/17)+1))</f>
        <v/>
      </c>
      <c r="D1231" s="6" t="str">
        <f>IF($A1231="","",INDEX(Project_Tracker!$T$2:$T$101,INT((ROW()-6)/17)+1))</f>
        <v/>
      </c>
      <c r="E1231" s="18">
        <f t="shared" si="95"/>
        <v>2</v>
      </c>
      <c r="F1231" s="23" t="str">
        <f>IF($A1231="","",INDEX('Logic &amp; Lists'!$I$4:$I$20,$E1231))</f>
        <v/>
      </c>
      <c r="G1231" s="18" t="str">
        <f>IF($A1231="","",INDEX('Logic &amp; Lists'!$J$4:$J$20,$E1231))</f>
        <v/>
      </c>
      <c r="H1231" s="6" t="str">
        <f t="shared" si="96"/>
        <v/>
      </c>
      <c r="I1231" s="18" t="str">
        <f t="shared" ca="1" si="97"/>
        <v/>
      </c>
      <c r="J1231" s="5" t="str">
        <f t="shared" si="98"/>
        <v/>
      </c>
      <c r="K1231" s="25"/>
      <c r="L1231" s="5" t="str">
        <f t="shared" si="99"/>
        <v/>
      </c>
      <c r="M1231" s="7"/>
      <c r="N1231" s="7"/>
      <c r="O1231" s="7"/>
      <c r="P1231" s="20" t="str">
        <f>IF($A1231="","",INDEX(Project_Tracker!$I$2:$I$101,INT((ROW()-6)/17)+1))</f>
        <v/>
      </c>
      <c r="Q1231" s="20" t="str">
        <f>IF($A1231="","",INDEX(Project_Tracker!$K$2:$K$101,INT((ROW()-6)/17)+1))</f>
        <v/>
      </c>
    </row>
    <row r="1232" spans="1:17" x14ac:dyDescent="0.2">
      <c r="A1232" s="20" t="str">
        <f>IF(INDEX(Project_Tracker!$AL$2:$AL$101,INT((ROW()-6)/17)+1)="","",INDEX(Project_Tracker!$AL$2:$AL$101,INT((ROW()-6)/17)+1))</f>
        <v/>
      </c>
      <c r="B1232" s="21" t="str">
        <f>IF($A1232="","",INDEX(Project_Tracker!$AM$2:$AM$101,INT((ROW()-6)/17)+1))</f>
        <v/>
      </c>
      <c r="C1232" s="20" t="str">
        <f>IF($A1232="","",INDEX(Project_Tracker!$C$2:$C$101,INT((ROW()-6)/17)+1))</f>
        <v/>
      </c>
      <c r="D1232" s="6" t="str">
        <f>IF($A1232="","",INDEX(Project_Tracker!$T$2:$T$101,INT((ROW()-6)/17)+1))</f>
        <v/>
      </c>
      <c r="E1232" s="18">
        <f t="shared" si="95"/>
        <v>3</v>
      </c>
      <c r="F1232" s="23" t="str">
        <f>IF($A1232="","",INDEX('Logic &amp; Lists'!$I$4:$I$20,$E1232))</f>
        <v/>
      </c>
      <c r="G1232" s="18" t="str">
        <f>IF($A1232="","",INDEX('Logic &amp; Lists'!$J$4:$J$20,$E1232))</f>
        <v/>
      </c>
      <c r="H1232" s="6" t="str">
        <f t="shared" si="96"/>
        <v/>
      </c>
      <c r="I1232" s="18" t="str">
        <f t="shared" ca="1" si="97"/>
        <v/>
      </c>
      <c r="J1232" s="5" t="str">
        <f t="shared" si="98"/>
        <v/>
      </c>
      <c r="K1232" s="25"/>
      <c r="L1232" s="5" t="str">
        <f t="shared" si="99"/>
        <v/>
      </c>
      <c r="M1232" s="7"/>
      <c r="N1232" s="7"/>
      <c r="O1232" s="7"/>
      <c r="P1232" s="20" t="str">
        <f>IF($A1232="","",INDEX(Project_Tracker!$I$2:$I$101,INT((ROW()-6)/17)+1))</f>
        <v/>
      </c>
      <c r="Q1232" s="20" t="str">
        <f>IF($A1232="","",INDEX(Project_Tracker!$K$2:$K$101,INT((ROW()-6)/17)+1))</f>
        <v/>
      </c>
    </row>
    <row r="1233" spans="1:17" x14ac:dyDescent="0.2">
      <c r="A1233" s="20" t="str">
        <f>IF(INDEX(Project_Tracker!$AL$2:$AL$101,INT((ROW()-6)/17)+1)="","",INDEX(Project_Tracker!$AL$2:$AL$101,INT((ROW()-6)/17)+1))</f>
        <v/>
      </c>
      <c r="B1233" s="21" t="str">
        <f>IF($A1233="","",INDEX(Project_Tracker!$AM$2:$AM$101,INT((ROW()-6)/17)+1))</f>
        <v/>
      </c>
      <c r="C1233" s="20" t="str">
        <f>IF($A1233="","",INDEX(Project_Tracker!$C$2:$C$101,INT((ROW()-6)/17)+1))</f>
        <v/>
      </c>
      <c r="D1233" s="6" t="str">
        <f>IF($A1233="","",INDEX(Project_Tracker!$T$2:$T$101,INT((ROW()-6)/17)+1))</f>
        <v/>
      </c>
      <c r="E1233" s="18">
        <f t="shared" si="95"/>
        <v>4</v>
      </c>
      <c r="F1233" s="23" t="str">
        <f>IF($A1233="","",INDEX('Logic &amp; Lists'!$I$4:$I$20,$E1233))</f>
        <v/>
      </c>
      <c r="G1233" s="18" t="str">
        <f>IF($A1233="","",INDEX('Logic &amp; Lists'!$J$4:$J$20,$E1233))</f>
        <v/>
      </c>
      <c r="H1233" s="6" t="str">
        <f t="shared" si="96"/>
        <v/>
      </c>
      <c r="I1233" s="18" t="str">
        <f t="shared" ca="1" si="97"/>
        <v/>
      </c>
      <c r="J1233" s="5" t="str">
        <f t="shared" si="98"/>
        <v/>
      </c>
      <c r="K1233" s="25"/>
      <c r="L1233" s="5" t="str">
        <f t="shared" si="99"/>
        <v/>
      </c>
      <c r="M1233" s="7"/>
      <c r="N1233" s="7"/>
      <c r="O1233" s="7"/>
      <c r="P1233" s="20" t="str">
        <f>IF($A1233="","",INDEX(Project_Tracker!$I$2:$I$101,INT((ROW()-6)/17)+1))</f>
        <v/>
      </c>
      <c r="Q1233" s="20" t="str">
        <f>IF($A1233="","",INDEX(Project_Tracker!$K$2:$K$101,INT((ROW()-6)/17)+1))</f>
        <v/>
      </c>
    </row>
    <row r="1234" spans="1:17" x14ac:dyDescent="0.2">
      <c r="A1234" s="20" t="str">
        <f>IF(INDEX(Project_Tracker!$AL$2:$AL$101,INT((ROW()-6)/17)+1)="","",INDEX(Project_Tracker!$AL$2:$AL$101,INT((ROW()-6)/17)+1))</f>
        <v/>
      </c>
      <c r="B1234" s="21" t="str">
        <f>IF($A1234="","",INDEX(Project_Tracker!$AM$2:$AM$101,INT((ROW()-6)/17)+1))</f>
        <v/>
      </c>
      <c r="C1234" s="20" t="str">
        <f>IF($A1234="","",INDEX(Project_Tracker!$C$2:$C$101,INT((ROW()-6)/17)+1))</f>
        <v/>
      </c>
      <c r="D1234" s="6" t="str">
        <f>IF($A1234="","",INDEX(Project_Tracker!$T$2:$T$101,INT((ROW()-6)/17)+1))</f>
        <v/>
      </c>
      <c r="E1234" s="18">
        <f t="shared" si="95"/>
        <v>5</v>
      </c>
      <c r="F1234" s="23" t="str">
        <f>IF($A1234="","",INDEX('Logic &amp; Lists'!$I$4:$I$20,$E1234))</f>
        <v/>
      </c>
      <c r="G1234" s="18" t="str">
        <f>IF($A1234="","",INDEX('Logic &amp; Lists'!$J$4:$J$20,$E1234))</f>
        <v/>
      </c>
      <c r="H1234" s="6" t="str">
        <f t="shared" si="96"/>
        <v/>
      </c>
      <c r="I1234" s="18" t="str">
        <f t="shared" ca="1" si="97"/>
        <v/>
      </c>
      <c r="J1234" s="5" t="str">
        <f t="shared" si="98"/>
        <v/>
      </c>
      <c r="K1234" s="25"/>
      <c r="L1234" s="5" t="str">
        <f t="shared" si="99"/>
        <v/>
      </c>
      <c r="M1234" s="7"/>
      <c r="N1234" s="7"/>
      <c r="O1234" s="7"/>
      <c r="P1234" s="20" t="str">
        <f>IF($A1234="","",INDEX(Project_Tracker!$I$2:$I$101,INT((ROW()-6)/17)+1))</f>
        <v/>
      </c>
      <c r="Q1234" s="20" t="str">
        <f>IF($A1234="","",INDEX(Project_Tracker!$K$2:$K$101,INT((ROW()-6)/17)+1))</f>
        <v/>
      </c>
    </row>
    <row r="1235" spans="1:17" x14ac:dyDescent="0.2">
      <c r="A1235" s="20" t="str">
        <f>IF(INDEX(Project_Tracker!$AL$2:$AL$101,INT((ROW()-6)/17)+1)="","",INDEX(Project_Tracker!$AL$2:$AL$101,INT((ROW()-6)/17)+1))</f>
        <v/>
      </c>
      <c r="B1235" s="21" t="str">
        <f>IF($A1235="","",INDEX(Project_Tracker!$AM$2:$AM$101,INT((ROW()-6)/17)+1))</f>
        <v/>
      </c>
      <c r="C1235" s="20" t="str">
        <f>IF($A1235="","",INDEX(Project_Tracker!$C$2:$C$101,INT((ROW()-6)/17)+1))</f>
        <v/>
      </c>
      <c r="D1235" s="6" t="str">
        <f>IF($A1235="","",INDEX(Project_Tracker!$T$2:$T$101,INT((ROW()-6)/17)+1))</f>
        <v/>
      </c>
      <c r="E1235" s="18">
        <f t="shared" si="95"/>
        <v>6</v>
      </c>
      <c r="F1235" s="23" t="str">
        <f>IF($A1235="","",INDEX('Logic &amp; Lists'!$I$4:$I$20,$E1235))</f>
        <v/>
      </c>
      <c r="G1235" s="18" t="str">
        <f>IF($A1235="","",INDEX('Logic &amp; Lists'!$J$4:$J$20,$E1235))</f>
        <v/>
      </c>
      <c r="H1235" s="6" t="str">
        <f t="shared" si="96"/>
        <v/>
      </c>
      <c r="I1235" s="18" t="str">
        <f t="shared" ca="1" si="97"/>
        <v/>
      </c>
      <c r="J1235" s="5" t="str">
        <f t="shared" si="98"/>
        <v/>
      </c>
      <c r="K1235" s="25"/>
      <c r="L1235" s="5" t="str">
        <f t="shared" si="99"/>
        <v/>
      </c>
      <c r="M1235" s="7"/>
      <c r="N1235" s="7"/>
      <c r="O1235" s="7"/>
      <c r="P1235" s="20" t="str">
        <f>IF($A1235="","",INDEX(Project_Tracker!$I$2:$I$101,INT((ROW()-6)/17)+1))</f>
        <v/>
      </c>
      <c r="Q1235" s="20" t="str">
        <f>IF($A1235="","",INDEX(Project_Tracker!$K$2:$K$101,INT((ROW()-6)/17)+1))</f>
        <v/>
      </c>
    </row>
    <row r="1236" spans="1:17" x14ac:dyDescent="0.2">
      <c r="A1236" s="20" t="str">
        <f>IF(INDEX(Project_Tracker!$AL$2:$AL$101,INT((ROW()-6)/17)+1)="","",INDEX(Project_Tracker!$AL$2:$AL$101,INT((ROW()-6)/17)+1))</f>
        <v/>
      </c>
      <c r="B1236" s="21" t="str">
        <f>IF($A1236="","",INDEX(Project_Tracker!$AM$2:$AM$101,INT((ROW()-6)/17)+1))</f>
        <v/>
      </c>
      <c r="C1236" s="20" t="str">
        <f>IF($A1236="","",INDEX(Project_Tracker!$C$2:$C$101,INT((ROW()-6)/17)+1))</f>
        <v/>
      </c>
      <c r="D1236" s="6" t="str">
        <f>IF($A1236="","",INDEX(Project_Tracker!$T$2:$T$101,INT((ROW()-6)/17)+1))</f>
        <v/>
      </c>
      <c r="E1236" s="18">
        <f t="shared" si="95"/>
        <v>7</v>
      </c>
      <c r="F1236" s="23" t="str">
        <f>IF($A1236="","",INDEX('Logic &amp; Lists'!$I$4:$I$20,$E1236))</f>
        <v/>
      </c>
      <c r="G1236" s="18" t="str">
        <f>IF($A1236="","",INDEX('Logic &amp; Lists'!$J$4:$J$20,$E1236))</f>
        <v/>
      </c>
      <c r="H1236" s="6" t="str">
        <f t="shared" si="96"/>
        <v/>
      </c>
      <c r="I1236" s="18" t="str">
        <f t="shared" ca="1" si="97"/>
        <v/>
      </c>
      <c r="J1236" s="5" t="str">
        <f t="shared" si="98"/>
        <v/>
      </c>
      <c r="K1236" s="25"/>
      <c r="L1236" s="5" t="str">
        <f t="shared" si="99"/>
        <v/>
      </c>
      <c r="M1236" s="7"/>
      <c r="N1236" s="7"/>
      <c r="O1236" s="7"/>
      <c r="P1236" s="20" t="str">
        <f>IF($A1236="","",INDEX(Project_Tracker!$I$2:$I$101,INT((ROW()-6)/17)+1))</f>
        <v/>
      </c>
      <c r="Q1236" s="20" t="str">
        <f>IF($A1236="","",INDEX(Project_Tracker!$K$2:$K$101,INT((ROW()-6)/17)+1))</f>
        <v/>
      </c>
    </row>
    <row r="1237" spans="1:17" x14ac:dyDescent="0.2">
      <c r="A1237" s="20" t="str">
        <f>IF(INDEX(Project_Tracker!$AL$2:$AL$101,INT((ROW()-6)/17)+1)="","",INDEX(Project_Tracker!$AL$2:$AL$101,INT((ROW()-6)/17)+1))</f>
        <v/>
      </c>
      <c r="B1237" s="21" t="str">
        <f>IF($A1237="","",INDEX(Project_Tracker!$AM$2:$AM$101,INT((ROW()-6)/17)+1))</f>
        <v/>
      </c>
      <c r="C1237" s="20" t="str">
        <f>IF($A1237="","",INDEX(Project_Tracker!$C$2:$C$101,INT((ROW()-6)/17)+1))</f>
        <v/>
      </c>
      <c r="D1237" s="6" t="str">
        <f>IF($A1237="","",INDEX(Project_Tracker!$T$2:$T$101,INT((ROW()-6)/17)+1))</f>
        <v/>
      </c>
      <c r="E1237" s="18">
        <f t="shared" si="95"/>
        <v>8</v>
      </c>
      <c r="F1237" s="23" t="str">
        <f>IF($A1237="","",INDEX('Logic &amp; Lists'!$I$4:$I$20,$E1237))</f>
        <v/>
      </c>
      <c r="G1237" s="18" t="str">
        <f>IF($A1237="","",INDEX('Logic &amp; Lists'!$J$4:$J$20,$E1237))</f>
        <v/>
      </c>
      <c r="H1237" s="6" t="str">
        <f t="shared" si="96"/>
        <v/>
      </c>
      <c r="I1237" s="18" t="str">
        <f t="shared" ca="1" si="97"/>
        <v/>
      </c>
      <c r="J1237" s="5" t="str">
        <f t="shared" si="98"/>
        <v/>
      </c>
      <c r="K1237" s="25"/>
      <c r="L1237" s="5" t="str">
        <f t="shared" si="99"/>
        <v/>
      </c>
      <c r="M1237" s="7"/>
      <c r="N1237" s="7"/>
      <c r="O1237" s="7"/>
      <c r="P1237" s="20" t="str">
        <f>IF($A1237="","",INDEX(Project_Tracker!$I$2:$I$101,INT((ROW()-6)/17)+1))</f>
        <v/>
      </c>
      <c r="Q1237" s="20" t="str">
        <f>IF($A1237="","",INDEX(Project_Tracker!$K$2:$K$101,INT((ROW()-6)/17)+1))</f>
        <v/>
      </c>
    </row>
    <row r="1238" spans="1:17" x14ac:dyDescent="0.2">
      <c r="A1238" s="20" t="str">
        <f>IF(INDEX(Project_Tracker!$AL$2:$AL$101,INT((ROW()-6)/17)+1)="","",INDEX(Project_Tracker!$AL$2:$AL$101,INT((ROW()-6)/17)+1))</f>
        <v/>
      </c>
      <c r="B1238" s="21" t="str">
        <f>IF($A1238="","",INDEX(Project_Tracker!$AM$2:$AM$101,INT((ROW()-6)/17)+1))</f>
        <v/>
      </c>
      <c r="C1238" s="20" t="str">
        <f>IF($A1238="","",INDEX(Project_Tracker!$C$2:$C$101,INT((ROW()-6)/17)+1))</f>
        <v/>
      </c>
      <c r="D1238" s="6" t="str">
        <f>IF($A1238="","",INDEX(Project_Tracker!$T$2:$T$101,INT((ROW()-6)/17)+1))</f>
        <v/>
      </c>
      <c r="E1238" s="18">
        <f t="shared" si="95"/>
        <v>9</v>
      </c>
      <c r="F1238" s="23" t="str">
        <f>IF($A1238="","",INDEX('Logic &amp; Lists'!$I$4:$I$20,$E1238))</f>
        <v/>
      </c>
      <c r="G1238" s="18" t="str">
        <f>IF($A1238="","",INDEX('Logic &amp; Lists'!$J$4:$J$20,$E1238))</f>
        <v/>
      </c>
      <c r="H1238" s="6" t="str">
        <f t="shared" si="96"/>
        <v/>
      </c>
      <c r="I1238" s="18" t="str">
        <f t="shared" ca="1" si="97"/>
        <v/>
      </c>
      <c r="J1238" s="5" t="str">
        <f t="shared" si="98"/>
        <v/>
      </c>
      <c r="K1238" s="25"/>
      <c r="L1238" s="5" t="str">
        <f t="shared" si="99"/>
        <v/>
      </c>
      <c r="M1238" s="7"/>
      <c r="N1238" s="7"/>
      <c r="O1238" s="7"/>
      <c r="P1238" s="20" t="str">
        <f>IF($A1238="","",INDEX(Project_Tracker!$I$2:$I$101,INT((ROW()-6)/17)+1))</f>
        <v/>
      </c>
      <c r="Q1238" s="20" t="str">
        <f>IF($A1238="","",INDEX(Project_Tracker!$K$2:$K$101,INT((ROW()-6)/17)+1))</f>
        <v/>
      </c>
    </row>
    <row r="1239" spans="1:17" x14ac:dyDescent="0.2">
      <c r="A1239" s="20" t="str">
        <f>IF(INDEX(Project_Tracker!$AL$2:$AL$101,INT((ROW()-6)/17)+1)="","",INDEX(Project_Tracker!$AL$2:$AL$101,INT((ROW()-6)/17)+1))</f>
        <v/>
      </c>
      <c r="B1239" s="21" t="str">
        <f>IF($A1239="","",INDEX(Project_Tracker!$AM$2:$AM$101,INT((ROW()-6)/17)+1))</f>
        <v/>
      </c>
      <c r="C1239" s="20" t="str">
        <f>IF($A1239="","",INDEX(Project_Tracker!$C$2:$C$101,INT((ROW()-6)/17)+1))</f>
        <v/>
      </c>
      <c r="D1239" s="6" t="str">
        <f>IF($A1239="","",INDEX(Project_Tracker!$T$2:$T$101,INT((ROW()-6)/17)+1))</f>
        <v/>
      </c>
      <c r="E1239" s="18">
        <f t="shared" si="95"/>
        <v>10</v>
      </c>
      <c r="F1239" s="23" t="str">
        <f>IF($A1239="","",INDEX('Logic &amp; Lists'!$I$4:$I$20,$E1239))</f>
        <v/>
      </c>
      <c r="G1239" s="18" t="str">
        <f>IF($A1239="","",INDEX('Logic &amp; Lists'!$J$4:$J$20,$E1239))</f>
        <v/>
      </c>
      <c r="H1239" s="6" t="str">
        <f t="shared" si="96"/>
        <v/>
      </c>
      <c r="I1239" s="18" t="str">
        <f t="shared" ca="1" si="97"/>
        <v/>
      </c>
      <c r="J1239" s="5" t="str">
        <f t="shared" si="98"/>
        <v/>
      </c>
      <c r="K1239" s="25"/>
      <c r="L1239" s="5" t="str">
        <f t="shared" si="99"/>
        <v/>
      </c>
      <c r="M1239" s="7"/>
      <c r="N1239" s="7"/>
      <c r="O1239" s="7"/>
      <c r="P1239" s="20" t="str">
        <f>IF($A1239="","",INDEX(Project_Tracker!$I$2:$I$101,INT((ROW()-6)/17)+1))</f>
        <v/>
      </c>
      <c r="Q1239" s="20" t="str">
        <f>IF($A1239="","",INDEX(Project_Tracker!$K$2:$K$101,INT((ROW()-6)/17)+1))</f>
        <v/>
      </c>
    </row>
    <row r="1240" spans="1:17" x14ac:dyDescent="0.2">
      <c r="A1240" s="20" t="str">
        <f>IF(INDEX(Project_Tracker!$AL$2:$AL$101,INT((ROW()-6)/17)+1)="","",INDEX(Project_Tracker!$AL$2:$AL$101,INT((ROW()-6)/17)+1))</f>
        <v/>
      </c>
      <c r="B1240" s="21" t="str">
        <f>IF($A1240="","",INDEX(Project_Tracker!$AM$2:$AM$101,INT((ROW()-6)/17)+1))</f>
        <v/>
      </c>
      <c r="C1240" s="20" t="str">
        <f>IF($A1240="","",INDEX(Project_Tracker!$C$2:$C$101,INT((ROW()-6)/17)+1))</f>
        <v/>
      </c>
      <c r="D1240" s="6" t="str">
        <f>IF($A1240="","",INDEX(Project_Tracker!$T$2:$T$101,INT((ROW()-6)/17)+1))</f>
        <v/>
      </c>
      <c r="E1240" s="18">
        <f t="shared" si="95"/>
        <v>11</v>
      </c>
      <c r="F1240" s="23" t="str">
        <f>IF($A1240="","",INDEX('Logic &amp; Lists'!$I$4:$I$20,$E1240))</f>
        <v/>
      </c>
      <c r="G1240" s="18" t="str">
        <f>IF($A1240="","",INDEX('Logic &amp; Lists'!$J$4:$J$20,$E1240))</f>
        <v/>
      </c>
      <c r="H1240" s="6" t="str">
        <f t="shared" si="96"/>
        <v/>
      </c>
      <c r="I1240" s="18" t="str">
        <f t="shared" ca="1" si="97"/>
        <v/>
      </c>
      <c r="J1240" s="5" t="str">
        <f t="shared" si="98"/>
        <v/>
      </c>
      <c r="K1240" s="25"/>
      <c r="L1240" s="5" t="str">
        <f t="shared" si="99"/>
        <v/>
      </c>
      <c r="M1240" s="7"/>
      <c r="N1240" s="7"/>
      <c r="O1240" s="7"/>
      <c r="P1240" s="20" t="str">
        <f>IF($A1240="","",INDEX(Project_Tracker!$I$2:$I$101,INT((ROW()-6)/17)+1))</f>
        <v/>
      </c>
      <c r="Q1240" s="20" t="str">
        <f>IF($A1240="","",INDEX(Project_Tracker!$K$2:$K$101,INT((ROW()-6)/17)+1))</f>
        <v/>
      </c>
    </row>
    <row r="1241" spans="1:17" x14ac:dyDescent="0.2">
      <c r="A1241" s="20" t="str">
        <f>IF(INDEX(Project_Tracker!$AL$2:$AL$101,INT((ROW()-6)/17)+1)="","",INDEX(Project_Tracker!$AL$2:$AL$101,INT((ROW()-6)/17)+1))</f>
        <v/>
      </c>
      <c r="B1241" s="21" t="str">
        <f>IF($A1241="","",INDEX(Project_Tracker!$AM$2:$AM$101,INT((ROW()-6)/17)+1))</f>
        <v/>
      </c>
      <c r="C1241" s="20" t="str">
        <f>IF($A1241="","",INDEX(Project_Tracker!$C$2:$C$101,INT((ROW()-6)/17)+1))</f>
        <v/>
      </c>
      <c r="D1241" s="6" t="str">
        <f>IF($A1241="","",INDEX(Project_Tracker!$T$2:$T$101,INT((ROW()-6)/17)+1))</f>
        <v/>
      </c>
      <c r="E1241" s="18">
        <f t="shared" si="95"/>
        <v>12</v>
      </c>
      <c r="F1241" s="23" t="str">
        <f>IF($A1241="","",INDEX('Logic &amp; Lists'!$I$4:$I$20,$E1241))</f>
        <v/>
      </c>
      <c r="G1241" s="18" t="str">
        <f>IF($A1241="","",INDEX('Logic &amp; Lists'!$J$4:$J$20,$E1241))</f>
        <v/>
      </c>
      <c r="H1241" s="6" t="str">
        <f t="shared" si="96"/>
        <v/>
      </c>
      <c r="I1241" s="18" t="str">
        <f t="shared" ca="1" si="97"/>
        <v/>
      </c>
      <c r="J1241" s="5" t="str">
        <f t="shared" si="98"/>
        <v/>
      </c>
      <c r="K1241" s="25"/>
      <c r="L1241" s="5" t="str">
        <f t="shared" si="99"/>
        <v/>
      </c>
      <c r="M1241" s="7"/>
      <c r="N1241" s="7"/>
      <c r="O1241" s="7"/>
      <c r="P1241" s="20" t="str">
        <f>IF($A1241="","",INDEX(Project_Tracker!$I$2:$I$101,INT((ROW()-6)/17)+1))</f>
        <v/>
      </c>
      <c r="Q1241" s="20" t="str">
        <f>IF($A1241="","",INDEX(Project_Tracker!$K$2:$K$101,INT((ROW()-6)/17)+1))</f>
        <v/>
      </c>
    </row>
    <row r="1242" spans="1:17" x14ac:dyDescent="0.2">
      <c r="A1242" s="20" t="str">
        <f>IF(INDEX(Project_Tracker!$AL$2:$AL$101,INT((ROW()-6)/17)+1)="","",INDEX(Project_Tracker!$AL$2:$AL$101,INT((ROW()-6)/17)+1))</f>
        <v/>
      </c>
      <c r="B1242" s="21" t="str">
        <f>IF($A1242="","",INDEX(Project_Tracker!$AM$2:$AM$101,INT((ROW()-6)/17)+1))</f>
        <v/>
      </c>
      <c r="C1242" s="20" t="str">
        <f>IF($A1242="","",INDEX(Project_Tracker!$C$2:$C$101,INT((ROW()-6)/17)+1))</f>
        <v/>
      </c>
      <c r="D1242" s="6" t="str">
        <f>IF($A1242="","",INDEX(Project_Tracker!$T$2:$T$101,INT((ROW()-6)/17)+1))</f>
        <v/>
      </c>
      <c r="E1242" s="18">
        <f t="shared" si="95"/>
        <v>13</v>
      </c>
      <c r="F1242" s="23" t="str">
        <f>IF($A1242="","",INDEX('Logic &amp; Lists'!$I$4:$I$20,$E1242))</f>
        <v/>
      </c>
      <c r="G1242" s="18" t="str">
        <f>IF($A1242="","",INDEX('Logic &amp; Lists'!$J$4:$J$20,$E1242))</f>
        <v/>
      </c>
      <c r="H1242" s="6" t="str">
        <f t="shared" si="96"/>
        <v/>
      </c>
      <c r="I1242" s="18" t="str">
        <f t="shared" ca="1" si="97"/>
        <v/>
      </c>
      <c r="J1242" s="5" t="str">
        <f t="shared" si="98"/>
        <v/>
      </c>
      <c r="K1242" s="25"/>
      <c r="L1242" s="5" t="str">
        <f t="shared" si="99"/>
        <v/>
      </c>
      <c r="M1242" s="7"/>
      <c r="N1242" s="7"/>
      <c r="O1242" s="7"/>
      <c r="P1242" s="20" t="str">
        <f>IF($A1242="","",INDEX(Project_Tracker!$I$2:$I$101,INT((ROW()-6)/17)+1))</f>
        <v/>
      </c>
      <c r="Q1242" s="20" t="str">
        <f>IF($A1242="","",INDEX(Project_Tracker!$K$2:$K$101,INT((ROW()-6)/17)+1))</f>
        <v/>
      </c>
    </row>
    <row r="1243" spans="1:17" x14ac:dyDescent="0.2">
      <c r="A1243" s="20" t="str">
        <f>IF(INDEX(Project_Tracker!$AL$2:$AL$101,INT((ROW()-6)/17)+1)="","",INDEX(Project_Tracker!$AL$2:$AL$101,INT((ROW()-6)/17)+1))</f>
        <v/>
      </c>
      <c r="B1243" s="21" t="str">
        <f>IF($A1243="","",INDEX(Project_Tracker!$AM$2:$AM$101,INT((ROW()-6)/17)+1))</f>
        <v/>
      </c>
      <c r="C1243" s="20" t="str">
        <f>IF($A1243="","",INDEX(Project_Tracker!$C$2:$C$101,INT((ROW()-6)/17)+1))</f>
        <v/>
      </c>
      <c r="D1243" s="6" t="str">
        <f>IF($A1243="","",INDEX(Project_Tracker!$T$2:$T$101,INT((ROW()-6)/17)+1))</f>
        <v/>
      </c>
      <c r="E1243" s="18">
        <f t="shared" si="95"/>
        <v>14</v>
      </c>
      <c r="F1243" s="23" t="str">
        <f>IF($A1243="","",INDEX('Logic &amp; Lists'!$I$4:$I$20,$E1243))</f>
        <v/>
      </c>
      <c r="G1243" s="18" t="str">
        <f>IF($A1243="","",INDEX('Logic &amp; Lists'!$J$4:$J$20,$E1243))</f>
        <v/>
      </c>
      <c r="H1243" s="6" t="str">
        <f t="shared" si="96"/>
        <v/>
      </c>
      <c r="I1243" s="18" t="str">
        <f t="shared" ca="1" si="97"/>
        <v/>
      </c>
      <c r="J1243" s="5" t="str">
        <f t="shared" si="98"/>
        <v/>
      </c>
      <c r="K1243" s="25"/>
      <c r="L1243" s="5" t="str">
        <f t="shared" si="99"/>
        <v/>
      </c>
      <c r="M1243" s="7"/>
      <c r="N1243" s="7"/>
      <c r="O1243" s="7"/>
      <c r="P1243" s="20" t="str">
        <f>IF($A1243="","",INDEX(Project_Tracker!$I$2:$I$101,INT((ROW()-6)/17)+1))</f>
        <v/>
      </c>
      <c r="Q1243" s="20" t="str">
        <f>IF($A1243="","",INDEX(Project_Tracker!$K$2:$K$101,INT((ROW()-6)/17)+1))</f>
        <v/>
      </c>
    </row>
    <row r="1244" spans="1:17" x14ac:dyDescent="0.2">
      <c r="A1244" s="20" t="str">
        <f>IF(INDEX(Project_Tracker!$AL$2:$AL$101,INT((ROW()-6)/17)+1)="","",INDEX(Project_Tracker!$AL$2:$AL$101,INT((ROW()-6)/17)+1))</f>
        <v/>
      </c>
      <c r="B1244" s="21" t="str">
        <f>IF($A1244="","",INDEX(Project_Tracker!$AM$2:$AM$101,INT((ROW()-6)/17)+1))</f>
        <v/>
      </c>
      <c r="C1244" s="20" t="str">
        <f>IF($A1244="","",INDEX(Project_Tracker!$C$2:$C$101,INT((ROW()-6)/17)+1))</f>
        <v/>
      </c>
      <c r="D1244" s="6" t="str">
        <f>IF($A1244="","",INDEX(Project_Tracker!$T$2:$T$101,INT((ROW()-6)/17)+1))</f>
        <v/>
      </c>
      <c r="E1244" s="18">
        <f t="shared" si="95"/>
        <v>15</v>
      </c>
      <c r="F1244" s="23" t="str">
        <f>IF($A1244="","",INDEX('Logic &amp; Lists'!$I$4:$I$20,$E1244))</f>
        <v/>
      </c>
      <c r="G1244" s="18" t="str">
        <f>IF($A1244="","",INDEX('Logic &amp; Lists'!$J$4:$J$20,$E1244))</f>
        <v/>
      </c>
      <c r="H1244" s="6" t="str">
        <f t="shared" si="96"/>
        <v/>
      </c>
      <c r="I1244" s="18" t="str">
        <f t="shared" ca="1" si="97"/>
        <v/>
      </c>
      <c r="J1244" s="5" t="str">
        <f t="shared" si="98"/>
        <v/>
      </c>
      <c r="K1244" s="25"/>
      <c r="L1244" s="5" t="str">
        <f t="shared" si="99"/>
        <v/>
      </c>
      <c r="M1244" s="7"/>
      <c r="N1244" s="7"/>
      <c r="O1244" s="7"/>
      <c r="P1244" s="20" t="str">
        <f>IF($A1244="","",INDEX(Project_Tracker!$I$2:$I$101,INT((ROW()-6)/17)+1))</f>
        <v/>
      </c>
      <c r="Q1244" s="20" t="str">
        <f>IF($A1244="","",INDEX(Project_Tracker!$K$2:$K$101,INT((ROW()-6)/17)+1))</f>
        <v/>
      </c>
    </row>
    <row r="1245" spans="1:17" x14ac:dyDescent="0.2">
      <c r="A1245" s="20" t="str">
        <f>IF(INDEX(Project_Tracker!$AL$2:$AL$101,INT((ROW()-6)/17)+1)="","",INDEX(Project_Tracker!$AL$2:$AL$101,INT((ROW()-6)/17)+1))</f>
        <v/>
      </c>
      <c r="B1245" s="21" t="str">
        <f>IF($A1245="","",INDEX(Project_Tracker!$AM$2:$AM$101,INT((ROW()-6)/17)+1))</f>
        <v/>
      </c>
      <c r="C1245" s="20" t="str">
        <f>IF($A1245="","",INDEX(Project_Tracker!$C$2:$C$101,INT((ROW()-6)/17)+1))</f>
        <v/>
      </c>
      <c r="D1245" s="6" t="str">
        <f>IF($A1245="","",INDEX(Project_Tracker!$T$2:$T$101,INT((ROW()-6)/17)+1))</f>
        <v/>
      </c>
      <c r="E1245" s="18">
        <f t="shared" si="95"/>
        <v>16</v>
      </c>
      <c r="F1245" s="23" t="str">
        <f>IF($A1245="","",INDEX('Logic &amp; Lists'!$I$4:$I$20,$E1245))</f>
        <v/>
      </c>
      <c r="G1245" s="18" t="str">
        <f>IF($A1245="","",INDEX('Logic &amp; Lists'!$J$4:$J$20,$E1245))</f>
        <v/>
      </c>
      <c r="H1245" s="6" t="str">
        <f t="shared" si="96"/>
        <v/>
      </c>
      <c r="I1245" s="18" t="str">
        <f t="shared" ca="1" si="97"/>
        <v/>
      </c>
      <c r="J1245" s="5" t="str">
        <f t="shared" si="98"/>
        <v/>
      </c>
      <c r="K1245" s="25"/>
      <c r="L1245" s="5" t="str">
        <f t="shared" si="99"/>
        <v/>
      </c>
      <c r="M1245" s="7"/>
      <c r="N1245" s="7"/>
      <c r="O1245" s="7"/>
      <c r="P1245" s="20" t="str">
        <f>IF($A1245="","",INDEX(Project_Tracker!$I$2:$I$101,INT((ROW()-6)/17)+1))</f>
        <v/>
      </c>
      <c r="Q1245" s="20" t="str">
        <f>IF($A1245="","",INDEX(Project_Tracker!$K$2:$K$101,INT((ROW()-6)/17)+1))</f>
        <v/>
      </c>
    </row>
    <row r="1246" spans="1:17" x14ac:dyDescent="0.2">
      <c r="A1246" s="20" t="str">
        <f>IF(INDEX(Project_Tracker!$AL$2:$AL$101,INT((ROW()-6)/17)+1)="","",INDEX(Project_Tracker!$AL$2:$AL$101,INT((ROW()-6)/17)+1))</f>
        <v/>
      </c>
      <c r="B1246" s="21" t="str">
        <f>IF($A1246="","",INDEX(Project_Tracker!$AM$2:$AM$101,INT((ROW()-6)/17)+1))</f>
        <v/>
      </c>
      <c r="C1246" s="20" t="str">
        <f>IF($A1246="","",INDEX(Project_Tracker!$C$2:$C$101,INT((ROW()-6)/17)+1))</f>
        <v/>
      </c>
      <c r="D1246" s="6" t="str">
        <f>IF($A1246="","",INDEX(Project_Tracker!$T$2:$T$101,INT((ROW()-6)/17)+1))</f>
        <v/>
      </c>
      <c r="E1246" s="18">
        <f t="shared" si="95"/>
        <v>17</v>
      </c>
      <c r="F1246" s="23" t="str">
        <f>IF($A1246="","",INDEX('Logic &amp; Lists'!$I$4:$I$20,$E1246))</f>
        <v/>
      </c>
      <c r="G1246" s="18" t="str">
        <f>IF($A1246="","",INDEX('Logic &amp; Lists'!$J$4:$J$20,$E1246))</f>
        <v/>
      </c>
      <c r="H1246" s="6" t="str">
        <f t="shared" si="96"/>
        <v/>
      </c>
      <c r="I1246" s="18" t="str">
        <f t="shared" ca="1" si="97"/>
        <v/>
      </c>
      <c r="J1246" s="5" t="str">
        <f t="shared" si="98"/>
        <v/>
      </c>
      <c r="K1246" s="25"/>
      <c r="L1246" s="5" t="str">
        <f t="shared" si="99"/>
        <v/>
      </c>
      <c r="M1246" s="7"/>
      <c r="N1246" s="7"/>
      <c r="O1246" s="7"/>
      <c r="P1246" s="20" t="str">
        <f>IF($A1246="","",INDEX(Project_Tracker!$I$2:$I$101,INT((ROW()-6)/17)+1))</f>
        <v/>
      </c>
      <c r="Q1246" s="20" t="str">
        <f>IF($A1246="","",INDEX(Project_Tracker!$K$2:$K$101,INT((ROW()-6)/17)+1))</f>
        <v/>
      </c>
    </row>
    <row r="1247" spans="1:17" x14ac:dyDescent="0.2">
      <c r="A1247" s="20" t="str">
        <f>IF(INDEX(Project_Tracker!$AL$2:$AL$101,INT((ROW()-6)/17)+1)="","",INDEX(Project_Tracker!$AL$2:$AL$101,INT((ROW()-6)/17)+1))</f>
        <v/>
      </c>
      <c r="B1247" s="21" t="str">
        <f>IF($A1247="","",INDEX(Project_Tracker!$AM$2:$AM$101,INT((ROW()-6)/17)+1))</f>
        <v/>
      </c>
      <c r="C1247" s="20" t="str">
        <f>IF($A1247="","",INDEX(Project_Tracker!$C$2:$C$101,INT((ROW()-6)/17)+1))</f>
        <v/>
      </c>
      <c r="D1247" s="6" t="str">
        <f>IF($A1247="","",INDEX(Project_Tracker!$T$2:$T$101,INT((ROW()-6)/17)+1))</f>
        <v/>
      </c>
      <c r="E1247" s="18">
        <f t="shared" si="95"/>
        <v>1</v>
      </c>
      <c r="F1247" s="23" t="str">
        <f>IF($A1247="","",INDEX('Logic &amp; Lists'!$I$4:$I$20,$E1247))</f>
        <v/>
      </c>
      <c r="G1247" s="18" t="str">
        <f>IF($A1247="","",INDEX('Logic &amp; Lists'!$J$4:$J$20,$E1247))</f>
        <v/>
      </c>
      <c r="H1247" s="6" t="str">
        <f t="shared" si="96"/>
        <v/>
      </c>
      <c r="I1247" s="18" t="str">
        <f t="shared" ca="1" si="97"/>
        <v/>
      </c>
      <c r="J1247" s="5" t="str">
        <f t="shared" si="98"/>
        <v/>
      </c>
      <c r="K1247" s="25"/>
      <c r="L1247" s="5" t="str">
        <f t="shared" si="99"/>
        <v/>
      </c>
      <c r="M1247" s="7"/>
      <c r="N1247" s="7"/>
      <c r="O1247" s="7"/>
      <c r="P1247" s="20" t="str">
        <f>IF($A1247="","",INDEX(Project_Tracker!$I$2:$I$101,INT((ROW()-6)/17)+1))</f>
        <v/>
      </c>
      <c r="Q1247" s="20" t="str">
        <f>IF($A1247="","",INDEX(Project_Tracker!$K$2:$K$101,INT((ROW()-6)/17)+1))</f>
        <v/>
      </c>
    </row>
    <row r="1248" spans="1:17" x14ac:dyDescent="0.2">
      <c r="A1248" s="20" t="str">
        <f>IF(INDEX(Project_Tracker!$AL$2:$AL$101,INT((ROW()-6)/17)+1)="","",INDEX(Project_Tracker!$AL$2:$AL$101,INT((ROW()-6)/17)+1))</f>
        <v/>
      </c>
      <c r="B1248" s="21" t="str">
        <f>IF($A1248="","",INDEX(Project_Tracker!$AM$2:$AM$101,INT((ROW()-6)/17)+1))</f>
        <v/>
      </c>
      <c r="C1248" s="20" t="str">
        <f>IF($A1248="","",INDEX(Project_Tracker!$C$2:$C$101,INT((ROW()-6)/17)+1))</f>
        <v/>
      </c>
      <c r="D1248" s="6" t="str">
        <f>IF($A1248="","",INDEX(Project_Tracker!$T$2:$T$101,INT((ROW()-6)/17)+1))</f>
        <v/>
      </c>
      <c r="E1248" s="18">
        <f t="shared" si="95"/>
        <v>2</v>
      </c>
      <c r="F1248" s="23" t="str">
        <f>IF($A1248="","",INDEX('Logic &amp; Lists'!$I$4:$I$20,$E1248))</f>
        <v/>
      </c>
      <c r="G1248" s="18" t="str">
        <f>IF($A1248="","",INDEX('Logic &amp; Lists'!$J$4:$J$20,$E1248))</f>
        <v/>
      </c>
      <c r="H1248" s="6" t="str">
        <f t="shared" si="96"/>
        <v/>
      </c>
      <c r="I1248" s="18" t="str">
        <f t="shared" ca="1" si="97"/>
        <v/>
      </c>
      <c r="J1248" s="5" t="str">
        <f t="shared" si="98"/>
        <v/>
      </c>
      <c r="K1248" s="25"/>
      <c r="L1248" s="5" t="str">
        <f t="shared" si="99"/>
        <v/>
      </c>
      <c r="M1248" s="7"/>
      <c r="N1248" s="7"/>
      <c r="O1248" s="7"/>
      <c r="P1248" s="20" t="str">
        <f>IF($A1248="","",INDEX(Project_Tracker!$I$2:$I$101,INT((ROW()-6)/17)+1))</f>
        <v/>
      </c>
      <c r="Q1248" s="20" t="str">
        <f>IF($A1248="","",INDEX(Project_Tracker!$K$2:$K$101,INT((ROW()-6)/17)+1))</f>
        <v/>
      </c>
    </row>
    <row r="1249" spans="1:17" x14ac:dyDescent="0.2">
      <c r="A1249" s="20" t="str">
        <f>IF(INDEX(Project_Tracker!$AL$2:$AL$101,INT((ROW()-6)/17)+1)="","",INDEX(Project_Tracker!$AL$2:$AL$101,INT((ROW()-6)/17)+1))</f>
        <v/>
      </c>
      <c r="B1249" s="21" t="str">
        <f>IF($A1249="","",INDEX(Project_Tracker!$AM$2:$AM$101,INT((ROW()-6)/17)+1))</f>
        <v/>
      </c>
      <c r="C1249" s="20" t="str">
        <f>IF($A1249="","",INDEX(Project_Tracker!$C$2:$C$101,INT((ROW()-6)/17)+1))</f>
        <v/>
      </c>
      <c r="D1249" s="6" t="str">
        <f>IF($A1249="","",INDEX(Project_Tracker!$T$2:$T$101,INT((ROW()-6)/17)+1))</f>
        <v/>
      </c>
      <c r="E1249" s="18">
        <f t="shared" si="95"/>
        <v>3</v>
      </c>
      <c r="F1249" s="23" t="str">
        <f>IF($A1249="","",INDEX('Logic &amp; Lists'!$I$4:$I$20,$E1249))</f>
        <v/>
      </c>
      <c r="G1249" s="18" t="str">
        <f>IF($A1249="","",INDEX('Logic &amp; Lists'!$J$4:$J$20,$E1249))</f>
        <v/>
      </c>
      <c r="H1249" s="6" t="str">
        <f t="shared" si="96"/>
        <v/>
      </c>
      <c r="I1249" s="18" t="str">
        <f t="shared" ca="1" si="97"/>
        <v/>
      </c>
      <c r="J1249" s="5" t="str">
        <f t="shared" si="98"/>
        <v/>
      </c>
      <c r="K1249" s="25"/>
      <c r="L1249" s="5" t="str">
        <f t="shared" si="99"/>
        <v/>
      </c>
      <c r="M1249" s="7"/>
      <c r="N1249" s="7"/>
      <c r="O1249" s="7"/>
      <c r="P1249" s="20" t="str">
        <f>IF($A1249="","",INDEX(Project_Tracker!$I$2:$I$101,INT((ROW()-6)/17)+1))</f>
        <v/>
      </c>
      <c r="Q1249" s="20" t="str">
        <f>IF($A1249="","",INDEX(Project_Tracker!$K$2:$K$101,INT((ROW()-6)/17)+1))</f>
        <v/>
      </c>
    </row>
    <row r="1250" spans="1:17" x14ac:dyDescent="0.2">
      <c r="A1250" s="20" t="str">
        <f>IF(INDEX(Project_Tracker!$AL$2:$AL$101,INT((ROW()-6)/17)+1)="","",INDEX(Project_Tracker!$AL$2:$AL$101,INT((ROW()-6)/17)+1))</f>
        <v/>
      </c>
      <c r="B1250" s="21" t="str">
        <f>IF($A1250="","",INDEX(Project_Tracker!$AM$2:$AM$101,INT((ROW()-6)/17)+1))</f>
        <v/>
      </c>
      <c r="C1250" s="20" t="str">
        <f>IF($A1250="","",INDEX(Project_Tracker!$C$2:$C$101,INT((ROW()-6)/17)+1))</f>
        <v/>
      </c>
      <c r="D1250" s="6" t="str">
        <f>IF($A1250="","",INDEX(Project_Tracker!$T$2:$T$101,INT((ROW()-6)/17)+1))</f>
        <v/>
      </c>
      <c r="E1250" s="18">
        <f t="shared" si="95"/>
        <v>4</v>
      </c>
      <c r="F1250" s="23" t="str">
        <f>IF($A1250="","",INDEX('Logic &amp; Lists'!$I$4:$I$20,$E1250))</f>
        <v/>
      </c>
      <c r="G1250" s="18" t="str">
        <f>IF($A1250="","",INDEX('Logic &amp; Lists'!$J$4:$J$20,$E1250))</f>
        <v/>
      </c>
      <c r="H1250" s="6" t="str">
        <f t="shared" si="96"/>
        <v/>
      </c>
      <c r="I1250" s="18" t="str">
        <f t="shared" ca="1" si="97"/>
        <v/>
      </c>
      <c r="J1250" s="5" t="str">
        <f t="shared" si="98"/>
        <v/>
      </c>
      <c r="K1250" s="25"/>
      <c r="L1250" s="5" t="str">
        <f t="shared" si="99"/>
        <v/>
      </c>
      <c r="M1250" s="7"/>
      <c r="N1250" s="7"/>
      <c r="O1250" s="7"/>
      <c r="P1250" s="20" t="str">
        <f>IF($A1250="","",INDEX(Project_Tracker!$I$2:$I$101,INT((ROW()-6)/17)+1))</f>
        <v/>
      </c>
      <c r="Q1250" s="20" t="str">
        <f>IF($A1250="","",INDEX(Project_Tracker!$K$2:$K$101,INT((ROW()-6)/17)+1))</f>
        <v/>
      </c>
    </row>
    <row r="1251" spans="1:17" x14ac:dyDescent="0.2">
      <c r="A1251" s="20" t="str">
        <f>IF(INDEX(Project_Tracker!$AL$2:$AL$101,INT((ROW()-6)/17)+1)="","",INDEX(Project_Tracker!$AL$2:$AL$101,INT((ROW()-6)/17)+1))</f>
        <v/>
      </c>
      <c r="B1251" s="21" t="str">
        <f>IF($A1251="","",INDEX(Project_Tracker!$AM$2:$AM$101,INT((ROW()-6)/17)+1))</f>
        <v/>
      </c>
      <c r="C1251" s="20" t="str">
        <f>IF($A1251="","",INDEX(Project_Tracker!$C$2:$C$101,INT((ROW()-6)/17)+1))</f>
        <v/>
      </c>
      <c r="D1251" s="6" t="str">
        <f>IF($A1251="","",INDEX(Project_Tracker!$T$2:$T$101,INT((ROW()-6)/17)+1))</f>
        <v/>
      </c>
      <c r="E1251" s="18">
        <f t="shared" si="95"/>
        <v>5</v>
      </c>
      <c r="F1251" s="23" t="str">
        <f>IF($A1251="","",INDEX('Logic &amp; Lists'!$I$4:$I$20,$E1251))</f>
        <v/>
      </c>
      <c r="G1251" s="18" t="str">
        <f>IF($A1251="","",INDEX('Logic &amp; Lists'!$J$4:$J$20,$E1251))</f>
        <v/>
      </c>
      <c r="H1251" s="6" t="str">
        <f t="shared" si="96"/>
        <v/>
      </c>
      <c r="I1251" s="18" t="str">
        <f t="shared" ca="1" si="97"/>
        <v/>
      </c>
      <c r="J1251" s="5" t="str">
        <f t="shared" si="98"/>
        <v/>
      </c>
      <c r="K1251" s="25"/>
      <c r="L1251" s="5" t="str">
        <f t="shared" si="99"/>
        <v/>
      </c>
      <c r="M1251" s="7"/>
      <c r="N1251" s="7"/>
      <c r="O1251" s="7"/>
      <c r="P1251" s="20" t="str">
        <f>IF($A1251="","",INDEX(Project_Tracker!$I$2:$I$101,INT((ROW()-6)/17)+1))</f>
        <v/>
      </c>
      <c r="Q1251" s="20" t="str">
        <f>IF($A1251="","",INDEX(Project_Tracker!$K$2:$K$101,INT((ROW()-6)/17)+1))</f>
        <v/>
      </c>
    </row>
    <row r="1252" spans="1:17" x14ac:dyDescent="0.2">
      <c r="A1252" s="20" t="str">
        <f>IF(INDEX(Project_Tracker!$AL$2:$AL$101,INT((ROW()-6)/17)+1)="","",INDEX(Project_Tracker!$AL$2:$AL$101,INT((ROW()-6)/17)+1))</f>
        <v/>
      </c>
      <c r="B1252" s="21" t="str">
        <f>IF($A1252="","",INDEX(Project_Tracker!$AM$2:$AM$101,INT((ROW()-6)/17)+1))</f>
        <v/>
      </c>
      <c r="C1252" s="20" t="str">
        <f>IF($A1252="","",INDEX(Project_Tracker!$C$2:$C$101,INT((ROW()-6)/17)+1))</f>
        <v/>
      </c>
      <c r="D1252" s="6" t="str">
        <f>IF($A1252="","",INDEX(Project_Tracker!$T$2:$T$101,INT((ROW()-6)/17)+1))</f>
        <v/>
      </c>
      <c r="E1252" s="18">
        <f t="shared" si="95"/>
        <v>6</v>
      </c>
      <c r="F1252" s="23" t="str">
        <f>IF($A1252="","",INDEX('Logic &amp; Lists'!$I$4:$I$20,$E1252))</f>
        <v/>
      </c>
      <c r="G1252" s="18" t="str">
        <f>IF($A1252="","",INDEX('Logic &amp; Lists'!$J$4:$J$20,$E1252))</f>
        <v/>
      </c>
      <c r="H1252" s="6" t="str">
        <f t="shared" si="96"/>
        <v/>
      </c>
      <c r="I1252" s="18" t="str">
        <f t="shared" ca="1" si="97"/>
        <v/>
      </c>
      <c r="J1252" s="5" t="str">
        <f t="shared" si="98"/>
        <v/>
      </c>
      <c r="K1252" s="25"/>
      <c r="L1252" s="5" t="str">
        <f t="shared" si="99"/>
        <v/>
      </c>
      <c r="M1252" s="7"/>
      <c r="N1252" s="7"/>
      <c r="O1252" s="7"/>
      <c r="P1252" s="20" t="str">
        <f>IF($A1252="","",INDEX(Project_Tracker!$I$2:$I$101,INT((ROW()-6)/17)+1))</f>
        <v/>
      </c>
      <c r="Q1252" s="20" t="str">
        <f>IF($A1252="","",INDEX(Project_Tracker!$K$2:$K$101,INT((ROW()-6)/17)+1))</f>
        <v/>
      </c>
    </row>
    <row r="1253" spans="1:17" x14ac:dyDescent="0.2">
      <c r="A1253" s="20" t="str">
        <f>IF(INDEX(Project_Tracker!$AL$2:$AL$101,INT((ROW()-6)/17)+1)="","",INDEX(Project_Tracker!$AL$2:$AL$101,INT((ROW()-6)/17)+1))</f>
        <v/>
      </c>
      <c r="B1253" s="21" t="str">
        <f>IF($A1253="","",INDEX(Project_Tracker!$AM$2:$AM$101,INT((ROW()-6)/17)+1))</f>
        <v/>
      </c>
      <c r="C1253" s="20" t="str">
        <f>IF($A1253="","",INDEX(Project_Tracker!$C$2:$C$101,INT((ROW()-6)/17)+1))</f>
        <v/>
      </c>
      <c r="D1253" s="6" t="str">
        <f>IF($A1253="","",INDEX(Project_Tracker!$T$2:$T$101,INT((ROW()-6)/17)+1))</f>
        <v/>
      </c>
      <c r="E1253" s="18">
        <f t="shared" si="95"/>
        <v>7</v>
      </c>
      <c r="F1253" s="23" t="str">
        <f>IF($A1253="","",INDEX('Logic &amp; Lists'!$I$4:$I$20,$E1253))</f>
        <v/>
      </c>
      <c r="G1253" s="18" t="str">
        <f>IF($A1253="","",INDEX('Logic &amp; Lists'!$J$4:$J$20,$E1253))</f>
        <v/>
      </c>
      <c r="H1253" s="6" t="str">
        <f t="shared" si="96"/>
        <v/>
      </c>
      <c r="I1253" s="18" t="str">
        <f t="shared" ca="1" si="97"/>
        <v/>
      </c>
      <c r="J1253" s="5" t="str">
        <f t="shared" si="98"/>
        <v/>
      </c>
      <c r="K1253" s="25"/>
      <c r="L1253" s="5" t="str">
        <f t="shared" si="99"/>
        <v/>
      </c>
      <c r="M1253" s="7"/>
      <c r="N1253" s="7"/>
      <c r="O1253" s="7"/>
      <c r="P1253" s="20" t="str">
        <f>IF($A1253="","",INDEX(Project_Tracker!$I$2:$I$101,INT((ROW()-6)/17)+1))</f>
        <v/>
      </c>
      <c r="Q1253" s="20" t="str">
        <f>IF($A1253="","",INDEX(Project_Tracker!$K$2:$K$101,INT((ROW()-6)/17)+1))</f>
        <v/>
      </c>
    </row>
    <row r="1254" spans="1:17" x14ac:dyDescent="0.2">
      <c r="A1254" s="20" t="str">
        <f>IF(INDEX(Project_Tracker!$AL$2:$AL$101,INT((ROW()-6)/17)+1)="","",INDEX(Project_Tracker!$AL$2:$AL$101,INT((ROW()-6)/17)+1))</f>
        <v/>
      </c>
      <c r="B1254" s="21" t="str">
        <f>IF($A1254="","",INDEX(Project_Tracker!$AM$2:$AM$101,INT((ROW()-6)/17)+1))</f>
        <v/>
      </c>
      <c r="C1254" s="20" t="str">
        <f>IF($A1254="","",INDEX(Project_Tracker!$C$2:$C$101,INT((ROW()-6)/17)+1))</f>
        <v/>
      </c>
      <c r="D1254" s="6" t="str">
        <f>IF($A1254="","",INDEX(Project_Tracker!$T$2:$T$101,INT((ROW()-6)/17)+1))</f>
        <v/>
      </c>
      <c r="E1254" s="18">
        <f t="shared" si="95"/>
        <v>8</v>
      </c>
      <c r="F1254" s="23" t="str">
        <f>IF($A1254="","",INDEX('Logic &amp; Lists'!$I$4:$I$20,$E1254))</f>
        <v/>
      </c>
      <c r="G1254" s="18" t="str">
        <f>IF($A1254="","",INDEX('Logic &amp; Lists'!$J$4:$J$20,$E1254))</f>
        <v/>
      </c>
      <c r="H1254" s="6" t="str">
        <f t="shared" si="96"/>
        <v/>
      </c>
      <c r="I1254" s="18" t="str">
        <f t="shared" ca="1" si="97"/>
        <v/>
      </c>
      <c r="J1254" s="5" t="str">
        <f t="shared" si="98"/>
        <v/>
      </c>
      <c r="K1254" s="25"/>
      <c r="L1254" s="5" t="str">
        <f t="shared" si="99"/>
        <v/>
      </c>
      <c r="M1254" s="7"/>
      <c r="N1254" s="7"/>
      <c r="O1254" s="7"/>
      <c r="P1254" s="20" t="str">
        <f>IF($A1254="","",INDEX(Project_Tracker!$I$2:$I$101,INT((ROW()-6)/17)+1))</f>
        <v/>
      </c>
      <c r="Q1254" s="20" t="str">
        <f>IF($A1254="","",INDEX(Project_Tracker!$K$2:$K$101,INT((ROW()-6)/17)+1))</f>
        <v/>
      </c>
    </row>
    <row r="1255" spans="1:17" x14ac:dyDescent="0.2">
      <c r="A1255" s="20" t="str">
        <f>IF(INDEX(Project_Tracker!$AL$2:$AL$101,INT((ROW()-6)/17)+1)="","",INDEX(Project_Tracker!$AL$2:$AL$101,INT((ROW()-6)/17)+1))</f>
        <v/>
      </c>
      <c r="B1255" s="21" t="str">
        <f>IF($A1255="","",INDEX(Project_Tracker!$AM$2:$AM$101,INT((ROW()-6)/17)+1))</f>
        <v/>
      </c>
      <c r="C1255" s="20" t="str">
        <f>IF($A1255="","",INDEX(Project_Tracker!$C$2:$C$101,INT((ROW()-6)/17)+1))</f>
        <v/>
      </c>
      <c r="D1255" s="6" t="str">
        <f>IF($A1255="","",INDEX(Project_Tracker!$T$2:$T$101,INT((ROW()-6)/17)+1))</f>
        <v/>
      </c>
      <c r="E1255" s="18">
        <f t="shared" si="95"/>
        <v>9</v>
      </c>
      <c r="F1255" s="23" t="str">
        <f>IF($A1255="","",INDEX('Logic &amp; Lists'!$I$4:$I$20,$E1255))</f>
        <v/>
      </c>
      <c r="G1255" s="18" t="str">
        <f>IF($A1255="","",INDEX('Logic &amp; Lists'!$J$4:$J$20,$E1255))</f>
        <v/>
      </c>
      <c r="H1255" s="6" t="str">
        <f t="shared" si="96"/>
        <v/>
      </c>
      <c r="I1255" s="18" t="str">
        <f t="shared" ca="1" si="97"/>
        <v/>
      </c>
      <c r="J1255" s="5" t="str">
        <f t="shared" si="98"/>
        <v/>
      </c>
      <c r="K1255" s="25"/>
      <c r="L1255" s="5" t="str">
        <f t="shared" si="99"/>
        <v/>
      </c>
      <c r="M1255" s="7"/>
      <c r="N1255" s="7"/>
      <c r="O1255" s="7"/>
      <c r="P1255" s="20" t="str">
        <f>IF($A1255="","",INDEX(Project_Tracker!$I$2:$I$101,INT((ROW()-6)/17)+1))</f>
        <v/>
      </c>
      <c r="Q1255" s="20" t="str">
        <f>IF($A1255="","",INDEX(Project_Tracker!$K$2:$K$101,INT((ROW()-6)/17)+1))</f>
        <v/>
      </c>
    </row>
    <row r="1256" spans="1:17" x14ac:dyDescent="0.2">
      <c r="A1256" s="20" t="str">
        <f>IF(INDEX(Project_Tracker!$AL$2:$AL$101,INT((ROW()-6)/17)+1)="","",INDEX(Project_Tracker!$AL$2:$AL$101,INT((ROW()-6)/17)+1))</f>
        <v/>
      </c>
      <c r="B1256" s="21" t="str">
        <f>IF($A1256="","",INDEX(Project_Tracker!$AM$2:$AM$101,INT((ROW()-6)/17)+1))</f>
        <v/>
      </c>
      <c r="C1256" s="20" t="str">
        <f>IF($A1256="","",INDEX(Project_Tracker!$C$2:$C$101,INT((ROW()-6)/17)+1))</f>
        <v/>
      </c>
      <c r="D1256" s="6" t="str">
        <f>IF($A1256="","",INDEX(Project_Tracker!$T$2:$T$101,INT((ROW()-6)/17)+1))</f>
        <v/>
      </c>
      <c r="E1256" s="18">
        <f t="shared" si="95"/>
        <v>10</v>
      </c>
      <c r="F1256" s="23" t="str">
        <f>IF($A1256="","",INDEX('Logic &amp; Lists'!$I$4:$I$20,$E1256))</f>
        <v/>
      </c>
      <c r="G1256" s="18" t="str">
        <f>IF($A1256="","",INDEX('Logic &amp; Lists'!$J$4:$J$20,$E1256))</f>
        <v/>
      </c>
      <c r="H1256" s="6" t="str">
        <f t="shared" si="96"/>
        <v/>
      </c>
      <c r="I1256" s="18" t="str">
        <f t="shared" ca="1" si="97"/>
        <v/>
      </c>
      <c r="J1256" s="5" t="str">
        <f t="shared" si="98"/>
        <v/>
      </c>
      <c r="K1256" s="25"/>
      <c r="L1256" s="5" t="str">
        <f t="shared" si="99"/>
        <v/>
      </c>
      <c r="M1256" s="7"/>
      <c r="N1256" s="7"/>
      <c r="O1256" s="7"/>
      <c r="P1256" s="20" t="str">
        <f>IF($A1256="","",INDEX(Project_Tracker!$I$2:$I$101,INT((ROW()-6)/17)+1))</f>
        <v/>
      </c>
      <c r="Q1256" s="20" t="str">
        <f>IF($A1256="","",INDEX(Project_Tracker!$K$2:$K$101,INT((ROW()-6)/17)+1))</f>
        <v/>
      </c>
    </row>
    <row r="1257" spans="1:17" x14ac:dyDescent="0.2">
      <c r="A1257" s="20" t="str">
        <f>IF(INDEX(Project_Tracker!$AL$2:$AL$101,INT((ROW()-6)/17)+1)="","",INDEX(Project_Tracker!$AL$2:$AL$101,INT((ROW()-6)/17)+1))</f>
        <v/>
      </c>
      <c r="B1257" s="21" t="str">
        <f>IF($A1257="","",INDEX(Project_Tracker!$AM$2:$AM$101,INT((ROW()-6)/17)+1))</f>
        <v/>
      </c>
      <c r="C1257" s="20" t="str">
        <f>IF($A1257="","",INDEX(Project_Tracker!$C$2:$C$101,INT((ROW()-6)/17)+1))</f>
        <v/>
      </c>
      <c r="D1257" s="6" t="str">
        <f>IF($A1257="","",INDEX(Project_Tracker!$T$2:$T$101,INT((ROW()-6)/17)+1))</f>
        <v/>
      </c>
      <c r="E1257" s="18">
        <f t="shared" si="95"/>
        <v>11</v>
      </c>
      <c r="F1257" s="23" t="str">
        <f>IF($A1257="","",INDEX('Logic &amp; Lists'!$I$4:$I$20,$E1257))</f>
        <v/>
      </c>
      <c r="G1257" s="18" t="str">
        <f>IF($A1257="","",INDEX('Logic &amp; Lists'!$J$4:$J$20,$E1257))</f>
        <v/>
      </c>
      <c r="H1257" s="6" t="str">
        <f t="shared" si="96"/>
        <v/>
      </c>
      <c r="I1257" s="18" t="str">
        <f t="shared" ca="1" si="97"/>
        <v/>
      </c>
      <c r="J1257" s="5" t="str">
        <f t="shared" si="98"/>
        <v/>
      </c>
      <c r="K1257" s="25"/>
      <c r="L1257" s="5" t="str">
        <f t="shared" si="99"/>
        <v/>
      </c>
      <c r="M1257" s="7"/>
      <c r="N1257" s="7"/>
      <c r="O1257" s="7"/>
      <c r="P1257" s="20" t="str">
        <f>IF($A1257="","",INDEX(Project_Tracker!$I$2:$I$101,INT((ROW()-6)/17)+1))</f>
        <v/>
      </c>
      <c r="Q1257" s="20" t="str">
        <f>IF($A1257="","",INDEX(Project_Tracker!$K$2:$K$101,INT((ROW()-6)/17)+1))</f>
        <v/>
      </c>
    </row>
    <row r="1258" spans="1:17" x14ac:dyDescent="0.2">
      <c r="A1258" s="20" t="str">
        <f>IF(INDEX(Project_Tracker!$AL$2:$AL$101,INT((ROW()-6)/17)+1)="","",INDEX(Project_Tracker!$AL$2:$AL$101,INT((ROW()-6)/17)+1))</f>
        <v/>
      </c>
      <c r="B1258" s="21" t="str">
        <f>IF($A1258="","",INDEX(Project_Tracker!$AM$2:$AM$101,INT((ROW()-6)/17)+1))</f>
        <v/>
      </c>
      <c r="C1258" s="20" t="str">
        <f>IF($A1258="","",INDEX(Project_Tracker!$C$2:$C$101,INT((ROW()-6)/17)+1))</f>
        <v/>
      </c>
      <c r="D1258" s="6" t="str">
        <f>IF($A1258="","",INDEX(Project_Tracker!$T$2:$T$101,INT((ROW()-6)/17)+1))</f>
        <v/>
      </c>
      <c r="E1258" s="18">
        <f t="shared" si="95"/>
        <v>12</v>
      </c>
      <c r="F1258" s="23" t="str">
        <f>IF($A1258="","",INDEX('Logic &amp; Lists'!$I$4:$I$20,$E1258))</f>
        <v/>
      </c>
      <c r="G1258" s="18" t="str">
        <f>IF($A1258="","",INDEX('Logic &amp; Lists'!$J$4:$J$20,$E1258))</f>
        <v/>
      </c>
      <c r="H1258" s="6" t="str">
        <f t="shared" si="96"/>
        <v/>
      </c>
      <c r="I1258" s="18" t="str">
        <f t="shared" ca="1" si="97"/>
        <v/>
      </c>
      <c r="J1258" s="5" t="str">
        <f t="shared" si="98"/>
        <v/>
      </c>
      <c r="K1258" s="25"/>
      <c r="L1258" s="5" t="str">
        <f t="shared" si="99"/>
        <v/>
      </c>
      <c r="M1258" s="7"/>
      <c r="N1258" s="7"/>
      <c r="O1258" s="7"/>
      <c r="P1258" s="20" t="str">
        <f>IF($A1258="","",INDEX(Project_Tracker!$I$2:$I$101,INT((ROW()-6)/17)+1))</f>
        <v/>
      </c>
      <c r="Q1258" s="20" t="str">
        <f>IF($A1258="","",INDEX(Project_Tracker!$K$2:$K$101,INT((ROW()-6)/17)+1))</f>
        <v/>
      </c>
    </row>
    <row r="1259" spans="1:17" x14ac:dyDescent="0.2">
      <c r="A1259" s="20" t="str">
        <f>IF(INDEX(Project_Tracker!$AL$2:$AL$101,INT((ROW()-6)/17)+1)="","",INDEX(Project_Tracker!$AL$2:$AL$101,INT((ROW()-6)/17)+1))</f>
        <v/>
      </c>
      <c r="B1259" s="21" t="str">
        <f>IF($A1259="","",INDEX(Project_Tracker!$AM$2:$AM$101,INT((ROW()-6)/17)+1))</f>
        <v/>
      </c>
      <c r="C1259" s="20" t="str">
        <f>IF($A1259="","",INDEX(Project_Tracker!$C$2:$C$101,INT((ROW()-6)/17)+1))</f>
        <v/>
      </c>
      <c r="D1259" s="6" t="str">
        <f>IF($A1259="","",INDEX(Project_Tracker!$T$2:$T$101,INT((ROW()-6)/17)+1))</f>
        <v/>
      </c>
      <c r="E1259" s="18">
        <f t="shared" si="95"/>
        <v>13</v>
      </c>
      <c r="F1259" s="23" t="str">
        <f>IF($A1259="","",INDEX('Logic &amp; Lists'!$I$4:$I$20,$E1259))</f>
        <v/>
      </c>
      <c r="G1259" s="18" t="str">
        <f>IF($A1259="","",INDEX('Logic &amp; Lists'!$J$4:$J$20,$E1259))</f>
        <v/>
      </c>
      <c r="H1259" s="6" t="str">
        <f t="shared" si="96"/>
        <v/>
      </c>
      <c r="I1259" s="18" t="str">
        <f t="shared" ca="1" si="97"/>
        <v/>
      </c>
      <c r="J1259" s="5" t="str">
        <f t="shared" si="98"/>
        <v/>
      </c>
      <c r="K1259" s="25"/>
      <c r="L1259" s="5" t="str">
        <f t="shared" si="99"/>
        <v/>
      </c>
      <c r="M1259" s="7"/>
      <c r="N1259" s="7"/>
      <c r="O1259" s="7"/>
      <c r="P1259" s="20" t="str">
        <f>IF($A1259="","",INDEX(Project_Tracker!$I$2:$I$101,INT((ROW()-6)/17)+1))</f>
        <v/>
      </c>
      <c r="Q1259" s="20" t="str">
        <f>IF($A1259="","",INDEX(Project_Tracker!$K$2:$K$101,INT((ROW()-6)/17)+1))</f>
        <v/>
      </c>
    </row>
    <row r="1260" spans="1:17" x14ac:dyDescent="0.2">
      <c r="A1260" s="20" t="str">
        <f>IF(INDEX(Project_Tracker!$AL$2:$AL$101,INT((ROW()-6)/17)+1)="","",INDEX(Project_Tracker!$AL$2:$AL$101,INT((ROW()-6)/17)+1))</f>
        <v/>
      </c>
      <c r="B1260" s="21" t="str">
        <f>IF($A1260="","",INDEX(Project_Tracker!$AM$2:$AM$101,INT((ROW()-6)/17)+1))</f>
        <v/>
      </c>
      <c r="C1260" s="20" t="str">
        <f>IF($A1260="","",INDEX(Project_Tracker!$C$2:$C$101,INT((ROW()-6)/17)+1))</f>
        <v/>
      </c>
      <c r="D1260" s="6" t="str">
        <f>IF($A1260="","",INDEX(Project_Tracker!$T$2:$T$101,INT((ROW()-6)/17)+1))</f>
        <v/>
      </c>
      <c r="E1260" s="18">
        <f t="shared" si="95"/>
        <v>14</v>
      </c>
      <c r="F1260" s="23" t="str">
        <f>IF($A1260="","",INDEX('Logic &amp; Lists'!$I$4:$I$20,$E1260))</f>
        <v/>
      </c>
      <c r="G1260" s="18" t="str">
        <f>IF($A1260="","",INDEX('Logic &amp; Lists'!$J$4:$J$20,$E1260))</f>
        <v/>
      </c>
      <c r="H1260" s="6" t="str">
        <f t="shared" si="96"/>
        <v/>
      </c>
      <c r="I1260" s="18" t="str">
        <f t="shared" ca="1" si="97"/>
        <v/>
      </c>
      <c r="J1260" s="5" t="str">
        <f t="shared" si="98"/>
        <v/>
      </c>
      <c r="K1260" s="25"/>
      <c r="L1260" s="5" t="str">
        <f t="shared" si="99"/>
        <v/>
      </c>
      <c r="M1260" s="7"/>
      <c r="N1260" s="7"/>
      <c r="O1260" s="7"/>
      <c r="P1260" s="20" t="str">
        <f>IF($A1260="","",INDEX(Project_Tracker!$I$2:$I$101,INT((ROW()-6)/17)+1))</f>
        <v/>
      </c>
      <c r="Q1260" s="20" t="str">
        <f>IF($A1260="","",INDEX(Project_Tracker!$K$2:$K$101,INT((ROW()-6)/17)+1))</f>
        <v/>
      </c>
    </row>
    <row r="1261" spans="1:17" x14ac:dyDescent="0.2">
      <c r="A1261" s="20" t="str">
        <f>IF(INDEX(Project_Tracker!$AL$2:$AL$101,INT((ROW()-6)/17)+1)="","",INDEX(Project_Tracker!$AL$2:$AL$101,INT((ROW()-6)/17)+1))</f>
        <v/>
      </c>
      <c r="B1261" s="21" t="str">
        <f>IF($A1261="","",INDEX(Project_Tracker!$AM$2:$AM$101,INT((ROW()-6)/17)+1))</f>
        <v/>
      </c>
      <c r="C1261" s="20" t="str">
        <f>IF($A1261="","",INDEX(Project_Tracker!$C$2:$C$101,INT((ROW()-6)/17)+1))</f>
        <v/>
      </c>
      <c r="D1261" s="6" t="str">
        <f>IF($A1261="","",INDEX(Project_Tracker!$T$2:$T$101,INT((ROW()-6)/17)+1))</f>
        <v/>
      </c>
      <c r="E1261" s="18">
        <f t="shared" si="95"/>
        <v>15</v>
      </c>
      <c r="F1261" s="23" t="str">
        <f>IF($A1261="","",INDEX('Logic &amp; Lists'!$I$4:$I$20,$E1261))</f>
        <v/>
      </c>
      <c r="G1261" s="18" t="str">
        <f>IF($A1261="","",INDEX('Logic &amp; Lists'!$J$4:$J$20,$E1261))</f>
        <v/>
      </c>
      <c r="H1261" s="6" t="str">
        <f t="shared" si="96"/>
        <v/>
      </c>
      <c r="I1261" s="18" t="str">
        <f t="shared" ca="1" si="97"/>
        <v/>
      </c>
      <c r="J1261" s="5" t="str">
        <f t="shared" si="98"/>
        <v/>
      </c>
      <c r="K1261" s="25"/>
      <c r="L1261" s="5" t="str">
        <f t="shared" si="99"/>
        <v/>
      </c>
      <c r="M1261" s="7"/>
      <c r="N1261" s="7"/>
      <c r="O1261" s="7"/>
      <c r="P1261" s="20" t="str">
        <f>IF($A1261="","",INDEX(Project_Tracker!$I$2:$I$101,INT((ROW()-6)/17)+1))</f>
        <v/>
      </c>
      <c r="Q1261" s="20" t="str">
        <f>IF($A1261="","",INDEX(Project_Tracker!$K$2:$K$101,INT((ROW()-6)/17)+1))</f>
        <v/>
      </c>
    </row>
    <row r="1262" spans="1:17" x14ac:dyDescent="0.2">
      <c r="A1262" s="20" t="str">
        <f>IF(INDEX(Project_Tracker!$AL$2:$AL$101,INT((ROW()-6)/17)+1)="","",INDEX(Project_Tracker!$AL$2:$AL$101,INT((ROW()-6)/17)+1))</f>
        <v/>
      </c>
      <c r="B1262" s="21" t="str">
        <f>IF($A1262="","",INDEX(Project_Tracker!$AM$2:$AM$101,INT((ROW()-6)/17)+1))</f>
        <v/>
      </c>
      <c r="C1262" s="20" t="str">
        <f>IF($A1262="","",INDEX(Project_Tracker!$C$2:$C$101,INT((ROW()-6)/17)+1))</f>
        <v/>
      </c>
      <c r="D1262" s="6" t="str">
        <f>IF($A1262="","",INDEX(Project_Tracker!$T$2:$T$101,INT((ROW()-6)/17)+1))</f>
        <v/>
      </c>
      <c r="E1262" s="18">
        <f t="shared" si="95"/>
        <v>16</v>
      </c>
      <c r="F1262" s="23" t="str">
        <f>IF($A1262="","",INDEX('Logic &amp; Lists'!$I$4:$I$20,$E1262))</f>
        <v/>
      </c>
      <c r="G1262" s="18" t="str">
        <f>IF($A1262="","",INDEX('Logic &amp; Lists'!$J$4:$J$20,$E1262))</f>
        <v/>
      </c>
      <c r="H1262" s="6" t="str">
        <f t="shared" si="96"/>
        <v/>
      </c>
      <c r="I1262" s="18" t="str">
        <f t="shared" ca="1" si="97"/>
        <v/>
      </c>
      <c r="J1262" s="5" t="str">
        <f t="shared" si="98"/>
        <v/>
      </c>
      <c r="K1262" s="25"/>
      <c r="L1262" s="5" t="str">
        <f t="shared" si="99"/>
        <v/>
      </c>
      <c r="M1262" s="7"/>
      <c r="N1262" s="7"/>
      <c r="O1262" s="7"/>
      <c r="P1262" s="20" t="str">
        <f>IF($A1262="","",INDEX(Project_Tracker!$I$2:$I$101,INT((ROW()-6)/17)+1))</f>
        <v/>
      </c>
      <c r="Q1262" s="20" t="str">
        <f>IF($A1262="","",INDEX(Project_Tracker!$K$2:$K$101,INT((ROW()-6)/17)+1))</f>
        <v/>
      </c>
    </row>
    <row r="1263" spans="1:17" x14ac:dyDescent="0.2">
      <c r="A1263" s="20" t="str">
        <f>IF(INDEX(Project_Tracker!$AL$2:$AL$101,INT((ROW()-6)/17)+1)="","",INDEX(Project_Tracker!$AL$2:$AL$101,INT((ROW()-6)/17)+1))</f>
        <v/>
      </c>
      <c r="B1263" s="21" t="str">
        <f>IF($A1263="","",INDEX(Project_Tracker!$AM$2:$AM$101,INT((ROW()-6)/17)+1))</f>
        <v/>
      </c>
      <c r="C1263" s="20" t="str">
        <f>IF($A1263="","",INDEX(Project_Tracker!$C$2:$C$101,INT((ROW()-6)/17)+1))</f>
        <v/>
      </c>
      <c r="D1263" s="6" t="str">
        <f>IF($A1263="","",INDEX(Project_Tracker!$T$2:$T$101,INT((ROW()-6)/17)+1))</f>
        <v/>
      </c>
      <c r="E1263" s="18">
        <f t="shared" si="95"/>
        <v>17</v>
      </c>
      <c r="F1263" s="23" t="str">
        <f>IF($A1263="","",INDEX('Logic &amp; Lists'!$I$4:$I$20,$E1263))</f>
        <v/>
      </c>
      <c r="G1263" s="18" t="str">
        <f>IF($A1263="","",INDEX('Logic &amp; Lists'!$J$4:$J$20,$E1263))</f>
        <v/>
      </c>
      <c r="H1263" s="6" t="str">
        <f t="shared" si="96"/>
        <v/>
      </c>
      <c r="I1263" s="18" t="str">
        <f t="shared" ca="1" si="97"/>
        <v/>
      </c>
      <c r="J1263" s="5" t="str">
        <f t="shared" si="98"/>
        <v/>
      </c>
      <c r="K1263" s="25"/>
      <c r="L1263" s="5" t="str">
        <f t="shared" si="99"/>
        <v/>
      </c>
      <c r="M1263" s="7"/>
      <c r="N1263" s="7"/>
      <c r="O1263" s="7"/>
      <c r="P1263" s="20" t="str">
        <f>IF($A1263="","",INDEX(Project_Tracker!$I$2:$I$101,INT((ROW()-6)/17)+1))</f>
        <v/>
      </c>
      <c r="Q1263" s="20" t="str">
        <f>IF($A1263="","",INDEX(Project_Tracker!$K$2:$K$101,INT((ROW()-6)/17)+1))</f>
        <v/>
      </c>
    </row>
    <row r="1264" spans="1:17" x14ac:dyDescent="0.2">
      <c r="A1264" s="20" t="str">
        <f>IF(INDEX(Project_Tracker!$AL$2:$AL$101,INT((ROW()-6)/17)+1)="","",INDEX(Project_Tracker!$AL$2:$AL$101,INT((ROW()-6)/17)+1))</f>
        <v/>
      </c>
      <c r="B1264" s="21" t="str">
        <f>IF($A1264="","",INDEX(Project_Tracker!$AM$2:$AM$101,INT((ROW()-6)/17)+1))</f>
        <v/>
      </c>
      <c r="C1264" s="20" t="str">
        <f>IF($A1264="","",INDEX(Project_Tracker!$C$2:$C$101,INT((ROW()-6)/17)+1))</f>
        <v/>
      </c>
      <c r="D1264" s="6" t="str">
        <f>IF($A1264="","",INDEX(Project_Tracker!$T$2:$T$101,INT((ROW()-6)/17)+1))</f>
        <v/>
      </c>
      <c r="E1264" s="18">
        <f t="shared" si="95"/>
        <v>1</v>
      </c>
      <c r="F1264" s="23" t="str">
        <f>IF($A1264="","",INDEX('Logic &amp; Lists'!$I$4:$I$20,$E1264))</f>
        <v/>
      </c>
      <c r="G1264" s="18" t="str">
        <f>IF($A1264="","",INDEX('Logic &amp; Lists'!$J$4:$J$20,$E1264))</f>
        <v/>
      </c>
      <c r="H1264" s="6" t="str">
        <f t="shared" si="96"/>
        <v/>
      </c>
      <c r="I1264" s="18" t="str">
        <f t="shared" ca="1" si="97"/>
        <v/>
      </c>
      <c r="J1264" s="5" t="str">
        <f t="shared" si="98"/>
        <v/>
      </c>
      <c r="K1264" s="25"/>
      <c r="L1264" s="5" t="str">
        <f t="shared" si="99"/>
        <v/>
      </c>
      <c r="M1264" s="7"/>
      <c r="N1264" s="7"/>
      <c r="O1264" s="7"/>
      <c r="P1264" s="20" t="str">
        <f>IF($A1264="","",INDEX(Project_Tracker!$I$2:$I$101,INT((ROW()-6)/17)+1))</f>
        <v/>
      </c>
      <c r="Q1264" s="20" t="str">
        <f>IF($A1264="","",INDEX(Project_Tracker!$K$2:$K$101,INT((ROW()-6)/17)+1))</f>
        <v/>
      </c>
    </row>
    <row r="1265" spans="1:17" x14ac:dyDescent="0.2">
      <c r="A1265" s="20" t="str">
        <f>IF(INDEX(Project_Tracker!$AL$2:$AL$101,INT((ROW()-6)/17)+1)="","",INDEX(Project_Tracker!$AL$2:$AL$101,INT((ROW()-6)/17)+1))</f>
        <v/>
      </c>
      <c r="B1265" s="21" t="str">
        <f>IF($A1265="","",INDEX(Project_Tracker!$AM$2:$AM$101,INT((ROW()-6)/17)+1))</f>
        <v/>
      </c>
      <c r="C1265" s="20" t="str">
        <f>IF($A1265="","",INDEX(Project_Tracker!$C$2:$C$101,INT((ROW()-6)/17)+1))</f>
        <v/>
      </c>
      <c r="D1265" s="6" t="str">
        <f>IF($A1265="","",INDEX(Project_Tracker!$T$2:$T$101,INT((ROW()-6)/17)+1))</f>
        <v/>
      </c>
      <c r="E1265" s="18">
        <f t="shared" si="95"/>
        <v>2</v>
      </c>
      <c r="F1265" s="23" t="str">
        <f>IF($A1265="","",INDEX('Logic &amp; Lists'!$I$4:$I$20,$E1265))</f>
        <v/>
      </c>
      <c r="G1265" s="18" t="str">
        <f>IF($A1265="","",INDEX('Logic &amp; Lists'!$J$4:$J$20,$E1265))</f>
        <v/>
      </c>
      <c r="H1265" s="6" t="str">
        <f t="shared" si="96"/>
        <v/>
      </c>
      <c r="I1265" s="18" t="str">
        <f t="shared" ca="1" si="97"/>
        <v/>
      </c>
      <c r="J1265" s="5" t="str">
        <f t="shared" si="98"/>
        <v/>
      </c>
      <c r="K1265" s="25"/>
      <c r="L1265" s="5" t="str">
        <f t="shared" si="99"/>
        <v/>
      </c>
      <c r="M1265" s="7"/>
      <c r="N1265" s="7"/>
      <c r="O1265" s="7"/>
      <c r="P1265" s="20" t="str">
        <f>IF($A1265="","",INDEX(Project_Tracker!$I$2:$I$101,INT((ROW()-6)/17)+1))</f>
        <v/>
      </c>
      <c r="Q1265" s="20" t="str">
        <f>IF($A1265="","",INDEX(Project_Tracker!$K$2:$K$101,INT((ROW()-6)/17)+1))</f>
        <v/>
      </c>
    </row>
    <row r="1266" spans="1:17" x14ac:dyDescent="0.2">
      <c r="A1266" s="20" t="str">
        <f>IF(INDEX(Project_Tracker!$AL$2:$AL$101,INT((ROW()-6)/17)+1)="","",INDEX(Project_Tracker!$AL$2:$AL$101,INT((ROW()-6)/17)+1))</f>
        <v/>
      </c>
      <c r="B1266" s="21" t="str">
        <f>IF($A1266="","",INDEX(Project_Tracker!$AM$2:$AM$101,INT((ROW()-6)/17)+1))</f>
        <v/>
      </c>
      <c r="C1266" s="20" t="str">
        <f>IF($A1266="","",INDEX(Project_Tracker!$C$2:$C$101,INT((ROW()-6)/17)+1))</f>
        <v/>
      </c>
      <c r="D1266" s="6" t="str">
        <f>IF($A1266="","",INDEX(Project_Tracker!$T$2:$T$101,INT((ROW()-6)/17)+1))</f>
        <v/>
      </c>
      <c r="E1266" s="18">
        <f t="shared" si="95"/>
        <v>3</v>
      </c>
      <c r="F1266" s="23" t="str">
        <f>IF($A1266="","",INDEX('Logic &amp; Lists'!$I$4:$I$20,$E1266))</f>
        <v/>
      </c>
      <c r="G1266" s="18" t="str">
        <f>IF($A1266="","",INDEX('Logic &amp; Lists'!$J$4:$J$20,$E1266))</f>
        <v/>
      </c>
      <c r="H1266" s="6" t="str">
        <f t="shared" si="96"/>
        <v/>
      </c>
      <c r="I1266" s="18" t="str">
        <f t="shared" ca="1" si="97"/>
        <v/>
      </c>
      <c r="J1266" s="5" t="str">
        <f t="shared" si="98"/>
        <v/>
      </c>
      <c r="K1266" s="25"/>
      <c r="L1266" s="5" t="str">
        <f t="shared" si="99"/>
        <v/>
      </c>
      <c r="M1266" s="7"/>
      <c r="N1266" s="7"/>
      <c r="O1266" s="7"/>
      <c r="P1266" s="20" t="str">
        <f>IF($A1266="","",INDEX(Project_Tracker!$I$2:$I$101,INT((ROW()-6)/17)+1))</f>
        <v/>
      </c>
      <c r="Q1266" s="20" t="str">
        <f>IF($A1266="","",INDEX(Project_Tracker!$K$2:$K$101,INT((ROW()-6)/17)+1))</f>
        <v/>
      </c>
    </row>
    <row r="1267" spans="1:17" x14ac:dyDescent="0.2">
      <c r="A1267" s="20" t="str">
        <f>IF(INDEX(Project_Tracker!$AL$2:$AL$101,INT((ROW()-6)/17)+1)="","",INDEX(Project_Tracker!$AL$2:$AL$101,INT((ROW()-6)/17)+1))</f>
        <v/>
      </c>
      <c r="B1267" s="21" t="str">
        <f>IF($A1267="","",INDEX(Project_Tracker!$AM$2:$AM$101,INT((ROW()-6)/17)+1))</f>
        <v/>
      </c>
      <c r="C1267" s="20" t="str">
        <f>IF($A1267="","",INDEX(Project_Tracker!$C$2:$C$101,INT((ROW()-6)/17)+1))</f>
        <v/>
      </c>
      <c r="D1267" s="6" t="str">
        <f>IF($A1267="","",INDEX(Project_Tracker!$T$2:$T$101,INT((ROW()-6)/17)+1))</f>
        <v/>
      </c>
      <c r="E1267" s="18">
        <f t="shared" si="95"/>
        <v>4</v>
      </c>
      <c r="F1267" s="23" t="str">
        <f>IF($A1267="","",INDEX('Logic &amp; Lists'!$I$4:$I$20,$E1267))</f>
        <v/>
      </c>
      <c r="G1267" s="18" t="str">
        <f>IF($A1267="","",INDEX('Logic &amp; Lists'!$J$4:$J$20,$E1267))</f>
        <v/>
      </c>
      <c r="H1267" s="6" t="str">
        <f t="shared" si="96"/>
        <v/>
      </c>
      <c r="I1267" s="18" t="str">
        <f t="shared" ca="1" si="97"/>
        <v/>
      </c>
      <c r="J1267" s="5" t="str">
        <f t="shared" si="98"/>
        <v/>
      </c>
      <c r="K1267" s="25"/>
      <c r="L1267" s="5" t="str">
        <f t="shared" si="99"/>
        <v/>
      </c>
      <c r="M1267" s="7"/>
      <c r="N1267" s="7"/>
      <c r="O1267" s="7"/>
      <c r="P1267" s="20" t="str">
        <f>IF($A1267="","",INDEX(Project_Tracker!$I$2:$I$101,INT((ROW()-6)/17)+1))</f>
        <v/>
      </c>
      <c r="Q1267" s="20" t="str">
        <f>IF($A1267="","",INDEX(Project_Tracker!$K$2:$K$101,INT((ROW()-6)/17)+1))</f>
        <v/>
      </c>
    </row>
    <row r="1268" spans="1:17" x14ac:dyDescent="0.2">
      <c r="A1268" s="20" t="str">
        <f>IF(INDEX(Project_Tracker!$AL$2:$AL$101,INT((ROW()-6)/17)+1)="","",INDEX(Project_Tracker!$AL$2:$AL$101,INT((ROW()-6)/17)+1))</f>
        <v/>
      </c>
      <c r="B1268" s="21" t="str">
        <f>IF($A1268="","",INDEX(Project_Tracker!$AM$2:$AM$101,INT((ROW()-6)/17)+1))</f>
        <v/>
      </c>
      <c r="C1268" s="20" t="str">
        <f>IF($A1268="","",INDEX(Project_Tracker!$C$2:$C$101,INT((ROW()-6)/17)+1))</f>
        <v/>
      </c>
      <c r="D1268" s="6" t="str">
        <f>IF($A1268="","",INDEX(Project_Tracker!$T$2:$T$101,INT((ROW()-6)/17)+1))</f>
        <v/>
      </c>
      <c r="E1268" s="18">
        <f t="shared" si="95"/>
        <v>5</v>
      </c>
      <c r="F1268" s="23" t="str">
        <f>IF($A1268="","",INDEX('Logic &amp; Lists'!$I$4:$I$20,$E1268))</f>
        <v/>
      </c>
      <c r="G1268" s="18" t="str">
        <f>IF($A1268="","",INDEX('Logic &amp; Lists'!$J$4:$J$20,$E1268))</f>
        <v/>
      </c>
      <c r="H1268" s="6" t="str">
        <f t="shared" si="96"/>
        <v/>
      </c>
      <c r="I1268" s="18" t="str">
        <f t="shared" ca="1" si="97"/>
        <v/>
      </c>
      <c r="J1268" s="5" t="str">
        <f t="shared" si="98"/>
        <v/>
      </c>
      <c r="K1268" s="25"/>
      <c r="L1268" s="5" t="str">
        <f t="shared" si="99"/>
        <v/>
      </c>
      <c r="M1268" s="7"/>
      <c r="N1268" s="7"/>
      <c r="O1268" s="7"/>
      <c r="P1268" s="20" t="str">
        <f>IF($A1268="","",INDEX(Project_Tracker!$I$2:$I$101,INT((ROW()-6)/17)+1))</f>
        <v/>
      </c>
      <c r="Q1268" s="20" t="str">
        <f>IF($A1268="","",INDEX(Project_Tracker!$K$2:$K$101,INT((ROW()-6)/17)+1))</f>
        <v/>
      </c>
    </row>
    <row r="1269" spans="1:17" x14ac:dyDescent="0.2">
      <c r="A1269" s="20" t="str">
        <f>IF(INDEX(Project_Tracker!$AL$2:$AL$101,INT((ROW()-6)/17)+1)="","",INDEX(Project_Tracker!$AL$2:$AL$101,INT((ROW()-6)/17)+1))</f>
        <v/>
      </c>
      <c r="B1269" s="21" t="str">
        <f>IF($A1269="","",INDEX(Project_Tracker!$AM$2:$AM$101,INT((ROW()-6)/17)+1))</f>
        <v/>
      </c>
      <c r="C1269" s="20" t="str">
        <f>IF($A1269="","",INDEX(Project_Tracker!$C$2:$C$101,INT((ROW()-6)/17)+1))</f>
        <v/>
      </c>
      <c r="D1269" s="6" t="str">
        <f>IF($A1269="","",INDEX(Project_Tracker!$T$2:$T$101,INT((ROW()-6)/17)+1))</f>
        <v/>
      </c>
      <c r="E1269" s="18">
        <f t="shared" si="95"/>
        <v>6</v>
      </c>
      <c r="F1269" s="23" t="str">
        <f>IF($A1269="","",INDEX('Logic &amp; Lists'!$I$4:$I$20,$E1269))</f>
        <v/>
      </c>
      <c r="G1269" s="18" t="str">
        <f>IF($A1269="","",INDEX('Logic &amp; Lists'!$J$4:$J$20,$E1269))</f>
        <v/>
      </c>
      <c r="H1269" s="6" t="str">
        <f t="shared" si="96"/>
        <v/>
      </c>
      <c r="I1269" s="18" t="str">
        <f t="shared" ca="1" si="97"/>
        <v/>
      </c>
      <c r="J1269" s="5" t="str">
        <f t="shared" si="98"/>
        <v/>
      </c>
      <c r="K1269" s="25"/>
      <c r="L1269" s="5" t="str">
        <f t="shared" si="99"/>
        <v/>
      </c>
      <c r="M1269" s="7"/>
      <c r="N1269" s="7"/>
      <c r="O1269" s="7"/>
      <c r="P1269" s="20" t="str">
        <f>IF($A1269="","",INDEX(Project_Tracker!$I$2:$I$101,INT((ROW()-6)/17)+1))</f>
        <v/>
      </c>
      <c r="Q1269" s="20" t="str">
        <f>IF($A1269="","",INDEX(Project_Tracker!$K$2:$K$101,INT((ROW()-6)/17)+1))</f>
        <v/>
      </c>
    </row>
    <row r="1270" spans="1:17" x14ac:dyDescent="0.2">
      <c r="A1270" s="20" t="str">
        <f>IF(INDEX(Project_Tracker!$AL$2:$AL$101,INT((ROW()-6)/17)+1)="","",INDEX(Project_Tracker!$AL$2:$AL$101,INT((ROW()-6)/17)+1))</f>
        <v/>
      </c>
      <c r="B1270" s="21" t="str">
        <f>IF($A1270="","",INDEX(Project_Tracker!$AM$2:$AM$101,INT((ROW()-6)/17)+1))</f>
        <v/>
      </c>
      <c r="C1270" s="20" t="str">
        <f>IF($A1270="","",INDEX(Project_Tracker!$C$2:$C$101,INT((ROW()-6)/17)+1))</f>
        <v/>
      </c>
      <c r="D1270" s="6" t="str">
        <f>IF($A1270="","",INDEX(Project_Tracker!$T$2:$T$101,INT((ROW()-6)/17)+1))</f>
        <v/>
      </c>
      <c r="E1270" s="18">
        <f t="shared" si="95"/>
        <v>7</v>
      </c>
      <c r="F1270" s="23" t="str">
        <f>IF($A1270="","",INDEX('Logic &amp; Lists'!$I$4:$I$20,$E1270))</f>
        <v/>
      </c>
      <c r="G1270" s="18" t="str">
        <f>IF($A1270="","",INDEX('Logic &amp; Lists'!$J$4:$J$20,$E1270))</f>
        <v/>
      </c>
      <c r="H1270" s="6" t="str">
        <f t="shared" si="96"/>
        <v/>
      </c>
      <c r="I1270" s="18" t="str">
        <f t="shared" ca="1" si="97"/>
        <v/>
      </c>
      <c r="J1270" s="5" t="str">
        <f t="shared" si="98"/>
        <v/>
      </c>
      <c r="K1270" s="25"/>
      <c r="L1270" s="5" t="str">
        <f t="shared" si="99"/>
        <v/>
      </c>
      <c r="M1270" s="7"/>
      <c r="N1270" s="7"/>
      <c r="O1270" s="7"/>
      <c r="P1270" s="20" t="str">
        <f>IF($A1270="","",INDEX(Project_Tracker!$I$2:$I$101,INT((ROW()-6)/17)+1))</f>
        <v/>
      </c>
      <c r="Q1270" s="20" t="str">
        <f>IF($A1270="","",INDEX(Project_Tracker!$K$2:$K$101,INT((ROW()-6)/17)+1))</f>
        <v/>
      </c>
    </row>
    <row r="1271" spans="1:17" x14ac:dyDescent="0.2">
      <c r="A1271" s="20" t="str">
        <f>IF(INDEX(Project_Tracker!$AL$2:$AL$101,INT((ROW()-6)/17)+1)="","",INDEX(Project_Tracker!$AL$2:$AL$101,INT((ROW()-6)/17)+1))</f>
        <v/>
      </c>
      <c r="B1271" s="21" t="str">
        <f>IF($A1271="","",INDEX(Project_Tracker!$AM$2:$AM$101,INT((ROW()-6)/17)+1))</f>
        <v/>
      </c>
      <c r="C1271" s="20" t="str">
        <f>IF($A1271="","",INDEX(Project_Tracker!$C$2:$C$101,INT((ROW()-6)/17)+1))</f>
        <v/>
      </c>
      <c r="D1271" s="6" t="str">
        <f>IF($A1271="","",INDEX(Project_Tracker!$T$2:$T$101,INT((ROW()-6)/17)+1))</f>
        <v/>
      </c>
      <c r="E1271" s="18">
        <f t="shared" si="95"/>
        <v>8</v>
      </c>
      <c r="F1271" s="23" t="str">
        <f>IF($A1271="","",INDEX('Logic &amp; Lists'!$I$4:$I$20,$E1271))</f>
        <v/>
      </c>
      <c r="G1271" s="18" t="str">
        <f>IF($A1271="","",INDEX('Logic &amp; Lists'!$J$4:$J$20,$E1271))</f>
        <v/>
      </c>
      <c r="H1271" s="6" t="str">
        <f t="shared" si="96"/>
        <v/>
      </c>
      <c r="I1271" s="18" t="str">
        <f t="shared" ca="1" si="97"/>
        <v/>
      </c>
      <c r="J1271" s="5" t="str">
        <f t="shared" si="98"/>
        <v/>
      </c>
      <c r="K1271" s="25"/>
      <c r="L1271" s="5" t="str">
        <f t="shared" si="99"/>
        <v/>
      </c>
      <c r="M1271" s="7"/>
      <c r="N1271" s="7"/>
      <c r="O1271" s="7"/>
      <c r="P1271" s="20" t="str">
        <f>IF($A1271="","",INDEX(Project_Tracker!$I$2:$I$101,INT((ROW()-6)/17)+1))</f>
        <v/>
      </c>
      <c r="Q1271" s="20" t="str">
        <f>IF($A1271="","",INDEX(Project_Tracker!$K$2:$K$101,INT((ROW()-6)/17)+1))</f>
        <v/>
      </c>
    </row>
    <row r="1272" spans="1:17" x14ac:dyDescent="0.2">
      <c r="A1272" s="20" t="str">
        <f>IF(INDEX(Project_Tracker!$AL$2:$AL$101,INT((ROW()-6)/17)+1)="","",INDEX(Project_Tracker!$AL$2:$AL$101,INT((ROW()-6)/17)+1))</f>
        <v/>
      </c>
      <c r="B1272" s="21" t="str">
        <f>IF($A1272="","",INDEX(Project_Tracker!$AM$2:$AM$101,INT((ROW()-6)/17)+1))</f>
        <v/>
      </c>
      <c r="C1272" s="20" t="str">
        <f>IF($A1272="","",INDEX(Project_Tracker!$C$2:$C$101,INT((ROW()-6)/17)+1))</f>
        <v/>
      </c>
      <c r="D1272" s="6" t="str">
        <f>IF($A1272="","",INDEX(Project_Tracker!$T$2:$T$101,INT((ROW()-6)/17)+1))</f>
        <v/>
      </c>
      <c r="E1272" s="18">
        <f t="shared" si="95"/>
        <v>9</v>
      </c>
      <c r="F1272" s="23" t="str">
        <f>IF($A1272="","",INDEX('Logic &amp; Lists'!$I$4:$I$20,$E1272))</f>
        <v/>
      </c>
      <c r="G1272" s="18" t="str">
        <f>IF($A1272="","",INDEX('Logic &amp; Lists'!$J$4:$J$20,$E1272))</f>
        <v/>
      </c>
      <c r="H1272" s="6" t="str">
        <f t="shared" si="96"/>
        <v/>
      </c>
      <c r="I1272" s="18" t="str">
        <f t="shared" ca="1" si="97"/>
        <v/>
      </c>
      <c r="J1272" s="5" t="str">
        <f t="shared" si="98"/>
        <v/>
      </c>
      <c r="K1272" s="25"/>
      <c r="L1272" s="5" t="str">
        <f t="shared" si="99"/>
        <v/>
      </c>
      <c r="M1272" s="7"/>
      <c r="N1272" s="7"/>
      <c r="O1272" s="7"/>
      <c r="P1272" s="20" t="str">
        <f>IF($A1272="","",INDEX(Project_Tracker!$I$2:$I$101,INT((ROW()-6)/17)+1))</f>
        <v/>
      </c>
      <c r="Q1272" s="20" t="str">
        <f>IF($A1272="","",INDEX(Project_Tracker!$K$2:$K$101,INT((ROW()-6)/17)+1))</f>
        <v/>
      </c>
    </row>
    <row r="1273" spans="1:17" x14ac:dyDescent="0.2">
      <c r="A1273" s="20" t="str">
        <f>IF(INDEX(Project_Tracker!$AL$2:$AL$101,INT((ROW()-6)/17)+1)="","",INDEX(Project_Tracker!$AL$2:$AL$101,INT((ROW()-6)/17)+1))</f>
        <v/>
      </c>
      <c r="B1273" s="21" t="str">
        <f>IF($A1273="","",INDEX(Project_Tracker!$AM$2:$AM$101,INT((ROW()-6)/17)+1))</f>
        <v/>
      </c>
      <c r="C1273" s="20" t="str">
        <f>IF($A1273="","",INDEX(Project_Tracker!$C$2:$C$101,INT((ROW()-6)/17)+1))</f>
        <v/>
      </c>
      <c r="D1273" s="6" t="str">
        <f>IF($A1273="","",INDEX(Project_Tracker!$T$2:$T$101,INT((ROW()-6)/17)+1))</f>
        <v/>
      </c>
      <c r="E1273" s="18">
        <f t="shared" si="95"/>
        <v>10</v>
      </c>
      <c r="F1273" s="23" t="str">
        <f>IF($A1273="","",INDEX('Logic &amp; Lists'!$I$4:$I$20,$E1273))</f>
        <v/>
      </c>
      <c r="G1273" s="18" t="str">
        <f>IF($A1273="","",INDEX('Logic &amp; Lists'!$J$4:$J$20,$E1273))</f>
        <v/>
      </c>
      <c r="H1273" s="6" t="str">
        <f t="shared" si="96"/>
        <v/>
      </c>
      <c r="I1273" s="18" t="str">
        <f t="shared" ca="1" si="97"/>
        <v/>
      </c>
      <c r="J1273" s="5" t="str">
        <f t="shared" si="98"/>
        <v/>
      </c>
      <c r="K1273" s="25"/>
      <c r="L1273" s="5" t="str">
        <f t="shared" si="99"/>
        <v/>
      </c>
      <c r="M1273" s="7"/>
      <c r="N1273" s="7"/>
      <c r="O1273" s="7"/>
      <c r="P1273" s="20" t="str">
        <f>IF($A1273="","",INDEX(Project_Tracker!$I$2:$I$101,INT((ROW()-6)/17)+1))</f>
        <v/>
      </c>
      <c r="Q1273" s="20" t="str">
        <f>IF($A1273="","",INDEX(Project_Tracker!$K$2:$K$101,INT((ROW()-6)/17)+1))</f>
        <v/>
      </c>
    </row>
    <row r="1274" spans="1:17" x14ac:dyDescent="0.2">
      <c r="A1274" s="20" t="str">
        <f>IF(INDEX(Project_Tracker!$AL$2:$AL$101,INT((ROW()-6)/17)+1)="","",INDEX(Project_Tracker!$AL$2:$AL$101,INT((ROW()-6)/17)+1))</f>
        <v/>
      </c>
      <c r="B1274" s="21" t="str">
        <f>IF($A1274="","",INDEX(Project_Tracker!$AM$2:$AM$101,INT((ROW()-6)/17)+1))</f>
        <v/>
      </c>
      <c r="C1274" s="20" t="str">
        <f>IF($A1274="","",INDEX(Project_Tracker!$C$2:$C$101,INT((ROW()-6)/17)+1))</f>
        <v/>
      </c>
      <c r="D1274" s="6" t="str">
        <f>IF($A1274="","",INDEX(Project_Tracker!$T$2:$T$101,INT((ROW()-6)/17)+1))</f>
        <v/>
      </c>
      <c r="E1274" s="18">
        <f t="shared" si="95"/>
        <v>11</v>
      </c>
      <c r="F1274" s="23" t="str">
        <f>IF($A1274="","",INDEX('Logic &amp; Lists'!$I$4:$I$20,$E1274))</f>
        <v/>
      </c>
      <c r="G1274" s="18" t="str">
        <f>IF($A1274="","",INDEX('Logic &amp; Lists'!$J$4:$J$20,$E1274))</f>
        <v/>
      </c>
      <c r="H1274" s="6" t="str">
        <f t="shared" si="96"/>
        <v/>
      </c>
      <c r="I1274" s="18" t="str">
        <f t="shared" ca="1" si="97"/>
        <v/>
      </c>
      <c r="J1274" s="5" t="str">
        <f t="shared" si="98"/>
        <v/>
      </c>
      <c r="K1274" s="25"/>
      <c r="L1274" s="5" t="str">
        <f t="shared" si="99"/>
        <v/>
      </c>
      <c r="M1274" s="7"/>
      <c r="N1274" s="7"/>
      <c r="O1274" s="7"/>
      <c r="P1274" s="20" t="str">
        <f>IF($A1274="","",INDEX(Project_Tracker!$I$2:$I$101,INT((ROW()-6)/17)+1))</f>
        <v/>
      </c>
      <c r="Q1274" s="20" t="str">
        <f>IF($A1274="","",INDEX(Project_Tracker!$K$2:$K$101,INT((ROW()-6)/17)+1))</f>
        <v/>
      </c>
    </row>
    <row r="1275" spans="1:17" x14ac:dyDescent="0.2">
      <c r="A1275" s="20" t="str">
        <f>IF(INDEX(Project_Tracker!$AL$2:$AL$101,INT((ROW()-6)/17)+1)="","",INDEX(Project_Tracker!$AL$2:$AL$101,INT((ROW()-6)/17)+1))</f>
        <v/>
      </c>
      <c r="B1275" s="21" t="str">
        <f>IF($A1275="","",INDEX(Project_Tracker!$AM$2:$AM$101,INT((ROW()-6)/17)+1))</f>
        <v/>
      </c>
      <c r="C1275" s="20" t="str">
        <f>IF($A1275="","",INDEX(Project_Tracker!$C$2:$C$101,INT((ROW()-6)/17)+1))</f>
        <v/>
      </c>
      <c r="D1275" s="6" t="str">
        <f>IF($A1275="","",INDEX(Project_Tracker!$T$2:$T$101,INT((ROW()-6)/17)+1))</f>
        <v/>
      </c>
      <c r="E1275" s="18">
        <f t="shared" si="95"/>
        <v>12</v>
      </c>
      <c r="F1275" s="23" t="str">
        <f>IF($A1275="","",INDEX('Logic &amp; Lists'!$I$4:$I$20,$E1275))</f>
        <v/>
      </c>
      <c r="G1275" s="18" t="str">
        <f>IF($A1275="","",INDEX('Logic &amp; Lists'!$J$4:$J$20,$E1275))</f>
        <v/>
      </c>
      <c r="H1275" s="6" t="str">
        <f t="shared" si="96"/>
        <v/>
      </c>
      <c r="I1275" s="18" t="str">
        <f t="shared" ca="1" si="97"/>
        <v/>
      </c>
      <c r="J1275" s="5" t="str">
        <f t="shared" si="98"/>
        <v/>
      </c>
      <c r="K1275" s="25"/>
      <c r="L1275" s="5" t="str">
        <f t="shared" si="99"/>
        <v/>
      </c>
      <c r="M1275" s="7"/>
      <c r="N1275" s="7"/>
      <c r="O1275" s="7"/>
      <c r="P1275" s="20" t="str">
        <f>IF($A1275="","",INDEX(Project_Tracker!$I$2:$I$101,INT((ROW()-6)/17)+1))</f>
        <v/>
      </c>
      <c r="Q1275" s="20" t="str">
        <f>IF($A1275="","",INDEX(Project_Tracker!$K$2:$K$101,INT((ROW()-6)/17)+1))</f>
        <v/>
      </c>
    </row>
    <row r="1276" spans="1:17" x14ac:dyDescent="0.2">
      <c r="A1276" s="20" t="str">
        <f>IF(INDEX(Project_Tracker!$AL$2:$AL$101,INT((ROW()-6)/17)+1)="","",INDEX(Project_Tracker!$AL$2:$AL$101,INT((ROW()-6)/17)+1))</f>
        <v/>
      </c>
      <c r="B1276" s="21" t="str">
        <f>IF($A1276="","",INDEX(Project_Tracker!$AM$2:$AM$101,INT((ROW()-6)/17)+1))</f>
        <v/>
      </c>
      <c r="C1276" s="20" t="str">
        <f>IF($A1276="","",INDEX(Project_Tracker!$C$2:$C$101,INT((ROW()-6)/17)+1))</f>
        <v/>
      </c>
      <c r="D1276" s="6" t="str">
        <f>IF($A1276="","",INDEX(Project_Tracker!$T$2:$T$101,INT((ROW()-6)/17)+1))</f>
        <v/>
      </c>
      <c r="E1276" s="18">
        <f t="shared" si="95"/>
        <v>13</v>
      </c>
      <c r="F1276" s="23" t="str">
        <f>IF($A1276="","",INDEX('Logic &amp; Lists'!$I$4:$I$20,$E1276))</f>
        <v/>
      </c>
      <c r="G1276" s="18" t="str">
        <f>IF($A1276="","",INDEX('Logic &amp; Lists'!$J$4:$J$20,$E1276))</f>
        <v/>
      </c>
      <c r="H1276" s="6" t="str">
        <f t="shared" si="96"/>
        <v/>
      </c>
      <c r="I1276" s="18" t="str">
        <f t="shared" ca="1" si="97"/>
        <v/>
      </c>
      <c r="J1276" s="5" t="str">
        <f t="shared" si="98"/>
        <v/>
      </c>
      <c r="K1276" s="25"/>
      <c r="L1276" s="5" t="str">
        <f t="shared" si="99"/>
        <v/>
      </c>
      <c r="M1276" s="7"/>
      <c r="N1276" s="7"/>
      <c r="O1276" s="7"/>
      <c r="P1276" s="20" t="str">
        <f>IF($A1276="","",INDEX(Project_Tracker!$I$2:$I$101,INT((ROW()-6)/17)+1))</f>
        <v/>
      </c>
      <c r="Q1276" s="20" t="str">
        <f>IF($A1276="","",INDEX(Project_Tracker!$K$2:$K$101,INT((ROW()-6)/17)+1))</f>
        <v/>
      </c>
    </row>
    <row r="1277" spans="1:17" x14ac:dyDescent="0.2">
      <c r="A1277" s="20" t="str">
        <f>IF(INDEX(Project_Tracker!$AL$2:$AL$101,INT((ROW()-6)/17)+1)="","",INDEX(Project_Tracker!$AL$2:$AL$101,INT((ROW()-6)/17)+1))</f>
        <v/>
      </c>
      <c r="B1277" s="21" t="str">
        <f>IF($A1277="","",INDEX(Project_Tracker!$AM$2:$AM$101,INT((ROW()-6)/17)+1))</f>
        <v/>
      </c>
      <c r="C1277" s="20" t="str">
        <f>IF($A1277="","",INDEX(Project_Tracker!$C$2:$C$101,INT((ROW()-6)/17)+1))</f>
        <v/>
      </c>
      <c r="D1277" s="6" t="str">
        <f>IF($A1277="","",INDEX(Project_Tracker!$T$2:$T$101,INT((ROW()-6)/17)+1))</f>
        <v/>
      </c>
      <c r="E1277" s="18">
        <f t="shared" si="95"/>
        <v>14</v>
      </c>
      <c r="F1277" s="23" t="str">
        <f>IF($A1277="","",INDEX('Logic &amp; Lists'!$I$4:$I$20,$E1277))</f>
        <v/>
      </c>
      <c r="G1277" s="18" t="str">
        <f>IF($A1277="","",INDEX('Logic &amp; Lists'!$J$4:$J$20,$E1277))</f>
        <v/>
      </c>
      <c r="H1277" s="6" t="str">
        <f t="shared" si="96"/>
        <v/>
      </c>
      <c r="I1277" s="18" t="str">
        <f t="shared" ca="1" si="97"/>
        <v/>
      </c>
      <c r="J1277" s="5" t="str">
        <f t="shared" si="98"/>
        <v/>
      </c>
      <c r="K1277" s="25"/>
      <c r="L1277" s="5" t="str">
        <f t="shared" si="99"/>
        <v/>
      </c>
      <c r="M1277" s="7"/>
      <c r="N1277" s="7"/>
      <c r="O1277" s="7"/>
      <c r="P1277" s="20" t="str">
        <f>IF($A1277="","",INDEX(Project_Tracker!$I$2:$I$101,INT((ROW()-6)/17)+1))</f>
        <v/>
      </c>
      <c r="Q1277" s="20" t="str">
        <f>IF($A1277="","",INDEX(Project_Tracker!$K$2:$K$101,INT((ROW()-6)/17)+1))</f>
        <v/>
      </c>
    </row>
    <row r="1278" spans="1:17" x14ac:dyDescent="0.2">
      <c r="A1278" s="20" t="str">
        <f>IF(INDEX(Project_Tracker!$AL$2:$AL$101,INT((ROW()-6)/17)+1)="","",INDEX(Project_Tracker!$AL$2:$AL$101,INT((ROW()-6)/17)+1))</f>
        <v/>
      </c>
      <c r="B1278" s="21" t="str">
        <f>IF($A1278="","",INDEX(Project_Tracker!$AM$2:$AM$101,INT((ROW()-6)/17)+1))</f>
        <v/>
      </c>
      <c r="C1278" s="20" t="str">
        <f>IF($A1278="","",INDEX(Project_Tracker!$C$2:$C$101,INT((ROW()-6)/17)+1))</f>
        <v/>
      </c>
      <c r="D1278" s="6" t="str">
        <f>IF($A1278="","",INDEX(Project_Tracker!$T$2:$T$101,INT((ROW()-6)/17)+1))</f>
        <v/>
      </c>
      <c r="E1278" s="18">
        <f t="shared" si="95"/>
        <v>15</v>
      </c>
      <c r="F1278" s="23" t="str">
        <f>IF($A1278="","",INDEX('Logic &amp; Lists'!$I$4:$I$20,$E1278))</f>
        <v/>
      </c>
      <c r="G1278" s="18" t="str">
        <f>IF($A1278="","",INDEX('Logic &amp; Lists'!$J$4:$J$20,$E1278))</f>
        <v/>
      </c>
      <c r="H1278" s="6" t="str">
        <f t="shared" si="96"/>
        <v/>
      </c>
      <c r="I1278" s="18" t="str">
        <f t="shared" ca="1" si="97"/>
        <v/>
      </c>
      <c r="J1278" s="5" t="str">
        <f t="shared" si="98"/>
        <v/>
      </c>
      <c r="K1278" s="25"/>
      <c r="L1278" s="5" t="str">
        <f t="shared" si="99"/>
        <v/>
      </c>
      <c r="M1278" s="7"/>
      <c r="N1278" s="7"/>
      <c r="O1278" s="7"/>
      <c r="P1278" s="20" t="str">
        <f>IF($A1278="","",INDEX(Project_Tracker!$I$2:$I$101,INT((ROW()-6)/17)+1))</f>
        <v/>
      </c>
      <c r="Q1278" s="20" t="str">
        <f>IF($A1278="","",INDEX(Project_Tracker!$K$2:$K$101,INT((ROW()-6)/17)+1))</f>
        <v/>
      </c>
    </row>
    <row r="1279" spans="1:17" x14ac:dyDescent="0.2">
      <c r="A1279" s="20" t="str">
        <f>IF(INDEX(Project_Tracker!$AL$2:$AL$101,INT((ROW()-6)/17)+1)="","",INDEX(Project_Tracker!$AL$2:$AL$101,INT((ROW()-6)/17)+1))</f>
        <v/>
      </c>
      <c r="B1279" s="21" t="str">
        <f>IF($A1279="","",INDEX(Project_Tracker!$AM$2:$AM$101,INT((ROW()-6)/17)+1))</f>
        <v/>
      </c>
      <c r="C1279" s="20" t="str">
        <f>IF($A1279="","",INDEX(Project_Tracker!$C$2:$C$101,INT((ROW()-6)/17)+1))</f>
        <v/>
      </c>
      <c r="D1279" s="6" t="str">
        <f>IF($A1279="","",INDEX(Project_Tracker!$T$2:$T$101,INT((ROW()-6)/17)+1))</f>
        <v/>
      </c>
      <c r="E1279" s="18">
        <f t="shared" si="95"/>
        <v>16</v>
      </c>
      <c r="F1279" s="23" t="str">
        <f>IF($A1279="","",INDEX('Logic &amp; Lists'!$I$4:$I$20,$E1279))</f>
        <v/>
      </c>
      <c r="G1279" s="18" t="str">
        <f>IF($A1279="","",INDEX('Logic &amp; Lists'!$J$4:$J$20,$E1279))</f>
        <v/>
      </c>
      <c r="H1279" s="6" t="str">
        <f t="shared" si="96"/>
        <v/>
      </c>
      <c r="I1279" s="18" t="str">
        <f t="shared" ca="1" si="97"/>
        <v/>
      </c>
      <c r="J1279" s="5" t="str">
        <f t="shared" si="98"/>
        <v/>
      </c>
      <c r="K1279" s="25"/>
      <c r="L1279" s="5" t="str">
        <f t="shared" si="99"/>
        <v/>
      </c>
      <c r="M1279" s="7"/>
      <c r="N1279" s="7"/>
      <c r="O1279" s="7"/>
      <c r="P1279" s="20" t="str">
        <f>IF($A1279="","",INDEX(Project_Tracker!$I$2:$I$101,INT((ROW()-6)/17)+1))</f>
        <v/>
      </c>
      <c r="Q1279" s="20" t="str">
        <f>IF($A1279="","",INDEX(Project_Tracker!$K$2:$K$101,INT((ROW()-6)/17)+1))</f>
        <v/>
      </c>
    </row>
    <row r="1280" spans="1:17" x14ac:dyDescent="0.2">
      <c r="A1280" s="20" t="str">
        <f>IF(INDEX(Project_Tracker!$AL$2:$AL$101,INT((ROW()-6)/17)+1)="","",INDEX(Project_Tracker!$AL$2:$AL$101,INT((ROW()-6)/17)+1))</f>
        <v/>
      </c>
      <c r="B1280" s="21" t="str">
        <f>IF($A1280="","",INDEX(Project_Tracker!$AM$2:$AM$101,INT((ROW()-6)/17)+1))</f>
        <v/>
      </c>
      <c r="C1280" s="20" t="str">
        <f>IF($A1280="","",INDEX(Project_Tracker!$C$2:$C$101,INT((ROW()-6)/17)+1))</f>
        <v/>
      </c>
      <c r="D1280" s="6" t="str">
        <f>IF($A1280="","",INDEX(Project_Tracker!$T$2:$T$101,INT((ROW()-6)/17)+1))</f>
        <v/>
      </c>
      <c r="E1280" s="18">
        <f t="shared" si="95"/>
        <v>17</v>
      </c>
      <c r="F1280" s="23" t="str">
        <f>IF($A1280="","",INDEX('Logic &amp; Lists'!$I$4:$I$20,$E1280))</f>
        <v/>
      </c>
      <c r="G1280" s="18" t="str">
        <f>IF($A1280="","",INDEX('Logic &amp; Lists'!$J$4:$J$20,$E1280))</f>
        <v/>
      </c>
      <c r="H1280" s="6" t="str">
        <f t="shared" si="96"/>
        <v/>
      </c>
      <c r="I1280" s="18" t="str">
        <f t="shared" ca="1" si="97"/>
        <v/>
      </c>
      <c r="J1280" s="5" t="str">
        <f t="shared" si="98"/>
        <v/>
      </c>
      <c r="K1280" s="25"/>
      <c r="L1280" s="5" t="str">
        <f t="shared" si="99"/>
        <v/>
      </c>
      <c r="M1280" s="7"/>
      <c r="N1280" s="7"/>
      <c r="O1280" s="7"/>
      <c r="P1280" s="20" t="str">
        <f>IF($A1280="","",INDEX(Project_Tracker!$I$2:$I$101,INT((ROW()-6)/17)+1))</f>
        <v/>
      </c>
      <c r="Q1280" s="20" t="str">
        <f>IF($A1280="","",INDEX(Project_Tracker!$K$2:$K$101,INT((ROW()-6)/17)+1))</f>
        <v/>
      </c>
    </row>
    <row r="1281" spans="1:17" x14ac:dyDescent="0.2">
      <c r="A1281" s="20" t="str">
        <f>IF(INDEX(Project_Tracker!$AL$2:$AL$101,INT((ROW()-6)/17)+1)="","",INDEX(Project_Tracker!$AL$2:$AL$101,INT((ROW()-6)/17)+1))</f>
        <v/>
      </c>
      <c r="B1281" s="21" t="str">
        <f>IF($A1281="","",INDEX(Project_Tracker!$AM$2:$AM$101,INT((ROW()-6)/17)+1))</f>
        <v/>
      </c>
      <c r="C1281" s="20" t="str">
        <f>IF($A1281="","",INDEX(Project_Tracker!$C$2:$C$101,INT((ROW()-6)/17)+1))</f>
        <v/>
      </c>
      <c r="D1281" s="6" t="str">
        <f>IF($A1281="","",INDEX(Project_Tracker!$T$2:$T$101,INT((ROW()-6)/17)+1))</f>
        <v/>
      </c>
      <c r="E1281" s="18">
        <f t="shared" si="95"/>
        <v>1</v>
      </c>
      <c r="F1281" s="23" t="str">
        <f>IF($A1281="","",INDEX('Logic &amp; Lists'!$I$4:$I$20,$E1281))</f>
        <v/>
      </c>
      <c r="G1281" s="18" t="str">
        <f>IF($A1281="","",INDEX('Logic &amp; Lists'!$J$4:$J$20,$E1281))</f>
        <v/>
      </c>
      <c r="H1281" s="6" t="str">
        <f t="shared" si="96"/>
        <v/>
      </c>
      <c r="I1281" s="18" t="str">
        <f t="shared" ca="1" si="97"/>
        <v/>
      </c>
      <c r="J1281" s="5" t="str">
        <f t="shared" si="98"/>
        <v/>
      </c>
      <c r="K1281" s="25"/>
      <c r="L1281" s="5" t="str">
        <f t="shared" si="99"/>
        <v/>
      </c>
      <c r="M1281" s="7"/>
      <c r="N1281" s="7"/>
      <c r="O1281" s="7"/>
      <c r="P1281" s="20" t="str">
        <f>IF($A1281="","",INDEX(Project_Tracker!$I$2:$I$101,INT((ROW()-6)/17)+1))</f>
        <v/>
      </c>
      <c r="Q1281" s="20" t="str">
        <f>IF($A1281="","",INDEX(Project_Tracker!$K$2:$K$101,INT((ROW()-6)/17)+1))</f>
        <v/>
      </c>
    </row>
    <row r="1282" spans="1:17" x14ac:dyDescent="0.2">
      <c r="A1282" s="20" t="str">
        <f>IF(INDEX(Project_Tracker!$AL$2:$AL$101,INT((ROW()-6)/17)+1)="","",INDEX(Project_Tracker!$AL$2:$AL$101,INT((ROW()-6)/17)+1))</f>
        <v/>
      </c>
      <c r="B1282" s="21" t="str">
        <f>IF($A1282="","",INDEX(Project_Tracker!$AM$2:$AM$101,INT((ROW()-6)/17)+1))</f>
        <v/>
      </c>
      <c r="C1282" s="20" t="str">
        <f>IF($A1282="","",INDEX(Project_Tracker!$C$2:$C$101,INT((ROW()-6)/17)+1))</f>
        <v/>
      </c>
      <c r="D1282" s="6" t="str">
        <f>IF($A1282="","",INDEX(Project_Tracker!$T$2:$T$101,INT((ROW()-6)/17)+1))</f>
        <v/>
      </c>
      <c r="E1282" s="18">
        <f t="shared" si="95"/>
        <v>2</v>
      </c>
      <c r="F1282" s="23" t="str">
        <f>IF($A1282="","",INDEX('Logic &amp; Lists'!$I$4:$I$20,$E1282))</f>
        <v/>
      </c>
      <c r="G1282" s="18" t="str">
        <f>IF($A1282="","",INDEX('Logic &amp; Lists'!$J$4:$J$20,$E1282))</f>
        <v/>
      </c>
      <c r="H1282" s="6" t="str">
        <f t="shared" si="96"/>
        <v/>
      </c>
      <c r="I1282" s="18" t="str">
        <f t="shared" ca="1" si="97"/>
        <v/>
      </c>
      <c r="J1282" s="5" t="str">
        <f t="shared" si="98"/>
        <v/>
      </c>
      <c r="K1282" s="25"/>
      <c r="L1282" s="5" t="str">
        <f t="shared" si="99"/>
        <v/>
      </c>
      <c r="M1282" s="7"/>
      <c r="N1282" s="7"/>
      <c r="O1282" s="7"/>
      <c r="P1282" s="20" t="str">
        <f>IF($A1282="","",INDEX(Project_Tracker!$I$2:$I$101,INT((ROW()-6)/17)+1))</f>
        <v/>
      </c>
      <c r="Q1282" s="20" t="str">
        <f>IF($A1282="","",INDEX(Project_Tracker!$K$2:$K$101,INT((ROW()-6)/17)+1))</f>
        <v/>
      </c>
    </row>
    <row r="1283" spans="1:17" x14ac:dyDescent="0.2">
      <c r="A1283" s="20" t="str">
        <f>IF(INDEX(Project_Tracker!$AL$2:$AL$101,INT((ROW()-6)/17)+1)="","",INDEX(Project_Tracker!$AL$2:$AL$101,INT((ROW()-6)/17)+1))</f>
        <v/>
      </c>
      <c r="B1283" s="21" t="str">
        <f>IF($A1283="","",INDEX(Project_Tracker!$AM$2:$AM$101,INT((ROW()-6)/17)+1))</f>
        <v/>
      </c>
      <c r="C1283" s="20" t="str">
        <f>IF($A1283="","",INDEX(Project_Tracker!$C$2:$C$101,INT((ROW()-6)/17)+1))</f>
        <v/>
      </c>
      <c r="D1283" s="6" t="str">
        <f>IF($A1283="","",INDEX(Project_Tracker!$T$2:$T$101,INT((ROW()-6)/17)+1))</f>
        <v/>
      </c>
      <c r="E1283" s="18">
        <f t="shared" si="95"/>
        <v>3</v>
      </c>
      <c r="F1283" s="23" t="str">
        <f>IF($A1283="","",INDEX('Logic &amp; Lists'!$I$4:$I$20,$E1283))</f>
        <v/>
      </c>
      <c r="G1283" s="18" t="str">
        <f>IF($A1283="","",INDEX('Logic &amp; Lists'!$J$4:$J$20,$E1283))</f>
        <v/>
      </c>
      <c r="H1283" s="6" t="str">
        <f t="shared" si="96"/>
        <v/>
      </c>
      <c r="I1283" s="18" t="str">
        <f t="shared" ca="1" si="97"/>
        <v/>
      </c>
      <c r="J1283" s="5" t="str">
        <f t="shared" si="98"/>
        <v/>
      </c>
      <c r="K1283" s="25"/>
      <c r="L1283" s="5" t="str">
        <f t="shared" si="99"/>
        <v/>
      </c>
      <c r="M1283" s="7"/>
      <c r="N1283" s="7"/>
      <c r="O1283" s="7"/>
      <c r="P1283" s="20" t="str">
        <f>IF($A1283="","",INDEX(Project_Tracker!$I$2:$I$101,INT((ROW()-6)/17)+1))</f>
        <v/>
      </c>
      <c r="Q1283" s="20" t="str">
        <f>IF($A1283="","",INDEX(Project_Tracker!$K$2:$K$101,INT((ROW()-6)/17)+1))</f>
        <v/>
      </c>
    </row>
    <row r="1284" spans="1:17" x14ac:dyDescent="0.2">
      <c r="A1284" s="20" t="str">
        <f>IF(INDEX(Project_Tracker!$AL$2:$AL$101,INT((ROW()-6)/17)+1)="","",INDEX(Project_Tracker!$AL$2:$AL$101,INT((ROW()-6)/17)+1))</f>
        <v/>
      </c>
      <c r="B1284" s="21" t="str">
        <f>IF($A1284="","",INDEX(Project_Tracker!$AM$2:$AM$101,INT((ROW()-6)/17)+1))</f>
        <v/>
      </c>
      <c r="C1284" s="20" t="str">
        <f>IF($A1284="","",INDEX(Project_Tracker!$C$2:$C$101,INT((ROW()-6)/17)+1))</f>
        <v/>
      </c>
      <c r="D1284" s="6" t="str">
        <f>IF($A1284="","",INDEX(Project_Tracker!$T$2:$T$101,INT((ROW()-6)/17)+1))</f>
        <v/>
      </c>
      <c r="E1284" s="18">
        <f t="shared" si="95"/>
        <v>4</v>
      </c>
      <c r="F1284" s="23" t="str">
        <f>IF($A1284="","",INDEX('Logic &amp; Lists'!$I$4:$I$20,$E1284))</f>
        <v/>
      </c>
      <c r="G1284" s="18" t="str">
        <f>IF($A1284="","",INDEX('Logic &amp; Lists'!$J$4:$J$20,$E1284))</f>
        <v/>
      </c>
      <c r="H1284" s="6" t="str">
        <f t="shared" si="96"/>
        <v/>
      </c>
      <c r="I1284" s="18" t="str">
        <f t="shared" ca="1" si="97"/>
        <v/>
      </c>
      <c r="J1284" s="5" t="str">
        <f t="shared" si="98"/>
        <v/>
      </c>
      <c r="K1284" s="25"/>
      <c r="L1284" s="5" t="str">
        <f t="shared" si="99"/>
        <v/>
      </c>
      <c r="M1284" s="7"/>
      <c r="N1284" s="7"/>
      <c r="O1284" s="7"/>
      <c r="P1284" s="20" t="str">
        <f>IF($A1284="","",INDEX(Project_Tracker!$I$2:$I$101,INT((ROW()-6)/17)+1))</f>
        <v/>
      </c>
      <c r="Q1284" s="20" t="str">
        <f>IF($A1284="","",INDEX(Project_Tracker!$K$2:$K$101,INT((ROW()-6)/17)+1))</f>
        <v/>
      </c>
    </row>
    <row r="1285" spans="1:17" x14ac:dyDescent="0.2">
      <c r="A1285" s="20" t="str">
        <f>IF(INDEX(Project_Tracker!$AL$2:$AL$101,INT((ROW()-6)/17)+1)="","",INDEX(Project_Tracker!$AL$2:$AL$101,INT((ROW()-6)/17)+1))</f>
        <v/>
      </c>
      <c r="B1285" s="21" t="str">
        <f>IF($A1285="","",INDEX(Project_Tracker!$AM$2:$AM$101,INT((ROW()-6)/17)+1))</f>
        <v/>
      </c>
      <c r="C1285" s="20" t="str">
        <f>IF($A1285="","",INDEX(Project_Tracker!$C$2:$C$101,INT((ROW()-6)/17)+1))</f>
        <v/>
      </c>
      <c r="D1285" s="6" t="str">
        <f>IF($A1285="","",INDEX(Project_Tracker!$T$2:$T$101,INT((ROW()-6)/17)+1))</f>
        <v/>
      </c>
      <c r="E1285" s="18">
        <f t="shared" si="95"/>
        <v>5</v>
      </c>
      <c r="F1285" s="23" t="str">
        <f>IF($A1285="","",INDEX('Logic &amp; Lists'!$I$4:$I$20,$E1285))</f>
        <v/>
      </c>
      <c r="G1285" s="18" t="str">
        <f>IF($A1285="","",INDEX('Logic &amp; Lists'!$J$4:$J$20,$E1285))</f>
        <v/>
      </c>
      <c r="H1285" s="6" t="str">
        <f t="shared" si="96"/>
        <v/>
      </c>
      <c r="I1285" s="18" t="str">
        <f t="shared" ca="1" si="97"/>
        <v/>
      </c>
      <c r="J1285" s="5" t="str">
        <f t="shared" si="98"/>
        <v/>
      </c>
      <c r="K1285" s="25"/>
      <c r="L1285" s="5" t="str">
        <f t="shared" si="99"/>
        <v/>
      </c>
      <c r="M1285" s="7"/>
      <c r="N1285" s="7"/>
      <c r="O1285" s="7"/>
      <c r="P1285" s="20" t="str">
        <f>IF($A1285="","",INDEX(Project_Tracker!$I$2:$I$101,INT((ROW()-6)/17)+1))</f>
        <v/>
      </c>
      <c r="Q1285" s="20" t="str">
        <f>IF($A1285="","",INDEX(Project_Tracker!$K$2:$K$101,INT((ROW()-6)/17)+1))</f>
        <v/>
      </c>
    </row>
    <row r="1286" spans="1:17" x14ac:dyDescent="0.2">
      <c r="A1286" s="20" t="str">
        <f>IF(INDEX(Project_Tracker!$AL$2:$AL$101,INT((ROW()-6)/17)+1)="","",INDEX(Project_Tracker!$AL$2:$AL$101,INT((ROW()-6)/17)+1))</f>
        <v/>
      </c>
      <c r="B1286" s="21" t="str">
        <f>IF($A1286="","",INDEX(Project_Tracker!$AM$2:$AM$101,INT((ROW()-6)/17)+1))</f>
        <v/>
      </c>
      <c r="C1286" s="20" t="str">
        <f>IF($A1286="","",INDEX(Project_Tracker!$C$2:$C$101,INT((ROW()-6)/17)+1))</f>
        <v/>
      </c>
      <c r="D1286" s="6" t="str">
        <f>IF($A1286="","",INDEX(Project_Tracker!$T$2:$T$101,INT((ROW()-6)/17)+1))</f>
        <v/>
      </c>
      <c r="E1286" s="18">
        <f t="shared" ref="E1286:E1349" si="100">MOD(ROW()-6,17)+1</f>
        <v>6</v>
      </c>
      <c r="F1286" s="23" t="str">
        <f>IF($A1286="","",INDEX('Logic &amp; Lists'!$I$4:$I$20,$E1286))</f>
        <v/>
      </c>
      <c r="G1286" s="18" t="str">
        <f>IF($A1286="","",INDEX('Logic &amp; Lists'!$J$4:$J$20,$E1286))</f>
        <v/>
      </c>
      <c r="H1286" s="6" t="str">
        <f t="shared" ref="H1286:H1349" si="101">IF($D1286="","",$D1286-$G1286)</f>
        <v/>
      </c>
      <c r="I1286" s="18" t="str">
        <f t="shared" ref="I1286:I1349" ca="1" si="102">IF($H1286="","",$H1286-TODAY())</f>
        <v/>
      </c>
      <c r="J1286" s="5" t="str">
        <f t="shared" ref="J1286:J1349" si="103">IF($A1286="","",IF($K1286&lt;&gt;"","ORDERED",IF($I1286&lt;0,"OVERDUE",IF($I1286&lt;=7,"URGENT",IF($I1286&lt;=14,"PREPARE","OK")))))</f>
        <v/>
      </c>
      <c r="K1286" s="25"/>
      <c r="L1286" s="5" t="str">
        <f t="shared" ref="L1286:L1349" si="104">IF($A1286="","",IF($K1286="",$J1286,IF($K1286&lt;=$H1286,"Ordered On Time","Ordered Late")))</f>
        <v/>
      </c>
      <c r="M1286" s="7"/>
      <c r="N1286" s="7"/>
      <c r="O1286" s="7"/>
      <c r="P1286" s="20" t="str">
        <f>IF($A1286="","",INDEX(Project_Tracker!$I$2:$I$101,INT((ROW()-6)/17)+1))</f>
        <v/>
      </c>
      <c r="Q1286" s="20" t="str">
        <f>IF($A1286="","",INDEX(Project_Tracker!$K$2:$K$101,INT((ROW()-6)/17)+1))</f>
        <v/>
      </c>
    </row>
    <row r="1287" spans="1:17" x14ac:dyDescent="0.2">
      <c r="A1287" s="20" t="str">
        <f>IF(INDEX(Project_Tracker!$AL$2:$AL$101,INT((ROW()-6)/17)+1)="","",INDEX(Project_Tracker!$AL$2:$AL$101,INT((ROW()-6)/17)+1))</f>
        <v/>
      </c>
      <c r="B1287" s="21" t="str">
        <f>IF($A1287="","",INDEX(Project_Tracker!$AM$2:$AM$101,INT((ROW()-6)/17)+1))</f>
        <v/>
      </c>
      <c r="C1287" s="20" t="str">
        <f>IF($A1287="","",INDEX(Project_Tracker!$C$2:$C$101,INT((ROW()-6)/17)+1))</f>
        <v/>
      </c>
      <c r="D1287" s="6" t="str">
        <f>IF($A1287="","",INDEX(Project_Tracker!$T$2:$T$101,INT((ROW()-6)/17)+1))</f>
        <v/>
      </c>
      <c r="E1287" s="18">
        <f t="shared" si="100"/>
        <v>7</v>
      </c>
      <c r="F1287" s="23" t="str">
        <f>IF($A1287="","",INDEX('Logic &amp; Lists'!$I$4:$I$20,$E1287))</f>
        <v/>
      </c>
      <c r="G1287" s="18" t="str">
        <f>IF($A1287="","",INDEX('Logic &amp; Lists'!$J$4:$J$20,$E1287))</f>
        <v/>
      </c>
      <c r="H1287" s="6" t="str">
        <f t="shared" si="101"/>
        <v/>
      </c>
      <c r="I1287" s="18" t="str">
        <f t="shared" ca="1" si="102"/>
        <v/>
      </c>
      <c r="J1287" s="5" t="str">
        <f t="shared" si="103"/>
        <v/>
      </c>
      <c r="K1287" s="25"/>
      <c r="L1287" s="5" t="str">
        <f t="shared" si="104"/>
        <v/>
      </c>
      <c r="M1287" s="7"/>
      <c r="N1287" s="7"/>
      <c r="O1287" s="7"/>
      <c r="P1287" s="20" t="str">
        <f>IF($A1287="","",INDEX(Project_Tracker!$I$2:$I$101,INT((ROW()-6)/17)+1))</f>
        <v/>
      </c>
      <c r="Q1287" s="20" t="str">
        <f>IF($A1287="","",INDEX(Project_Tracker!$K$2:$K$101,INT((ROW()-6)/17)+1))</f>
        <v/>
      </c>
    </row>
    <row r="1288" spans="1:17" x14ac:dyDescent="0.2">
      <c r="A1288" s="20" t="str">
        <f>IF(INDEX(Project_Tracker!$AL$2:$AL$101,INT((ROW()-6)/17)+1)="","",INDEX(Project_Tracker!$AL$2:$AL$101,INT((ROW()-6)/17)+1))</f>
        <v/>
      </c>
      <c r="B1288" s="21" t="str">
        <f>IF($A1288="","",INDEX(Project_Tracker!$AM$2:$AM$101,INT((ROW()-6)/17)+1))</f>
        <v/>
      </c>
      <c r="C1288" s="20" t="str">
        <f>IF($A1288="","",INDEX(Project_Tracker!$C$2:$C$101,INT((ROW()-6)/17)+1))</f>
        <v/>
      </c>
      <c r="D1288" s="6" t="str">
        <f>IF($A1288="","",INDEX(Project_Tracker!$T$2:$T$101,INT((ROW()-6)/17)+1))</f>
        <v/>
      </c>
      <c r="E1288" s="18">
        <f t="shared" si="100"/>
        <v>8</v>
      </c>
      <c r="F1288" s="23" t="str">
        <f>IF($A1288="","",INDEX('Logic &amp; Lists'!$I$4:$I$20,$E1288))</f>
        <v/>
      </c>
      <c r="G1288" s="18" t="str">
        <f>IF($A1288="","",INDEX('Logic &amp; Lists'!$J$4:$J$20,$E1288))</f>
        <v/>
      </c>
      <c r="H1288" s="6" t="str">
        <f t="shared" si="101"/>
        <v/>
      </c>
      <c r="I1288" s="18" t="str">
        <f t="shared" ca="1" si="102"/>
        <v/>
      </c>
      <c r="J1288" s="5" t="str">
        <f t="shared" si="103"/>
        <v/>
      </c>
      <c r="K1288" s="25"/>
      <c r="L1288" s="5" t="str">
        <f t="shared" si="104"/>
        <v/>
      </c>
      <c r="M1288" s="7"/>
      <c r="N1288" s="7"/>
      <c r="O1288" s="7"/>
      <c r="P1288" s="20" t="str">
        <f>IF($A1288="","",INDEX(Project_Tracker!$I$2:$I$101,INT((ROW()-6)/17)+1))</f>
        <v/>
      </c>
      <c r="Q1288" s="20" t="str">
        <f>IF($A1288="","",INDEX(Project_Tracker!$K$2:$K$101,INT((ROW()-6)/17)+1))</f>
        <v/>
      </c>
    </row>
    <row r="1289" spans="1:17" x14ac:dyDescent="0.2">
      <c r="A1289" s="20" t="str">
        <f>IF(INDEX(Project_Tracker!$AL$2:$AL$101,INT((ROW()-6)/17)+1)="","",INDEX(Project_Tracker!$AL$2:$AL$101,INT((ROW()-6)/17)+1))</f>
        <v/>
      </c>
      <c r="B1289" s="21" t="str">
        <f>IF($A1289="","",INDEX(Project_Tracker!$AM$2:$AM$101,INT((ROW()-6)/17)+1))</f>
        <v/>
      </c>
      <c r="C1289" s="20" t="str">
        <f>IF($A1289="","",INDEX(Project_Tracker!$C$2:$C$101,INT((ROW()-6)/17)+1))</f>
        <v/>
      </c>
      <c r="D1289" s="6" t="str">
        <f>IF($A1289="","",INDEX(Project_Tracker!$T$2:$T$101,INT((ROW()-6)/17)+1))</f>
        <v/>
      </c>
      <c r="E1289" s="18">
        <f t="shared" si="100"/>
        <v>9</v>
      </c>
      <c r="F1289" s="23" t="str">
        <f>IF($A1289="","",INDEX('Logic &amp; Lists'!$I$4:$I$20,$E1289))</f>
        <v/>
      </c>
      <c r="G1289" s="18" t="str">
        <f>IF($A1289="","",INDEX('Logic &amp; Lists'!$J$4:$J$20,$E1289))</f>
        <v/>
      </c>
      <c r="H1289" s="6" t="str">
        <f t="shared" si="101"/>
        <v/>
      </c>
      <c r="I1289" s="18" t="str">
        <f t="shared" ca="1" si="102"/>
        <v/>
      </c>
      <c r="J1289" s="5" t="str">
        <f t="shared" si="103"/>
        <v/>
      </c>
      <c r="K1289" s="25"/>
      <c r="L1289" s="5" t="str">
        <f t="shared" si="104"/>
        <v/>
      </c>
      <c r="M1289" s="7"/>
      <c r="N1289" s="7"/>
      <c r="O1289" s="7"/>
      <c r="P1289" s="20" t="str">
        <f>IF($A1289="","",INDEX(Project_Tracker!$I$2:$I$101,INT((ROW()-6)/17)+1))</f>
        <v/>
      </c>
      <c r="Q1289" s="20" t="str">
        <f>IF($A1289="","",INDEX(Project_Tracker!$K$2:$K$101,INT((ROW()-6)/17)+1))</f>
        <v/>
      </c>
    </row>
    <row r="1290" spans="1:17" x14ac:dyDescent="0.2">
      <c r="A1290" s="20" t="str">
        <f>IF(INDEX(Project_Tracker!$AL$2:$AL$101,INT((ROW()-6)/17)+1)="","",INDEX(Project_Tracker!$AL$2:$AL$101,INT((ROW()-6)/17)+1))</f>
        <v/>
      </c>
      <c r="B1290" s="21" t="str">
        <f>IF($A1290="","",INDEX(Project_Tracker!$AM$2:$AM$101,INT((ROW()-6)/17)+1))</f>
        <v/>
      </c>
      <c r="C1290" s="20" t="str">
        <f>IF($A1290="","",INDEX(Project_Tracker!$C$2:$C$101,INT((ROW()-6)/17)+1))</f>
        <v/>
      </c>
      <c r="D1290" s="6" t="str">
        <f>IF($A1290="","",INDEX(Project_Tracker!$T$2:$T$101,INT((ROW()-6)/17)+1))</f>
        <v/>
      </c>
      <c r="E1290" s="18">
        <f t="shared" si="100"/>
        <v>10</v>
      </c>
      <c r="F1290" s="23" t="str">
        <f>IF($A1290="","",INDEX('Logic &amp; Lists'!$I$4:$I$20,$E1290))</f>
        <v/>
      </c>
      <c r="G1290" s="18" t="str">
        <f>IF($A1290="","",INDEX('Logic &amp; Lists'!$J$4:$J$20,$E1290))</f>
        <v/>
      </c>
      <c r="H1290" s="6" t="str">
        <f t="shared" si="101"/>
        <v/>
      </c>
      <c r="I1290" s="18" t="str">
        <f t="shared" ca="1" si="102"/>
        <v/>
      </c>
      <c r="J1290" s="5" t="str">
        <f t="shared" si="103"/>
        <v/>
      </c>
      <c r="K1290" s="25"/>
      <c r="L1290" s="5" t="str">
        <f t="shared" si="104"/>
        <v/>
      </c>
      <c r="M1290" s="7"/>
      <c r="N1290" s="7"/>
      <c r="O1290" s="7"/>
      <c r="P1290" s="20" t="str">
        <f>IF($A1290="","",INDEX(Project_Tracker!$I$2:$I$101,INT((ROW()-6)/17)+1))</f>
        <v/>
      </c>
      <c r="Q1290" s="20" t="str">
        <f>IF($A1290="","",INDEX(Project_Tracker!$K$2:$K$101,INT((ROW()-6)/17)+1))</f>
        <v/>
      </c>
    </row>
    <row r="1291" spans="1:17" x14ac:dyDescent="0.2">
      <c r="A1291" s="20" t="str">
        <f>IF(INDEX(Project_Tracker!$AL$2:$AL$101,INT((ROW()-6)/17)+1)="","",INDEX(Project_Tracker!$AL$2:$AL$101,INT((ROW()-6)/17)+1))</f>
        <v/>
      </c>
      <c r="B1291" s="21" t="str">
        <f>IF($A1291="","",INDEX(Project_Tracker!$AM$2:$AM$101,INT((ROW()-6)/17)+1))</f>
        <v/>
      </c>
      <c r="C1291" s="20" t="str">
        <f>IF($A1291="","",INDEX(Project_Tracker!$C$2:$C$101,INT((ROW()-6)/17)+1))</f>
        <v/>
      </c>
      <c r="D1291" s="6" t="str">
        <f>IF($A1291="","",INDEX(Project_Tracker!$T$2:$T$101,INT((ROW()-6)/17)+1))</f>
        <v/>
      </c>
      <c r="E1291" s="18">
        <f t="shared" si="100"/>
        <v>11</v>
      </c>
      <c r="F1291" s="23" t="str">
        <f>IF($A1291="","",INDEX('Logic &amp; Lists'!$I$4:$I$20,$E1291))</f>
        <v/>
      </c>
      <c r="G1291" s="18" t="str">
        <f>IF($A1291="","",INDEX('Logic &amp; Lists'!$J$4:$J$20,$E1291))</f>
        <v/>
      </c>
      <c r="H1291" s="6" t="str">
        <f t="shared" si="101"/>
        <v/>
      </c>
      <c r="I1291" s="18" t="str">
        <f t="shared" ca="1" si="102"/>
        <v/>
      </c>
      <c r="J1291" s="5" t="str">
        <f t="shared" si="103"/>
        <v/>
      </c>
      <c r="K1291" s="25"/>
      <c r="L1291" s="5" t="str">
        <f t="shared" si="104"/>
        <v/>
      </c>
      <c r="M1291" s="7"/>
      <c r="N1291" s="7"/>
      <c r="O1291" s="7"/>
      <c r="P1291" s="20" t="str">
        <f>IF($A1291="","",INDEX(Project_Tracker!$I$2:$I$101,INT((ROW()-6)/17)+1))</f>
        <v/>
      </c>
      <c r="Q1291" s="20" t="str">
        <f>IF($A1291="","",INDEX(Project_Tracker!$K$2:$K$101,INT((ROW()-6)/17)+1))</f>
        <v/>
      </c>
    </row>
    <row r="1292" spans="1:17" x14ac:dyDescent="0.2">
      <c r="A1292" s="20" t="str">
        <f>IF(INDEX(Project_Tracker!$AL$2:$AL$101,INT((ROW()-6)/17)+1)="","",INDEX(Project_Tracker!$AL$2:$AL$101,INT((ROW()-6)/17)+1))</f>
        <v/>
      </c>
      <c r="B1292" s="21" t="str">
        <f>IF($A1292="","",INDEX(Project_Tracker!$AM$2:$AM$101,INT((ROW()-6)/17)+1))</f>
        <v/>
      </c>
      <c r="C1292" s="20" t="str">
        <f>IF($A1292="","",INDEX(Project_Tracker!$C$2:$C$101,INT((ROW()-6)/17)+1))</f>
        <v/>
      </c>
      <c r="D1292" s="6" t="str">
        <f>IF($A1292="","",INDEX(Project_Tracker!$T$2:$T$101,INT((ROW()-6)/17)+1))</f>
        <v/>
      </c>
      <c r="E1292" s="18">
        <f t="shared" si="100"/>
        <v>12</v>
      </c>
      <c r="F1292" s="23" t="str">
        <f>IF($A1292="","",INDEX('Logic &amp; Lists'!$I$4:$I$20,$E1292))</f>
        <v/>
      </c>
      <c r="G1292" s="18" t="str">
        <f>IF($A1292="","",INDEX('Logic &amp; Lists'!$J$4:$J$20,$E1292))</f>
        <v/>
      </c>
      <c r="H1292" s="6" t="str">
        <f t="shared" si="101"/>
        <v/>
      </c>
      <c r="I1292" s="18" t="str">
        <f t="shared" ca="1" si="102"/>
        <v/>
      </c>
      <c r="J1292" s="5" t="str">
        <f t="shared" si="103"/>
        <v/>
      </c>
      <c r="K1292" s="25"/>
      <c r="L1292" s="5" t="str">
        <f t="shared" si="104"/>
        <v/>
      </c>
      <c r="M1292" s="7"/>
      <c r="N1292" s="7"/>
      <c r="O1292" s="7"/>
      <c r="P1292" s="20" t="str">
        <f>IF($A1292="","",INDEX(Project_Tracker!$I$2:$I$101,INT((ROW()-6)/17)+1))</f>
        <v/>
      </c>
      <c r="Q1292" s="20" t="str">
        <f>IF($A1292="","",INDEX(Project_Tracker!$K$2:$K$101,INT((ROW()-6)/17)+1))</f>
        <v/>
      </c>
    </row>
    <row r="1293" spans="1:17" x14ac:dyDescent="0.2">
      <c r="A1293" s="20" t="str">
        <f>IF(INDEX(Project_Tracker!$AL$2:$AL$101,INT((ROW()-6)/17)+1)="","",INDEX(Project_Tracker!$AL$2:$AL$101,INT((ROW()-6)/17)+1))</f>
        <v/>
      </c>
      <c r="B1293" s="21" t="str">
        <f>IF($A1293="","",INDEX(Project_Tracker!$AM$2:$AM$101,INT((ROW()-6)/17)+1))</f>
        <v/>
      </c>
      <c r="C1293" s="20" t="str">
        <f>IF($A1293="","",INDEX(Project_Tracker!$C$2:$C$101,INT((ROW()-6)/17)+1))</f>
        <v/>
      </c>
      <c r="D1293" s="6" t="str">
        <f>IF($A1293="","",INDEX(Project_Tracker!$T$2:$T$101,INT((ROW()-6)/17)+1))</f>
        <v/>
      </c>
      <c r="E1293" s="18">
        <f t="shared" si="100"/>
        <v>13</v>
      </c>
      <c r="F1293" s="23" t="str">
        <f>IF($A1293="","",INDEX('Logic &amp; Lists'!$I$4:$I$20,$E1293))</f>
        <v/>
      </c>
      <c r="G1293" s="18" t="str">
        <f>IF($A1293="","",INDEX('Logic &amp; Lists'!$J$4:$J$20,$E1293))</f>
        <v/>
      </c>
      <c r="H1293" s="6" t="str">
        <f t="shared" si="101"/>
        <v/>
      </c>
      <c r="I1293" s="18" t="str">
        <f t="shared" ca="1" si="102"/>
        <v/>
      </c>
      <c r="J1293" s="5" t="str">
        <f t="shared" si="103"/>
        <v/>
      </c>
      <c r="K1293" s="25"/>
      <c r="L1293" s="5" t="str">
        <f t="shared" si="104"/>
        <v/>
      </c>
      <c r="M1293" s="7"/>
      <c r="N1293" s="7"/>
      <c r="O1293" s="7"/>
      <c r="P1293" s="20" t="str">
        <f>IF($A1293="","",INDEX(Project_Tracker!$I$2:$I$101,INT((ROW()-6)/17)+1))</f>
        <v/>
      </c>
      <c r="Q1293" s="20" t="str">
        <f>IF($A1293="","",INDEX(Project_Tracker!$K$2:$K$101,INT((ROW()-6)/17)+1))</f>
        <v/>
      </c>
    </row>
    <row r="1294" spans="1:17" x14ac:dyDescent="0.2">
      <c r="A1294" s="20" t="str">
        <f>IF(INDEX(Project_Tracker!$AL$2:$AL$101,INT((ROW()-6)/17)+1)="","",INDEX(Project_Tracker!$AL$2:$AL$101,INT((ROW()-6)/17)+1))</f>
        <v/>
      </c>
      <c r="B1294" s="21" t="str">
        <f>IF($A1294="","",INDEX(Project_Tracker!$AM$2:$AM$101,INT((ROW()-6)/17)+1))</f>
        <v/>
      </c>
      <c r="C1294" s="20" t="str">
        <f>IF($A1294="","",INDEX(Project_Tracker!$C$2:$C$101,INT((ROW()-6)/17)+1))</f>
        <v/>
      </c>
      <c r="D1294" s="6" t="str">
        <f>IF($A1294="","",INDEX(Project_Tracker!$T$2:$T$101,INT((ROW()-6)/17)+1))</f>
        <v/>
      </c>
      <c r="E1294" s="18">
        <f t="shared" si="100"/>
        <v>14</v>
      </c>
      <c r="F1294" s="23" t="str">
        <f>IF($A1294="","",INDEX('Logic &amp; Lists'!$I$4:$I$20,$E1294))</f>
        <v/>
      </c>
      <c r="G1294" s="18" t="str">
        <f>IF($A1294="","",INDEX('Logic &amp; Lists'!$J$4:$J$20,$E1294))</f>
        <v/>
      </c>
      <c r="H1294" s="6" t="str">
        <f t="shared" si="101"/>
        <v/>
      </c>
      <c r="I1294" s="18" t="str">
        <f t="shared" ca="1" si="102"/>
        <v/>
      </c>
      <c r="J1294" s="5" t="str">
        <f t="shared" si="103"/>
        <v/>
      </c>
      <c r="K1294" s="25"/>
      <c r="L1294" s="5" t="str">
        <f t="shared" si="104"/>
        <v/>
      </c>
      <c r="M1294" s="7"/>
      <c r="N1294" s="7"/>
      <c r="O1294" s="7"/>
      <c r="P1294" s="20" t="str">
        <f>IF($A1294="","",INDEX(Project_Tracker!$I$2:$I$101,INT((ROW()-6)/17)+1))</f>
        <v/>
      </c>
      <c r="Q1294" s="20" t="str">
        <f>IF($A1294="","",INDEX(Project_Tracker!$K$2:$K$101,INT((ROW()-6)/17)+1))</f>
        <v/>
      </c>
    </row>
    <row r="1295" spans="1:17" x14ac:dyDescent="0.2">
      <c r="A1295" s="20" t="str">
        <f>IF(INDEX(Project_Tracker!$AL$2:$AL$101,INT((ROW()-6)/17)+1)="","",INDEX(Project_Tracker!$AL$2:$AL$101,INT((ROW()-6)/17)+1))</f>
        <v/>
      </c>
      <c r="B1295" s="21" t="str">
        <f>IF($A1295="","",INDEX(Project_Tracker!$AM$2:$AM$101,INT((ROW()-6)/17)+1))</f>
        <v/>
      </c>
      <c r="C1295" s="20" t="str">
        <f>IF($A1295="","",INDEX(Project_Tracker!$C$2:$C$101,INT((ROW()-6)/17)+1))</f>
        <v/>
      </c>
      <c r="D1295" s="6" t="str">
        <f>IF($A1295="","",INDEX(Project_Tracker!$T$2:$T$101,INT((ROW()-6)/17)+1))</f>
        <v/>
      </c>
      <c r="E1295" s="18">
        <f t="shared" si="100"/>
        <v>15</v>
      </c>
      <c r="F1295" s="23" t="str">
        <f>IF($A1295="","",INDEX('Logic &amp; Lists'!$I$4:$I$20,$E1295))</f>
        <v/>
      </c>
      <c r="G1295" s="18" t="str">
        <f>IF($A1295="","",INDEX('Logic &amp; Lists'!$J$4:$J$20,$E1295))</f>
        <v/>
      </c>
      <c r="H1295" s="6" t="str">
        <f t="shared" si="101"/>
        <v/>
      </c>
      <c r="I1295" s="18" t="str">
        <f t="shared" ca="1" si="102"/>
        <v/>
      </c>
      <c r="J1295" s="5" t="str">
        <f t="shared" si="103"/>
        <v/>
      </c>
      <c r="K1295" s="25"/>
      <c r="L1295" s="5" t="str">
        <f t="shared" si="104"/>
        <v/>
      </c>
      <c r="M1295" s="7"/>
      <c r="N1295" s="7"/>
      <c r="O1295" s="7"/>
      <c r="P1295" s="20" t="str">
        <f>IF($A1295="","",INDEX(Project_Tracker!$I$2:$I$101,INT((ROW()-6)/17)+1))</f>
        <v/>
      </c>
      <c r="Q1295" s="20" t="str">
        <f>IF($A1295="","",INDEX(Project_Tracker!$K$2:$K$101,INT((ROW()-6)/17)+1))</f>
        <v/>
      </c>
    </row>
    <row r="1296" spans="1:17" x14ac:dyDescent="0.2">
      <c r="A1296" s="20" t="str">
        <f>IF(INDEX(Project_Tracker!$AL$2:$AL$101,INT((ROW()-6)/17)+1)="","",INDEX(Project_Tracker!$AL$2:$AL$101,INT((ROW()-6)/17)+1))</f>
        <v/>
      </c>
      <c r="B1296" s="21" t="str">
        <f>IF($A1296="","",INDEX(Project_Tracker!$AM$2:$AM$101,INT((ROW()-6)/17)+1))</f>
        <v/>
      </c>
      <c r="C1296" s="20" t="str">
        <f>IF($A1296="","",INDEX(Project_Tracker!$C$2:$C$101,INT((ROW()-6)/17)+1))</f>
        <v/>
      </c>
      <c r="D1296" s="6" t="str">
        <f>IF($A1296="","",INDEX(Project_Tracker!$T$2:$T$101,INT((ROW()-6)/17)+1))</f>
        <v/>
      </c>
      <c r="E1296" s="18">
        <f t="shared" si="100"/>
        <v>16</v>
      </c>
      <c r="F1296" s="23" t="str">
        <f>IF($A1296="","",INDEX('Logic &amp; Lists'!$I$4:$I$20,$E1296))</f>
        <v/>
      </c>
      <c r="G1296" s="18" t="str">
        <f>IF($A1296="","",INDEX('Logic &amp; Lists'!$J$4:$J$20,$E1296))</f>
        <v/>
      </c>
      <c r="H1296" s="6" t="str">
        <f t="shared" si="101"/>
        <v/>
      </c>
      <c r="I1296" s="18" t="str">
        <f t="shared" ca="1" si="102"/>
        <v/>
      </c>
      <c r="J1296" s="5" t="str">
        <f t="shared" si="103"/>
        <v/>
      </c>
      <c r="K1296" s="25"/>
      <c r="L1296" s="5" t="str">
        <f t="shared" si="104"/>
        <v/>
      </c>
      <c r="M1296" s="7"/>
      <c r="N1296" s="7"/>
      <c r="O1296" s="7"/>
      <c r="P1296" s="20" t="str">
        <f>IF($A1296="","",INDEX(Project_Tracker!$I$2:$I$101,INT((ROW()-6)/17)+1))</f>
        <v/>
      </c>
      <c r="Q1296" s="20" t="str">
        <f>IF($A1296="","",INDEX(Project_Tracker!$K$2:$K$101,INT((ROW()-6)/17)+1))</f>
        <v/>
      </c>
    </row>
    <row r="1297" spans="1:17" x14ac:dyDescent="0.2">
      <c r="A1297" s="20" t="str">
        <f>IF(INDEX(Project_Tracker!$AL$2:$AL$101,INT((ROW()-6)/17)+1)="","",INDEX(Project_Tracker!$AL$2:$AL$101,INT((ROW()-6)/17)+1))</f>
        <v/>
      </c>
      <c r="B1297" s="21" t="str">
        <f>IF($A1297="","",INDEX(Project_Tracker!$AM$2:$AM$101,INT((ROW()-6)/17)+1))</f>
        <v/>
      </c>
      <c r="C1297" s="20" t="str">
        <f>IF($A1297="","",INDEX(Project_Tracker!$C$2:$C$101,INT((ROW()-6)/17)+1))</f>
        <v/>
      </c>
      <c r="D1297" s="6" t="str">
        <f>IF($A1297="","",INDEX(Project_Tracker!$T$2:$T$101,INT((ROW()-6)/17)+1))</f>
        <v/>
      </c>
      <c r="E1297" s="18">
        <f t="shared" si="100"/>
        <v>17</v>
      </c>
      <c r="F1297" s="23" t="str">
        <f>IF($A1297="","",INDEX('Logic &amp; Lists'!$I$4:$I$20,$E1297))</f>
        <v/>
      </c>
      <c r="G1297" s="18" t="str">
        <f>IF($A1297="","",INDEX('Logic &amp; Lists'!$J$4:$J$20,$E1297))</f>
        <v/>
      </c>
      <c r="H1297" s="6" t="str">
        <f t="shared" si="101"/>
        <v/>
      </c>
      <c r="I1297" s="18" t="str">
        <f t="shared" ca="1" si="102"/>
        <v/>
      </c>
      <c r="J1297" s="5" t="str">
        <f t="shared" si="103"/>
        <v/>
      </c>
      <c r="K1297" s="25"/>
      <c r="L1297" s="5" t="str">
        <f t="shared" si="104"/>
        <v/>
      </c>
      <c r="M1297" s="7"/>
      <c r="N1297" s="7"/>
      <c r="O1297" s="7"/>
      <c r="P1297" s="20" t="str">
        <f>IF($A1297="","",INDEX(Project_Tracker!$I$2:$I$101,INT((ROW()-6)/17)+1))</f>
        <v/>
      </c>
      <c r="Q1297" s="20" t="str">
        <f>IF($A1297="","",INDEX(Project_Tracker!$K$2:$K$101,INT((ROW()-6)/17)+1))</f>
        <v/>
      </c>
    </row>
    <row r="1298" spans="1:17" x14ac:dyDescent="0.2">
      <c r="A1298" s="20" t="str">
        <f>IF(INDEX(Project_Tracker!$AL$2:$AL$101,INT((ROW()-6)/17)+1)="","",INDEX(Project_Tracker!$AL$2:$AL$101,INT((ROW()-6)/17)+1))</f>
        <v/>
      </c>
      <c r="B1298" s="21" t="str">
        <f>IF($A1298="","",INDEX(Project_Tracker!$AM$2:$AM$101,INT((ROW()-6)/17)+1))</f>
        <v/>
      </c>
      <c r="C1298" s="20" t="str">
        <f>IF($A1298="","",INDEX(Project_Tracker!$C$2:$C$101,INT((ROW()-6)/17)+1))</f>
        <v/>
      </c>
      <c r="D1298" s="6" t="str">
        <f>IF($A1298="","",INDEX(Project_Tracker!$T$2:$T$101,INT((ROW()-6)/17)+1))</f>
        <v/>
      </c>
      <c r="E1298" s="18">
        <f t="shared" si="100"/>
        <v>1</v>
      </c>
      <c r="F1298" s="23" t="str">
        <f>IF($A1298="","",INDEX('Logic &amp; Lists'!$I$4:$I$20,$E1298))</f>
        <v/>
      </c>
      <c r="G1298" s="18" t="str">
        <f>IF($A1298="","",INDEX('Logic &amp; Lists'!$J$4:$J$20,$E1298))</f>
        <v/>
      </c>
      <c r="H1298" s="6" t="str">
        <f t="shared" si="101"/>
        <v/>
      </c>
      <c r="I1298" s="18" t="str">
        <f t="shared" ca="1" si="102"/>
        <v/>
      </c>
      <c r="J1298" s="5" t="str">
        <f t="shared" si="103"/>
        <v/>
      </c>
      <c r="K1298" s="25"/>
      <c r="L1298" s="5" t="str">
        <f t="shared" si="104"/>
        <v/>
      </c>
      <c r="M1298" s="7"/>
      <c r="N1298" s="7"/>
      <c r="O1298" s="7"/>
      <c r="P1298" s="20" t="str">
        <f>IF($A1298="","",INDEX(Project_Tracker!$I$2:$I$101,INT((ROW()-6)/17)+1))</f>
        <v/>
      </c>
      <c r="Q1298" s="20" t="str">
        <f>IF($A1298="","",INDEX(Project_Tracker!$K$2:$K$101,INT((ROW()-6)/17)+1))</f>
        <v/>
      </c>
    </row>
    <row r="1299" spans="1:17" x14ac:dyDescent="0.2">
      <c r="A1299" s="20" t="str">
        <f>IF(INDEX(Project_Tracker!$AL$2:$AL$101,INT((ROW()-6)/17)+1)="","",INDEX(Project_Tracker!$AL$2:$AL$101,INT((ROW()-6)/17)+1))</f>
        <v/>
      </c>
      <c r="B1299" s="21" t="str">
        <f>IF($A1299="","",INDEX(Project_Tracker!$AM$2:$AM$101,INT((ROW()-6)/17)+1))</f>
        <v/>
      </c>
      <c r="C1299" s="20" t="str">
        <f>IF($A1299="","",INDEX(Project_Tracker!$C$2:$C$101,INT((ROW()-6)/17)+1))</f>
        <v/>
      </c>
      <c r="D1299" s="6" t="str">
        <f>IF($A1299="","",INDEX(Project_Tracker!$T$2:$T$101,INT((ROW()-6)/17)+1))</f>
        <v/>
      </c>
      <c r="E1299" s="18">
        <f t="shared" si="100"/>
        <v>2</v>
      </c>
      <c r="F1299" s="23" t="str">
        <f>IF($A1299="","",INDEX('Logic &amp; Lists'!$I$4:$I$20,$E1299))</f>
        <v/>
      </c>
      <c r="G1299" s="18" t="str">
        <f>IF($A1299="","",INDEX('Logic &amp; Lists'!$J$4:$J$20,$E1299))</f>
        <v/>
      </c>
      <c r="H1299" s="6" t="str">
        <f t="shared" si="101"/>
        <v/>
      </c>
      <c r="I1299" s="18" t="str">
        <f t="shared" ca="1" si="102"/>
        <v/>
      </c>
      <c r="J1299" s="5" t="str">
        <f t="shared" si="103"/>
        <v/>
      </c>
      <c r="K1299" s="25"/>
      <c r="L1299" s="5" t="str">
        <f t="shared" si="104"/>
        <v/>
      </c>
      <c r="M1299" s="7"/>
      <c r="N1299" s="7"/>
      <c r="O1299" s="7"/>
      <c r="P1299" s="20" t="str">
        <f>IF($A1299="","",INDEX(Project_Tracker!$I$2:$I$101,INT((ROW()-6)/17)+1))</f>
        <v/>
      </c>
      <c r="Q1299" s="20" t="str">
        <f>IF($A1299="","",INDEX(Project_Tracker!$K$2:$K$101,INT((ROW()-6)/17)+1))</f>
        <v/>
      </c>
    </row>
    <row r="1300" spans="1:17" x14ac:dyDescent="0.2">
      <c r="A1300" s="20" t="str">
        <f>IF(INDEX(Project_Tracker!$AL$2:$AL$101,INT((ROW()-6)/17)+1)="","",INDEX(Project_Tracker!$AL$2:$AL$101,INT((ROW()-6)/17)+1))</f>
        <v/>
      </c>
      <c r="B1300" s="21" t="str">
        <f>IF($A1300="","",INDEX(Project_Tracker!$AM$2:$AM$101,INT((ROW()-6)/17)+1))</f>
        <v/>
      </c>
      <c r="C1300" s="20" t="str">
        <f>IF($A1300="","",INDEX(Project_Tracker!$C$2:$C$101,INT((ROW()-6)/17)+1))</f>
        <v/>
      </c>
      <c r="D1300" s="6" t="str">
        <f>IF($A1300="","",INDEX(Project_Tracker!$T$2:$T$101,INT((ROW()-6)/17)+1))</f>
        <v/>
      </c>
      <c r="E1300" s="18">
        <f t="shared" si="100"/>
        <v>3</v>
      </c>
      <c r="F1300" s="23" t="str">
        <f>IF($A1300="","",INDEX('Logic &amp; Lists'!$I$4:$I$20,$E1300))</f>
        <v/>
      </c>
      <c r="G1300" s="18" t="str">
        <f>IF($A1300="","",INDEX('Logic &amp; Lists'!$J$4:$J$20,$E1300))</f>
        <v/>
      </c>
      <c r="H1300" s="6" t="str">
        <f t="shared" si="101"/>
        <v/>
      </c>
      <c r="I1300" s="18" t="str">
        <f t="shared" ca="1" si="102"/>
        <v/>
      </c>
      <c r="J1300" s="5" t="str">
        <f t="shared" si="103"/>
        <v/>
      </c>
      <c r="K1300" s="25"/>
      <c r="L1300" s="5" t="str">
        <f t="shared" si="104"/>
        <v/>
      </c>
      <c r="M1300" s="7"/>
      <c r="N1300" s="7"/>
      <c r="O1300" s="7"/>
      <c r="P1300" s="20" t="str">
        <f>IF($A1300="","",INDEX(Project_Tracker!$I$2:$I$101,INT((ROW()-6)/17)+1))</f>
        <v/>
      </c>
      <c r="Q1300" s="20" t="str">
        <f>IF($A1300="","",INDEX(Project_Tracker!$K$2:$K$101,INT((ROW()-6)/17)+1))</f>
        <v/>
      </c>
    </row>
    <row r="1301" spans="1:17" x14ac:dyDescent="0.2">
      <c r="A1301" s="20" t="str">
        <f>IF(INDEX(Project_Tracker!$AL$2:$AL$101,INT((ROW()-6)/17)+1)="","",INDEX(Project_Tracker!$AL$2:$AL$101,INT((ROW()-6)/17)+1))</f>
        <v/>
      </c>
      <c r="B1301" s="21" t="str">
        <f>IF($A1301="","",INDEX(Project_Tracker!$AM$2:$AM$101,INT((ROW()-6)/17)+1))</f>
        <v/>
      </c>
      <c r="C1301" s="20" t="str">
        <f>IF($A1301="","",INDEX(Project_Tracker!$C$2:$C$101,INT((ROW()-6)/17)+1))</f>
        <v/>
      </c>
      <c r="D1301" s="6" t="str">
        <f>IF($A1301="","",INDEX(Project_Tracker!$T$2:$T$101,INT((ROW()-6)/17)+1))</f>
        <v/>
      </c>
      <c r="E1301" s="18">
        <f t="shared" si="100"/>
        <v>4</v>
      </c>
      <c r="F1301" s="23" t="str">
        <f>IF($A1301="","",INDEX('Logic &amp; Lists'!$I$4:$I$20,$E1301))</f>
        <v/>
      </c>
      <c r="G1301" s="18" t="str">
        <f>IF($A1301="","",INDEX('Logic &amp; Lists'!$J$4:$J$20,$E1301))</f>
        <v/>
      </c>
      <c r="H1301" s="6" t="str">
        <f t="shared" si="101"/>
        <v/>
      </c>
      <c r="I1301" s="18" t="str">
        <f t="shared" ca="1" si="102"/>
        <v/>
      </c>
      <c r="J1301" s="5" t="str">
        <f t="shared" si="103"/>
        <v/>
      </c>
      <c r="K1301" s="25"/>
      <c r="L1301" s="5" t="str">
        <f t="shared" si="104"/>
        <v/>
      </c>
      <c r="M1301" s="7"/>
      <c r="N1301" s="7"/>
      <c r="O1301" s="7"/>
      <c r="P1301" s="20" t="str">
        <f>IF($A1301="","",INDEX(Project_Tracker!$I$2:$I$101,INT((ROW()-6)/17)+1))</f>
        <v/>
      </c>
      <c r="Q1301" s="20" t="str">
        <f>IF($A1301="","",INDEX(Project_Tracker!$K$2:$K$101,INT((ROW()-6)/17)+1))</f>
        <v/>
      </c>
    </row>
    <row r="1302" spans="1:17" x14ac:dyDescent="0.2">
      <c r="A1302" s="20" t="str">
        <f>IF(INDEX(Project_Tracker!$AL$2:$AL$101,INT((ROW()-6)/17)+1)="","",INDEX(Project_Tracker!$AL$2:$AL$101,INT((ROW()-6)/17)+1))</f>
        <v/>
      </c>
      <c r="B1302" s="21" t="str">
        <f>IF($A1302="","",INDEX(Project_Tracker!$AM$2:$AM$101,INT((ROW()-6)/17)+1))</f>
        <v/>
      </c>
      <c r="C1302" s="20" t="str">
        <f>IF($A1302="","",INDEX(Project_Tracker!$C$2:$C$101,INT((ROW()-6)/17)+1))</f>
        <v/>
      </c>
      <c r="D1302" s="6" t="str">
        <f>IF($A1302="","",INDEX(Project_Tracker!$T$2:$T$101,INT((ROW()-6)/17)+1))</f>
        <v/>
      </c>
      <c r="E1302" s="18">
        <f t="shared" si="100"/>
        <v>5</v>
      </c>
      <c r="F1302" s="23" t="str">
        <f>IF($A1302="","",INDEX('Logic &amp; Lists'!$I$4:$I$20,$E1302))</f>
        <v/>
      </c>
      <c r="G1302" s="18" t="str">
        <f>IF($A1302="","",INDEX('Logic &amp; Lists'!$J$4:$J$20,$E1302))</f>
        <v/>
      </c>
      <c r="H1302" s="6" t="str">
        <f t="shared" si="101"/>
        <v/>
      </c>
      <c r="I1302" s="18" t="str">
        <f t="shared" ca="1" si="102"/>
        <v/>
      </c>
      <c r="J1302" s="5" t="str">
        <f t="shared" si="103"/>
        <v/>
      </c>
      <c r="K1302" s="25"/>
      <c r="L1302" s="5" t="str">
        <f t="shared" si="104"/>
        <v/>
      </c>
      <c r="M1302" s="7"/>
      <c r="N1302" s="7"/>
      <c r="O1302" s="7"/>
      <c r="P1302" s="20" t="str">
        <f>IF($A1302="","",INDEX(Project_Tracker!$I$2:$I$101,INT((ROW()-6)/17)+1))</f>
        <v/>
      </c>
      <c r="Q1302" s="20" t="str">
        <f>IF($A1302="","",INDEX(Project_Tracker!$K$2:$K$101,INT((ROW()-6)/17)+1))</f>
        <v/>
      </c>
    </row>
    <row r="1303" spans="1:17" x14ac:dyDescent="0.2">
      <c r="A1303" s="20" t="str">
        <f>IF(INDEX(Project_Tracker!$AL$2:$AL$101,INT((ROW()-6)/17)+1)="","",INDEX(Project_Tracker!$AL$2:$AL$101,INT((ROW()-6)/17)+1))</f>
        <v/>
      </c>
      <c r="B1303" s="21" t="str">
        <f>IF($A1303="","",INDEX(Project_Tracker!$AM$2:$AM$101,INT((ROW()-6)/17)+1))</f>
        <v/>
      </c>
      <c r="C1303" s="20" t="str">
        <f>IF($A1303="","",INDEX(Project_Tracker!$C$2:$C$101,INT((ROW()-6)/17)+1))</f>
        <v/>
      </c>
      <c r="D1303" s="6" t="str">
        <f>IF($A1303="","",INDEX(Project_Tracker!$T$2:$T$101,INT((ROW()-6)/17)+1))</f>
        <v/>
      </c>
      <c r="E1303" s="18">
        <f t="shared" si="100"/>
        <v>6</v>
      </c>
      <c r="F1303" s="23" t="str">
        <f>IF($A1303="","",INDEX('Logic &amp; Lists'!$I$4:$I$20,$E1303))</f>
        <v/>
      </c>
      <c r="G1303" s="18" t="str">
        <f>IF($A1303="","",INDEX('Logic &amp; Lists'!$J$4:$J$20,$E1303))</f>
        <v/>
      </c>
      <c r="H1303" s="6" t="str">
        <f t="shared" si="101"/>
        <v/>
      </c>
      <c r="I1303" s="18" t="str">
        <f t="shared" ca="1" si="102"/>
        <v/>
      </c>
      <c r="J1303" s="5" t="str">
        <f t="shared" si="103"/>
        <v/>
      </c>
      <c r="K1303" s="25"/>
      <c r="L1303" s="5" t="str">
        <f t="shared" si="104"/>
        <v/>
      </c>
      <c r="M1303" s="7"/>
      <c r="N1303" s="7"/>
      <c r="O1303" s="7"/>
      <c r="P1303" s="20" t="str">
        <f>IF($A1303="","",INDEX(Project_Tracker!$I$2:$I$101,INT((ROW()-6)/17)+1))</f>
        <v/>
      </c>
      <c r="Q1303" s="20" t="str">
        <f>IF($A1303="","",INDEX(Project_Tracker!$K$2:$K$101,INT((ROW()-6)/17)+1))</f>
        <v/>
      </c>
    </row>
    <row r="1304" spans="1:17" x14ac:dyDescent="0.2">
      <c r="A1304" s="20" t="str">
        <f>IF(INDEX(Project_Tracker!$AL$2:$AL$101,INT((ROW()-6)/17)+1)="","",INDEX(Project_Tracker!$AL$2:$AL$101,INT((ROW()-6)/17)+1))</f>
        <v/>
      </c>
      <c r="B1304" s="21" t="str">
        <f>IF($A1304="","",INDEX(Project_Tracker!$AM$2:$AM$101,INT((ROW()-6)/17)+1))</f>
        <v/>
      </c>
      <c r="C1304" s="20" t="str">
        <f>IF($A1304="","",INDEX(Project_Tracker!$C$2:$C$101,INT((ROW()-6)/17)+1))</f>
        <v/>
      </c>
      <c r="D1304" s="6" t="str">
        <f>IF($A1304="","",INDEX(Project_Tracker!$T$2:$T$101,INT((ROW()-6)/17)+1))</f>
        <v/>
      </c>
      <c r="E1304" s="18">
        <f t="shared" si="100"/>
        <v>7</v>
      </c>
      <c r="F1304" s="23" t="str">
        <f>IF($A1304="","",INDEX('Logic &amp; Lists'!$I$4:$I$20,$E1304))</f>
        <v/>
      </c>
      <c r="G1304" s="18" t="str">
        <f>IF($A1304="","",INDEX('Logic &amp; Lists'!$J$4:$J$20,$E1304))</f>
        <v/>
      </c>
      <c r="H1304" s="6" t="str">
        <f t="shared" si="101"/>
        <v/>
      </c>
      <c r="I1304" s="18" t="str">
        <f t="shared" ca="1" si="102"/>
        <v/>
      </c>
      <c r="J1304" s="5" t="str">
        <f t="shared" si="103"/>
        <v/>
      </c>
      <c r="K1304" s="25"/>
      <c r="L1304" s="5" t="str">
        <f t="shared" si="104"/>
        <v/>
      </c>
      <c r="M1304" s="7"/>
      <c r="N1304" s="7"/>
      <c r="O1304" s="7"/>
      <c r="P1304" s="20" t="str">
        <f>IF($A1304="","",INDEX(Project_Tracker!$I$2:$I$101,INT((ROW()-6)/17)+1))</f>
        <v/>
      </c>
      <c r="Q1304" s="20" t="str">
        <f>IF($A1304="","",INDEX(Project_Tracker!$K$2:$K$101,INT((ROW()-6)/17)+1))</f>
        <v/>
      </c>
    </row>
    <row r="1305" spans="1:17" x14ac:dyDescent="0.2">
      <c r="A1305" s="20" t="str">
        <f>IF(INDEX(Project_Tracker!$AL$2:$AL$101,INT((ROW()-6)/17)+1)="","",INDEX(Project_Tracker!$AL$2:$AL$101,INT((ROW()-6)/17)+1))</f>
        <v/>
      </c>
      <c r="B1305" s="21" t="str">
        <f>IF($A1305="","",INDEX(Project_Tracker!$AM$2:$AM$101,INT((ROW()-6)/17)+1))</f>
        <v/>
      </c>
      <c r="C1305" s="20" t="str">
        <f>IF($A1305="","",INDEX(Project_Tracker!$C$2:$C$101,INT((ROW()-6)/17)+1))</f>
        <v/>
      </c>
      <c r="D1305" s="6" t="str">
        <f>IF($A1305="","",INDEX(Project_Tracker!$T$2:$T$101,INT((ROW()-6)/17)+1))</f>
        <v/>
      </c>
      <c r="E1305" s="18">
        <f t="shared" si="100"/>
        <v>8</v>
      </c>
      <c r="F1305" s="23" t="str">
        <f>IF($A1305="","",INDEX('Logic &amp; Lists'!$I$4:$I$20,$E1305))</f>
        <v/>
      </c>
      <c r="G1305" s="18" t="str">
        <f>IF($A1305="","",INDEX('Logic &amp; Lists'!$J$4:$J$20,$E1305))</f>
        <v/>
      </c>
      <c r="H1305" s="6" t="str">
        <f t="shared" si="101"/>
        <v/>
      </c>
      <c r="I1305" s="18" t="str">
        <f t="shared" ca="1" si="102"/>
        <v/>
      </c>
      <c r="J1305" s="5" t="str">
        <f t="shared" si="103"/>
        <v/>
      </c>
      <c r="K1305" s="25"/>
      <c r="L1305" s="5" t="str">
        <f t="shared" si="104"/>
        <v/>
      </c>
      <c r="M1305" s="7"/>
      <c r="N1305" s="7"/>
      <c r="O1305" s="7"/>
      <c r="P1305" s="20" t="str">
        <f>IF($A1305="","",INDEX(Project_Tracker!$I$2:$I$101,INT((ROW()-6)/17)+1))</f>
        <v/>
      </c>
      <c r="Q1305" s="20" t="str">
        <f>IF($A1305="","",INDEX(Project_Tracker!$K$2:$K$101,INT((ROW()-6)/17)+1))</f>
        <v/>
      </c>
    </row>
    <row r="1306" spans="1:17" x14ac:dyDescent="0.2">
      <c r="A1306" s="20" t="str">
        <f>IF(INDEX(Project_Tracker!$AL$2:$AL$101,INT((ROW()-6)/17)+1)="","",INDEX(Project_Tracker!$AL$2:$AL$101,INT((ROW()-6)/17)+1))</f>
        <v/>
      </c>
      <c r="B1306" s="21" t="str">
        <f>IF($A1306="","",INDEX(Project_Tracker!$AM$2:$AM$101,INT((ROW()-6)/17)+1))</f>
        <v/>
      </c>
      <c r="C1306" s="20" t="str">
        <f>IF($A1306="","",INDEX(Project_Tracker!$C$2:$C$101,INT((ROW()-6)/17)+1))</f>
        <v/>
      </c>
      <c r="D1306" s="6" t="str">
        <f>IF($A1306="","",INDEX(Project_Tracker!$T$2:$T$101,INT((ROW()-6)/17)+1))</f>
        <v/>
      </c>
      <c r="E1306" s="18">
        <f t="shared" si="100"/>
        <v>9</v>
      </c>
      <c r="F1306" s="23" t="str">
        <f>IF($A1306="","",INDEX('Logic &amp; Lists'!$I$4:$I$20,$E1306))</f>
        <v/>
      </c>
      <c r="G1306" s="18" t="str">
        <f>IF($A1306="","",INDEX('Logic &amp; Lists'!$J$4:$J$20,$E1306))</f>
        <v/>
      </c>
      <c r="H1306" s="6" t="str">
        <f t="shared" si="101"/>
        <v/>
      </c>
      <c r="I1306" s="18" t="str">
        <f t="shared" ca="1" si="102"/>
        <v/>
      </c>
      <c r="J1306" s="5" t="str">
        <f t="shared" si="103"/>
        <v/>
      </c>
      <c r="K1306" s="25"/>
      <c r="L1306" s="5" t="str">
        <f t="shared" si="104"/>
        <v/>
      </c>
      <c r="M1306" s="7"/>
      <c r="N1306" s="7"/>
      <c r="O1306" s="7"/>
      <c r="P1306" s="20" t="str">
        <f>IF($A1306="","",INDEX(Project_Tracker!$I$2:$I$101,INT((ROW()-6)/17)+1))</f>
        <v/>
      </c>
      <c r="Q1306" s="20" t="str">
        <f>IF($A1306="","",INDEX(Project_Tracker!$K$2:$K$101,INT((ROW()-6)/17)+1))</f>
        <v/>
      </c>
    </row>
    <row r="1307" spans="1:17" x14ac:dyDescent="0.2">
      <c r="A1307" s="20" t="str">
        <f>IF(INDEX(Project_Tracker!$AL$2:$AL$101,INT((ROW()-6)/17)+1)="","",INDEX(Project_Tracker!$AL$2:$AL$101,INT((ROW()-6)/17)+1))</f>
        <v/>
      </c>
      <c r="B1307" s="21" t="str">
        <f>IF($A1307="","",INDEX(Project_Tracker!$AM$2:$AM$101,INT((ROW()-6)/17)+1))</f>
        <v/>
      </c>
      <c r="C1307" s="20" t="str">
        <f>IF($A1307="","",INDEX(Project_Tracker!$C$2:$C$101,INT((ROW()-6)/17)+1))</f>
        <v/>
      </c>
      <c r="D1307" s="6" t="str">
        <f>IF($A1307="","",INDEX(Project_Tracker!$T$2:$T$101,INT((ROW()-6)/17)+1))</f>
        <v/>
      </c>
      <c r="E1307" s="18">
        <f t="shared" si="100"/>
        <v>10</v>
      </c>
      <c r="F1307" s="23" t="str">
        <f>IF($A1307="","",INDEX('Logic &amp; Lists'!$I$4:$I$20,$E1307))</f>
        <v/>
      </c>
      <c r="G1307" s="18" t="str">
        <f>IF($A1307="","",INDEX('Logic &amp; Lists'!$J$4:$J$20,$E1307))</f>
        <v/>
      </c>
      <c r="H1307" s="6" t="str">
        <f t="shared" si="101"/>
        <v/>
      </c>
      <c r="I1307" s="18" t="str">
        <f t="shared" ca="1" si="102"/>
        <v/>
      </c>
      <c r="J1307" s="5" t="str">
        <f t="shared" si="103"/>
        <v/>
      </c>
      <c r="K1307" s="25"/>
      <c r="L1307" s="5" t="str">
        <f t="shared" si="104"/>
        <v/>
      </c>
      <c r="M1307" s="7"/>
      <c r="N1307" s="7"/>
      <c r="O1307" s="7"/>
      <c r="P1307" s="20" t="str">
        <f>IF($A1307="","",INDEX(Project_Tracker!$I$2:$I$101,INT((ROW()-6)/17)+1))</f>
        <v/>
      </c>
      <c r="Q1307" s="20" t="str">
        <f>IF($A1307="","",INDEX(Project_Tracker!$K$2:$K$101,INT((ROW()-6)/17)+1))</f>
        <v/>
      </c>
    </row>
    <row r="1308" spans="1:17" x14ac:dyDescent="0.2">
      <c r="A1308" s="20" t="str">
        <f>IF(INDEX(Project_Tracker!$AL$2:$AL$101,INT((ROW()-6)/17)+1)="","",INDEX(Project_Tracker!$AL$2:$AL$101,INT((ROW()-6)/17)+1))</f>
        <v/>
      </c>
      <c r="B1308" s="21" t="str">
        <f>IF($A1308="","",INDEX(Project_Tracker!$AM$2:$AM$101,INT((ROW()-6)/17)+1))</f>
        <v/>
      </c>
      <c r="C1308" s="20" t="str">
        <f>IF($A1308="","",INDEX(Project_Tracker!$C$2:$C$101,INT((ROW()-6)/17)+1))</f>
        <v/>
      </c>
      <c r="D1308" s="6" t="str">
        <f>IF($A1308="","",INDEX(Project_Tracker!$T$2:$T$101,INT((ROW()-6)/17)+1))</f>
        <v/>
      </c>
      <c r="E1308" s="18">
        <f t="shared" si="100"/>
        <v>11</v>
      </c>
      <c r="F1308" s="23" t="str">
        <f>IF($A1308="","",INDEX('Logic &amp; Lists'!$I$4:$I$20,$E1308))</f>
        <v/>
      </c>
      <c r="G1308" s="18" t="str">
        <f>IF($A1308="","",INDEX('Logic &amp; Lists'!$J$4:$J$20,$E1308))</f>
        <v/>
      </c>
      <c r="H1308" s="6" t="str">
        <f t="shared" si="101"/>
        <v/>
      </c>
      <c r="I1308" s="18" t="str">
        <f t="shared" ca="1" si="102"/>
        <v/>
      </c>
      <c r="J1308" s="5" t="str">
        <f t="shared" si="103"/>
        <v/>
      </c>
      <c r="K1308" s="25"/>
      <c r="L1308" s="5" t="str">
        <f t="shared" si="104"/>
        <v/>
      </c>
      <c r="M1308" s="7"/>
      <c r="N1308" s="7"/>
      <c r="O1308" s="7"/>
      <c r="P1308" s="20" t="str">
        <f>IF($A1308="","",INDEX(Project_Tracker!$I$2:$I$101,INT((ROW()-6)/17)+1))</f>
        <v/>
      </c>
      <c r="Q1308" s="20" t="str">
        <f>IF($A1308="","",INDEX(Project_Tracker!$K$2:$K$101,INT((ROW()-6)/17)+1))</f>
        <v/>
      </c>
    </row>
    <row r="1309" spans="1:17" x14ac:dyDescent="0.2">
      <c r="A1309" s="20" t="str">
        <f>IF(INDEX(Project_Tracker!$AL$2:$AL$101,INT((ROW()-6)/17)+1)="","",INDEX(Project_Tracker!$AL$2:$AL$101,INT((ROW()-6)/17)+1))</f>
        <v/>
      </c>
      <c r="B1309" s="21" t="str">
        <f>IF($A1309="","",INDEX(Project_Tracker!$AM$2:$AM$101,INT((ROW()-6)/17)+1))</f>
        <v/>
      </c>
      <c r="C1309" s="20" t="str">
        <f>IF($A1309="","",INDEX(Project_Tracker!$C$2:$C$101,INT((ROW()-6)/17)+1))</f>
        <v/>
      </c>
      <c r="D1309" s="6" t="str">
        <f>IF($A1309="","",INDEX(Project_Tracker!$T$2:$T$101,INT((ROW()-6)/17)+1))</f>
        <v/>
      </c>
      <c r="E1309" s="18">
        <f t="shared" si="100"/>
        <v>12</v>
      </c>
      <c r="F1309" s="23" t="str">
        <f>IF($A1309="","",INDEX('Logic &amp; Lists'!$I$4:$I$20,$E1309))</f>
        <v/>
      </c>
      <c r="G1309" s="18" t="str">
        <f>IF($A1309="","",INDEX('Logic &amp; Lists'!$J$4:$J$20,$E1309))</f>
        <v/>
      </c>
      <c r="H1309" s="6" t="str">
        <f t="shared" si="101"/>
        <v/>
      </c>
      <c r="I1309" s="18" t="str">
        <f t="shared" ca="1" si="102"/>
        <v/>
      </c>
      <c r="J1309" s="5" t="str">
        <f t="shared" si="103"/>
        <v/>
      </c>
      <c r="K1309" s="25"/>
      <c r="L1309" s="5" t="str">
        <f t="shared" si="104"/>
        <v/>
      </c>
      <c r="M1309" s="7"/>
      <c r="N1309" s="7"/>
      <c r="O1309" s="7"/>
      <c r="P1309" s="20" t="str">
        <f>IF($A1309="","",INDEX(Project_Tracker!$I$2:$I$101,INT((ROW()-6)/17)+1))</f>
        <v/>
      </c>
      <c r="Q1309" s="20" t="str">
        <f>IF($A1309="","",INDEX(Project_Tracker!$K$2:$K$101,INT((ROW()-6)/17)+1))</f>
        <v/>
      </c>
    </row>
    <row r="1310" spans="1:17" x14ac:dyDescent="0.2">
      <c r="A1310" s="20" t="str">
        <f>IF(INDEX(Project_Tracker!$AL$2:$AL$101,INT((ROW()-6)/17)+1)="","",INDEX(Project_Tracker!$AL$2:$AL$101,INT((ROW()-6)/17)+1))</f>
        <v/>
      </c>
      <c r="B1310" s="21" t="str">
        <f>IF($A1310="","",INDEX(Project_Tracker!$AM$2:$AM$101,INT((ROW()-6)/17)+1))</f>
        <v/>
      </c>
      <c r="C1310" s="20" t="str">
        <f>IF($A1310="","",INDEX(Project_Tracker!$C$2:$C$101,INT((ROW()-6)/17)+1))</f>
        <v/>
      </c>
      <c r="D1310" s="6" t="str">
        <f>IF($A1310="","",INDEX(Project_Tracker!$T$2:$T$101,INT((ROW()-6)/17)+1))</f>
        <v/>
      </c>
      <c r="E1310" s="18">
        <f t="shared" si="100"/>
        <v>13</v>
      </c>
      <c r="F1310" s="23" t="str">
        <f>IF($A1310="","",INDEX('Logic &amp; Lists'!$I$4:$I$20,$E1310))</f>
        <v/>
      </c>
      <c r="G1310" s="18" t="str">
        <f>IF($A1310="","",INDEX('Logic &amp; Lists'!$J$4:$J$20,$E1310))</f>
        <v/>
      </c>
      <c r="H1310" s="6" t="str">
        <f t="shared" si="101"/>
        <v/>
      </c>
      <c r="I1310" s="18" t="str">
        <f t="shared" ca="1" si="102"/>
        <v/>
      </c>
      <c r="J1310" s="5" t="str">
        <f t="shared" si="103"/>
        <v/>
      </c>
      <c r="K1310" s="25"/>
      <c r="L1310" s="5" t="str">
        <f t="shared" si="104"/>
        <v/>
      </c>
      <c r="M1310" s="7"/>
      <c r="N1310" s="7"/>
      <c r="O1310" s="7"/>
      <c r="P1310" s="20" t="str">
        <f>IF($A1310="","",INDEX(Project_Tracker!$I$2:$I$101,INT((ROW()-6)/17)+1))</f>
        <v/>
      </c>
      <c r="Q1310" s="20" t="str">
        <f>IF($A1310="","",INDEX(Project_Tracker!$K$2:$K$101,INT((ROW()-6)/17)+1))</f>
        <v/>
      </c>
    </row>
    <row r="1311" spans="1:17" x14ac:dyDescent="0.2">
      <c r="A1311" s="20" t="str">
        <f>IF(INDEX(Project_Tracker!$AL$2:$AL$101,INT((ROW()-6)/17)+1)="","",INDEX(Project_Tracker!$AL$2:$AL$101,INT((ROW()-6)/17)+1))</f>
        <v/>
      </c>
      <c r="B1311" s="21" t="str">
        <f>IF($A1311="","",INDEX(Project_Tracker!$AM$2:$AM$101,INT((ROW()-6)/17)+1))</f>
        <v/>
      </c>
      <c r="C1311" s="20" t="str">
        <f>IF($A1311="","",INDEX(Project_Tracker!$C$2:$C$101,INT((ROW()-6)/17)+1))</f>
        <v/>
      </c>
      <c r="D1311" s="6" t="str">
        <f>IF($A1311="","",INDEX(Project_Tracker!$T$2:$T$101,INT((ROW()-6)/17)+1))</f>
        <v/>
      </c>
      <c r="E1311" s="18">
        <f t="shared" si="100"/>
        <v>14</v>
      </c>
      <c r="F1311" s="23" t="str">
        <f>IF($A1311="","",INDEX('Logic &amp; Lists'!$I$4:$I$20,$E1311))</f>
        <v/>
      </c>
      <c r="G1311" s="18" t="str">
        <f>IF($A1311="","",INDEX('Logic &amp; Lists'!$J$4:$J$20,$E1311))</f>
        <v/>
      </c>
      <c r="H1311" s="6" t="str">
        <f t="shared" si="101"/>
        <v/>
      </c>
      <c r="I1311" s="18" t="str">
        <f t="shared" ca="1" si="102"/>
        <v/>
      </c>
      <c r="J1311" s="5" t="str">
        <f t="shared" si="103"/>
        <v/>
      </c>
      <c r="K1311" s="25"/>
      <c r="L1311" s="5" t="str">
        <f t="shared" si="104"/>
        <v/>
      </c>
      <c r="M1311" s="7"/>
      <c r="N1311" s="7"/>
      <c r="O1311" s="7"/>
      <c r="P1311" s="20" t="str">
        <f>IF($A1311="","",INDEX(Project_Tracker!$I$2:$I$101,INT((ROW()-6)/17)+1))</f>
        <v/>
      </c>
      <c r="Q1311" s="20" t="str">
        <f>IF($A1311="","",INDEX(Project_Tracker!$K$2:$K$101,INT((ROW()-6)/17)+1))</f>
        <v/>
      </c>
    </row>
    <row r="1312" spans="1:17" x14ac:dyDescent="0.2">
      <c r="A1312" s="20" t="str">
        <f>IF(INDEX(Project_Tracker!$AL$2:$AL$101,INT((ROW()-6)/17)+1)="","",INDEX(Project_Tracker!$AL$2:$AL$101,INT((ROW()-6)/17)+1))</f>
        <v/>
      </c>
      <c r="B1312" s="21" t="str">
        <f>IF($A1312="","",INDEX(Project_Tracker!$AM$2:$AM$101,INT((ROW()-6)/17)+1))</f>
        <v/>
      </c>
      <c r="C1312" s="20" t="str">
        <f>IF($A1312="","",INDEX(Project_Tracker!$C$2:$C$101,INT((ROW()-6)/17)+1))</f>
        <v/>
      </c>
      <c r="D1312" s="6" t="str">
        <f>IF($A1312="","",INDEX(Project_Tracker!$T$2:$T$101,INT((ROW()-6)/17)+1))</f>
        <v/>
      </c>
      <c r="E1312" s="18">
        <f t="shared" si="100"/>
        <v>15</v>
      </c>
      <c r="F1312" s="23" t="str">
        <f>IF($A1312="","",INDEX('Logic &amp; Lists'!$I$4:$I$20,$E1312))</f>
        <v/>
      </c>
      <c r="G1312" s="18" t="str">
        <f>IF($A1312="","",INDEX('Logic &amp; Lists'!$J$4:$J$20,$E1312))</f>
        <v/>
      </c>
      <c r="H1312" s="6" t="str">
        <f t="shared" si="101"/>
        <v/>
      </c>
      <c r="I1312" s="18" t="str">
        <f t="shared" ca="1" si="102"/>
        <v/>
      </c>
      <c r="J1312" s="5" t="str">
        <f t="shared" si="103"/>
        <v/>
      </c>
      <c r="K1312" s="25"/>
      <c r="L1312" s="5" t="str">
        <f t="shared" si="104"/>
        <v/>
      </c>
      <c r="M1312" s="7"/>
      <c r="N1312" s="7"/>
      <c r="O1312" s="7"/>
      <c r="P1312" s="20" t="str">
        <f>IF($A1312="","",INDEX(Project_Tracker!$I$2:$I$101,INT((ROW()-6)/17)+1))</f>
        <v/>
      </c>
      <c r="Q1312" s="20" t="str">
        <f>IF($A1312="","",INDEX(Project_Tracker!$K$2:$K$101,INT((ROW()-6)/17)+1))</f>
        <v/>
      </c>
    </row>
    <row r="1313" spans="1:17" x14ac:dyDescent="0.2">
      <c r="A1313" s="20" t="str">
        <f>IF(INDEX(Project_Tracker!$AL$2:$AL$101,INT((ROW()-6)/17)+1)="","",INDEX(Project_Tracker!$AL$2:$AL$101,INT((ROW()-6)/17)+1))</f>
        <v/>
      </c>
      <c r="B1313" s="21" t="str">
        <f>IF($A1313="","",INDEX(Project_Tracker!$AM$2:$AM$101,INT((ROW()-6)/17)+1))</f>
        <v/>
      </c>
      <c r="C1313" s="20" t="str">
        <f>IF($A1313="","",INDEX(Project_Tracker!$C$2:$C$101,INT((ROW()-6)/17)+1))</f>
        <v/>
      </c>
      <c r="D1313" s="6" t="str">
        <f>IF($A1313="","",INDEX(Project_Tracker!$T$2:$T$101,INT((ROW()-6)/17)+1))</f>
        <v/>
      </c>
      <c r="E1313" s="18">
        <f t="shared" si="100"/>
        <v>16</v>
      </c>
      <c r="F1313" s="23" t="str">
        <f>IF($A1313="","",INDEX('Logic &amp; Lists'!$I$4:$I$20,$E1313))</f>
        <v/>
      </c>
      <c r="G1313" s="18" t="str">
        <f>IF($A1313="","",INDEX('Logic &amp; Lists'!$J$4:$J$20,$E1313))</f>
        <v/>
      </c>
      <c r="H1313" s="6" t="str">
        <f t="shared" si="101"/>
        <v/>
      </c>
      <c r="I1313" s="18" t="str">
        <f t="shared" ca="1" si="102"/>
        <v/>
      </c>
      <c r="J1313" s="5" t="str">
        <f t="shared" si="103"/>
        <v/>
      </c>
      <c r="K1313" s="25"/>
      <c r="L1313" s="5" t="str">
        <f t="shared" si="104"/>
        <v/>
      </c>
      <c r="M1313" s="7"/>
      <c r="N1313" s="7"/>
      <c r="O1313" s="7"/>
      <c r="P1313" s="20" t="str">
        <f>IF($A1313="","",INDEX(Project_Tracker!$I$2:$I$101,INT((ROW()-6)/17)+1))</f>
        <v/>
      </c>
      <c r="Q1313" s="20" t="str">
        <f>IF($A1313="","",INDEX(Project_Tracker!$K$2:$K$101,INT((ROW()-6)/17)+1))</f>
        <v/>
      </c>
    </row>
    <row r="1314" spans="1:17" x14ac:dyDescent="0.2">
      <c r="A1314" s="20" t="str">
        <f>IF(INDEX(Project_Tracker!$AL$2:$AL$101,INT((ROW()-6)/17)+1)="","",INDEX(Project_Tracker!$AL$2:$AL$101,INT((ROW()-6)/17)+1))</f>
        <v/>
      </c>
      <c r="B1314" s="21" t="str">
        <f>IF($A1314="","",INDEX(Project_Tracker!$AM$2:$AM$101,INT((ROW()-6)/17)+1))</f>
        <v/>
      </c>
      <c r="C1314" s="20" t="str">
        <f>IF($A1314="","",INDEX(Project_Tracker!$C$2:$C$101,INT((ROW()-6)/17)+1))</f>
        <v/>
      </c>
      <c r="D1314" s="6" t="str">
        <f>IF($A1314="","",INDEX(Project_Tracker!$T$2:$T$101,INT((ROW()-6)/17)+1))</f>
        <v/>
      </c>
      <c r="E1314" s="18">
        <f t="shared" si="100"/>
        <v>17</v>
      </c>
      <c r="F1314" s="23" t="str">
        <f>IF($A1314="","",INDEX('Logic &amp; Lists'!$I$4:$I$20,$E1314))</f>
        <v/>
      </c>
      <c r="G1314" s="18" t="str">
        <f>IF($A1314="","",INDEX('Logic &amp; Lists'!$J$4:$J$20,$E1314))</f>
        <v/>
      </c>
      <c r="H1314" s="6" t="str">
        <f t="shared" si="101"/>
        <v/>
      </c>
      <c r="I1314" s="18" t="str">
        <f t="shared" ca="1" si="102"/>
        <v/>
      </c>
      <c r="J1314" s="5" t="str">
        <f t="shared" si="103"/>
        <v/>
      </c>
      <c r="K1314" s="25"/>
      <c r="L1314" s="5" t="str">
        <f t="shared" si="104"/>
        <v/>
      </c>
      <c r="M1314" s="7"/>
      <c r="N1314" s="7"/>
      <c r="O1314" s="7"/>
      <c r="P1314" s="20" t="str">
        <f>IF($A1314="","",INDEX(Project_Tracker!$I$2:$I$101,INT((ROW()-6)/17)+1))</f>
        <v/>
      </c>
      <c r="Q1314" s="20" t="str">
        <f>IF($A1314="","",INDEX(Project_Tracker!$K$2:$K$101,INT((ROW()-6)/17)+1))</f>
        <v/>
      </c>
    </row>
    <row r="1315" spans="1:17" x14ac:dyDescent="0.2">
      <c r="A1315" s="20" t="str">
        <f>IF(INDEX(Project_Tracker!$AL$2:$AL$101,INT((ROW()-6)/17)+1)="","",INDEX(Project_Tracker!$AL$2:$AL$101,INT((ROW()-6)/17)+1))</f>
        <v/>
      </c>
      <c r="B1315" s="21" t="str">
        <f>IF($A1315="","",INDEX(Project_Tracker!$AM$2:$AM$101,INT((ROW()-6)/17)+1))</f>
        <v/>
      </c>
      <c r="C1315" s="20" t="str">
        <f>IF($A1315="","",INDEX(Project_Tracker!$C$2:$C$101,INT((ROW()-6)/17)+1))</f>
        <v/>
      </c>
      <c r="D1315" s="6" t="str">
        <f>IF($A1315="","",INDEX(Project_Tracker!$T$2:$T$101,INT((ROW()-6)/17)+1))</f>
        <v/>
      </c>
      <c r="E1315" s="18">
        <f t="shared" si="100"/>
        <v>1</v>
      </c>
      <c r="F1315" s="23" t="str">
        <f>IF($A1315="","",INDEX('Logic &amp; Lists'!$I$4:$I$20,$E1315))</f>
        <v/>
      </c>
      <c r="G1315" s="18" t="str">
        <f>IF($A1315="","",INDEX('Logic &amp; Lists'!$J$4:$J$20,$E1315))</f>
        <v/>
      </c>
      <c r="H1315" s="6" t="str">
        <f t="shared" si="101"/>
        <v/>
      </c>
      <c r="I1315" s="18" t="str">
        <f t="shared" ca="1" si="102"/>
        <v/>
      </c>
      <c r="J1315" s="5" t="str">
        <f t="shared" si="103"/>
        <v/>
      </c>
      <c r="K1315" s="25"/>
      <c r="L1315" s="5" t="str">
        <f t="shared" si="104"/>
        <v/>
      </c>
      <c r="M1315" s="7"/>
      <c r="N1315" s="7"/>
      <c r="O1315" s="7"/>
      <c r="P1315" s="20" t="str">
        <f>IF($A1315="","",INDEX(Project_Tracker!$I$2:$I$101,INT((ROW()-6)/17)+1))</f>
        <v/>
      </c>
      <c r="Q1315" s="20" t="str">
        <f>IF($A1315="","",INDEX(Project_Tracker!$K$2:$K$101,INT((ROW()-6)/17)+1))</f>
        <v/>
      </c>
    </row>
    <row r="1316" spans="1:17" x14ac:dyDescent="0.2">
      <c r="A1316" s="20" t="str">
        <f>IF(INDEX(Project_Tracker!$AL$2:$AL$101,INT((ROW()-6)/17)+1)="","",INDEX(Project_Tracker!$AL$2:$AL$101,INT((ROW()-6)/17)+1))</f>
        <v/>
      </c>
      <c r="B1316" s="21" t="str">
        <f>IF($A1316="","",INDEX(Project_Tracker!$AM$2:$AM$101,INT((ROW()-6)/17)+1))</f>
        <v/>
      </c>
      <c r="C1316" s="20" t="str">
        <f>IF($A1316="","",INDEX(Project_Tracker!$C$2:$C$101,INT((ROW()-6)/17)+1))</f>
        <v/>
      </c>
      <c r="D1316" s="6" t="str">
        <f>IF($A1316="","",INDEX(Project_Tracker!$T$2:$T$101,INT((ROW()-6)/17)+1))</f>
        <v/>
      </c>
      <c r="E1316" s="18">
        <f t="shared" si="100"/>
        <v>2</v>
      </c>
      <c r="F1316" s="23" t="str">
        <f>IF($A1316="","",INDEX('Logic &amp; Lists'!$I$4:$I$20,$E1316))</f>
        <v/>
      </c>
      <c r="G1316" s="18" t="str">
        <f>IF($A1316="","",INDEX('Logic &amp; Lists'!$J$4:$J$20,$E1316))</f>
        <v/>
      </c>
      <c r="H1316" s="6" t="str">
        <f t="shared" si="101"/>
        <v/>
      </c>
      <c r="I1316" s="18" t="str">
        <f t="shared" ca="1" si="102"/>
        <v/>
      </c>
      <c r="J1316" s="5" t="str">
        <f t="shared" si="103"/>
        <v/>
      </c>
      <c r="K1316" s="25"/>
      <c r="L1316" s="5" t="str">
        <f t="shared" si="104"/>
        <v/>
      </c>
      <c r="M1316" s="7"/>
      <c r="N1316" s="7"/>
      <c r="O1316" s="7"/>
      <c r="P1316" s="20" t="str">
        <f>IF($A1316="","",INDEX(Project_Tracker!$I$2:$I$101,INT((ROW()-6)/17)+1))</f>
        <v/>
      </c>
      <c r="Q1316" s="20" t="str">
        <f>IF($A1316="","",INDEX(Project_Tracker!$K$2:$K$101,INT((ROW()-6)/17)+1))</f>
        <v/>
      </c>
    </row>
    <row r="1317" spans="1:17" x14ac:dyDescent="0.2">
      <c r="A1317" s="20" t="str">
        <f>IF(INDEX(Project_Tracker!$AL$2:$AL$101,INT((ROW()-6)/17)+1)="","",INDEX(Project_Tracker!$AL$2:$AL$101,INT((ROW()-6)/17)+1))</f>
        <v/>
      </c>
      <c r="B1317" s="21" t="str">
        <f>IF($A1317="","",INDEX(Project_Tracker!$AM$2:$AM$101,INT((ROW()-6)/17)+1))</f>
        <v/>
      </c>
      <c r="C1317" s="20" t="str">
        <f>IF($A1317="","",INDEX(Project_Tracker!$C$2:$C$101,INT((ROW()-6)/17)+1))</f>
        <v/>
      </c>
      <c r="D1317" s="6" t="str">
        <f>IF($A1317="","",INDEX(Project_Tracker!$T$2:$T$101,INT((ROW()-6)/17)+1))</f>
        <v/>
      </c>
      <c r="E1317" s="18">
        <f t="shared" si="100"/>
        <v>3</v>
      </c>
      <c r="F1317" s="23" t="str">
        <f>IF($A1317="","",INDEX('Logic &amp; Lists'!$I$4:$I$20,$E1317))</f>
        <v/>
      </c>
      <c r="G1317" s="18" t="str">
        <f>IF($A1317="","",INDEX('Logic &amp; Lists'!$J$4:$J$20,$E1317))</f>
        <v/>
      </c>
      <c r="H1317" s="6" t="str">
        <f t="shared" si="101"/>
        <v/>
      </c>
      <c r="I1317" s="18" t="str">
        <f t="shared" ca="1" si="102"/>
        <v/>
      </c>
      <c r="J1317" s="5" t="str">
        <f t="shared" si="103"/>
        <v/>
      </c>
      <c r="K1317" s="25"/>
      <c r="L1317" s="5" t="str">
        <f t="shared" si="104"/>
        <v/>
      </c>
      <c r="M1317" s="7"/>
      <c r="N1317" s="7"/>
      <c r="O1317" s="7"/>
      <c r="P1317" s="20" t="str">
        <f>IF($A1317="","",INDEX(Project_Tracker!$I$2:$I$101,INT((ROW()-6)/17)+1))</f>
        <v/>
      </c>
      <c r="Q1317" s="20" t="str">
        <f>IF($A1317="","",INDEX(Project_Tracker!$K$2:$K$101,INT((ROW()-6)/17)+1))</f>
        <v/>
      </c>
    </row>
    <row r="1318" spans="1:17" x14ac:dyDescent="0.2">
      <c r="A1318" s="20" t="str">
        <f>IF(INDEX(Project_Tracker!$AL$2:$AL$101,INT((ROW()-6)/17)+1)="","",INDEX(Project_Tracker!$AL$2:$AL$101,INT((ROW()-6)/17)+1))</f>
        <v/>
      </c>
      <c r="B1318" s="21" t="str">
        <f>IF($A1318="","",INDEX(Project_Tracker!$AM$2:$AM$101,INT((ROW()-6)/17)+1))</f>
        <v/>
      </c>
      <c r="C1318" s="20" t="str">
        <f>IF($A1318="","",INDEX(Project_Tracker!$C$2:$C$101,INT((ROW()-6)/17)+1))</f>
        <v/>
      </c>
      <c r="D1318" s="6" t="str">
        <f>IF($A1318="","",INDEX(Project_Tracker!$T$2:$T$101,INT((ROW()-6)/17)+1))</f>
        <v/>
      </c>
      <c r="E1318" s="18">
        <f t="shared" si="100"/>
        <v>4</v>
      </c>
      <c r="F1318" s="23" t="str">
        <f>IF($A1318="","",INDEX('Logic &amp; Lists'!$I$4:$I$20,$E1318))</f>
        <v/>
      </c>
      <c r="G1318" s="18" t="str">
        <f>IF($A1318="","",INDEX('Logic &amp; Lists'!$J$4:$J$20,$E1318))</f>
        <v/>
      </c>
      <c r="H1318" s="6" t="str">
        <f t="shared" si="101"/>
        <v/>
      </c>
      <c r="I1318" s="18" t="str">
        <f t="shared" ca="1" si="102"/>
        <v/>
      </c>
      <c r="J1318" s="5" t="str">
        <f t="shared" si="103"/>
        <v/>
      </c>
      <c r="K1318" s="25"/>
      <c r="L1318" s="5" t="str">
        <f t="shared" si="104"/>
        <v/>
      </c>
      <c r="M1318" s="7"/>
      <c r="N1318" s="7"/>
      <c r="O1318" s="7"/>
      <c r="P1318" s="20" t="str">
        <f>IF($A1318="","",INDEX(Project_Tracker!$I$2:$I$101,INT((ROW()-6)/17)+1))</f>
        <v/>
      </c>
      <c r="Q1318" s="20" t="str">
        <f>IF($A1318="","",INDEX(Project_Tracker!$K$2:$K$101,INT((ROW()-6)/17)+1))</f>
        <v/>
      </c>
    </row>
    <row r="1319" spans="1:17" x14ac:dyDescent="0.2">
      <c r="A1319" s="20" t="str">
        <f>IF(INDEX(Project_Tracker!$AL$2:$AL$101,INT((ROW()-6)/17)+1)="","",INDEX(Project_Tracker!$AL$2:$AL$101,INT((ROW()-6)/17)+1))</f>
        <v/>
      </c>
      <c r="B1319" s="21" t="str">
        <f>IF($A1319="","",INDEX(Project_Tracker!$AM$2:$AM$101,INT((ROW()-6)/17)+1))</f>
        <v/>
      </c>
      <c r="C1319" s="20" t="str">
        <f>IF($A1319="","",INDEX(Project_Tracker!$C$2:$C$101,INT((ROW()-6)/17)+1))</f>
        <v/>
      </c>
      <c r="D1319" s="6" t="str">
        <f>IF($A1319="","",INDEX(Project_Tracker!$T$2:$T$101,INT((ROW()-6)/17)+1))</f>
        <v/>
      </c>
      <c r="E1319" s="18">
        <f t="shared" si="100"/>
        <v>5</v>
      </c>
      <c r="F1319" s="23" t="str">
        <f>IF($A1319="","",INDEX('Logic &amp; Lists'!$I$4:$I$20,$E1319))</f>
        <v/>
      </c>
      <c r="G1319" s="18" t="str">
        <f>IF($A1319="","",INDEX('Logic &amp; Lists'!$J$4:$J$20,$E1319))</f>
        <v/>
      </c>
      <c r="H1319" s="6" t="str">
        <f t="shared" si="101"/>
        <v/>
      </c>
      <c r="I1319" s="18" t="str">
        <f t="shared" ca="1" si="102"/>
        <v/>
      </c>
      <c r="J1319" s="5" t="str">
        <f t="shared" si="103"/>
        <v/>
      </c>
      <c r="K1319" s="25"/>
      <c r="L1319" s="5" t="str">
        <f t="shared" si="104"/>
        <v/>
      </c>
      <c r="M1319" s="7"/>
      <c r="N1319" s="7"/>
      <c r="O1319" s="7"/>
      <c r="P1319" s="20" t="str">
        <f>IF($A1319="","",INDEX(Project_Tracker!$I$2:$I$101,INT((ROW()-6)/17)+1))</f>
        <v/>
      </c>
      <c r="Q1319" s="20" t="str">
        <f>IF($A1319="","",INDEX(Project_Tracker!$K$2:$K$101,INT((ROW()-6)/17)+1))</f>
        <v/>
      </c>
    </row>
    <row r="1320" spans="1:17" x14ac:dyDescent="0.2">
      <c r="A1320" s="20" t="str">
        <f>IF(INDEX(Project_Tracker!$AL$2:$AL$101,INT((ROW()-6)/17)+1)="","",INDEX(Project_Tracker!$AL$2:$AL$101,INT((ROW()-6)/17)+1))</f>
        <v/>
      </c>
      <c r="B1320" s="21" t="str">
        <f>IF($A1320="","",INDEX(Project_Tracker!$AM$2:$AM$101,INT((ROW()-6)/17)+1))</f>
        <v/>
      </c>
      <c r="C1320" s="20" t="str">
        <f>IF($A1320="","",INDEX(Project_Tracker!$C$2:$C$101,INT((ROW()-6)/17)+1))</f>
        <v/>
      </c>
      <c r="D1320" s="6" t="str">
        <f>IF($A1320="","",INDEX(Project_Tracker!$T$2:$T$101,INT((ROW()-6)/17)+1))</f>
        <v/>
      </c>
      <c r="E1320" s="18">
        <f t="shared" si="100"/>
        <v>6</v>
      </c>
      <c r="F1320" s="23" t="str">
        <f>IF($A1320="","",INDEX('Logic &amp; Lists'!$I$4:$I$20,$E1320))</f>
        <v/>
      </c>
      <c r="G1320" s="18" t="str">
        <f>IF($A1320="","",INDEX('Logic &amp; Lists'!$J$4:$J$20,$E1320))</f>
        <v/>
      </c>
      <c r="H1320" s="6" t="str">
        <f t="shared" si="101"/>
        <v/>
      </c>
      <c r="I1320" s="18" t="str">
        <f t="shared" ca="1" si="102"/>
        <v/>
      </c>
      <c r="J1320" s="5" t="str">
        <f t="shared" si="103"/>
        <v/>
      </c>
      <c r="K1320" s="25"/>
      <c r="L1320" s="5" t="str">
        <f t="shared" si="104"/>
        <v/>
      </c>
      <c r="M1320" s="7"/>
      <c r="N1320" s="7"/>
      <c r="O1320" s="7"/>
      <c r="P1320" s="20" t="str">
        <f>IF($A1320="","",INDEX(Project_Tracker!$I$2:$I$101,INT((ROW()-6)/17)+1))</f>
        <v/>
      </c>
      <c r="Q1320" s="20" t="str">
        <f>IF($A1320="","",INDEX(Project_Tracker!$K$2:$K$101,INT((ROW()-6)/17)+1))</f>
        <v/>
      </c>
    </row>
    <row r="1321" spans="1:17" x14ac:dyDescent="0.2">
      <c r="A1321" s="20" t="str">
        <f>IF(INDEX(Project_Tracker!$AL$2:$AL$101,INT((ROW()-6)/17)+1)="","",INDEX(Project_Tracker!$AL$2:$AL$101,INT((ROW()-6)/17)+1))</f>
        <v/>
      </c>
      <c r="B1321" s="21" t="str">
        <f>IF($A1321="","",INDEX(Project_Tracker!$AM$2:$AM$101,INT((ROW()-6)/17)+1))</f>
        <v/>
      </c>
      <c r="C1321" s="20" t="str">
        <f>IF($A1321="","",INDEX(Project_Tracker!$C$2:$C$101,INT((ROW()-6)/17)+1))</f>
        <v/>
      </c>
      <c r="D1321" s="6" t="str">
        <f>IF($A1321="","",INDEX(Project_Tracker!$T$2:$T$101,INT((ROW()-6)/17)+1))</f>
        <v/>
      </c>
      <c r="E1321" s="18">
        <f t="shared" si="100"/>
        <v>7</v>
      </c>
      <c r="F1321" s="23" t="str">
        <f>IF($A1321="","",INDEX('Logic &amp; Lists'!$I$4:$I$20,$E1321))</f>
        <v/>
      </c>
      <c r="G1321" s="18" t="str">
        <f>IF($A1321="","",INDEX('Logic &amp; Lists'!$J$4:$J$20,$E1321))</f>
        <v/>
      </c>
      <c r="H1321" s="6" t="str">
        <f t="shared" si="101"/>
        <v/>
      </c>
      <c r="I1321" s="18" t="str">
        <f t="shared" ca="1" si="102"/>
        <v/>
      </c>
      <c r="J1321" s="5" t="str">
        <f t="shared" si="103"/>
        <v/>
      </c>
      <c r="K1321" s="25"/>
      <c r="L1321" s="5" t="str">
        <f t="shared" si="104"/>
        <v/>
      </c>
      <c r="M1321" s="7"/>
      <c r="N1321" s="7"/>
      <c r="O1321" s="7"/>
      <c r="P1321" s="20" t="str">
        <f>IF($A1321="","",INDEX(Project_Tracker!$I$2:$I$101,INT((ROW()-6)/17)+1))</f>
        <v/>
      </c>
      <c r="Q1321" s="20" t="str">
        <f>IF($A1321="","",INDEX(Project_Tracker!$K$2:$K$101,INT((ROW()-6)/17)+1))</f>
        <v/>
      </c>
    </row>
    <row r="1322" spans="1:17" x14ac:dyDescent="0.2">
      <c r="A1322" s="20" t="str">
        <f>IF(INDEX(Project_Tracker!$AL$2:$AL$101,INT((ROW()-6)/17)+1)="","",INDEX(Project_Tracker!$AL$2:$AL$101,INT((ROW()-6)/17)+1))</f>
        <v/>
      </c>
      <c r="B1322" s="21" t="str">
        <f>IF($A1322="","",INDEX(Project_Tracker!$AM$2:$AM$101,INT((ROW()-6)/17)+1))</f>
        <v/>
      </c>
      <c r="C1322" s="20" t="str">
        <f>IF($A1322="","",INDEX(Project_Tracker!$C$2:$C$101,INT((ROW()-6)/17)+1))</f>
        <v/>
      </c>
      <c r="D1322" s="6" t="str">
        <f>IF($A1322="","",INDEX(Project_Tracker!$T$2:$T$101,INT((ROW()-6)/17)+1))</f>
        <v/>
      </c>
      <c r="E1322" s="18">
        <f t="shared" si="100"/>
        <v>8</v>
      </c>
      <c r="F1322" s="23" t="str">
        <f>IF($A1322="","",INDEX('Logic &amp; Lists'!$I$4:$I$20,$E1322))</f>
        <v/>
      </c>
      <c r="G1322" s="18" t="str">
        <f>IF($A1322="","",INDEX('Logic &amp; Lists'!$J$4:$J$20,$E1322))</f>
        <v/>
      </c>
      <c r="H1322" s="6" t="str">
        <f t="shared" si="101"/>
        <v/>
      </c>
      <c r="I1322" s="18" t="str">
        <f t="shared" ca="1" si="102"/>
        <v/>
      </c>
      <c r="J1322" s="5" t="str">
        <f t="shared" si="103"/>
        <v/>
      </c>
      <c r="K1322" s="25"/>
      <c r="L1322" s="5" t="str">
        <f t="shared" si="104"/>
        <v/>
      </c>
      <c r="M1322" s="7"/>
      <c r="N1322" s="7"/>
      <c r="O1322" s="7"/>
      <c r="P1322" s="20" t="str">
        <f>IF($A1322="","",INDEX(Project_Tracker!$I$2:$I$101,INT((ROW()-6)/17)+1))</f>
        <v/>
      </c>
      <c r="Q1322" s="20" t="str">
        <f>IF($A1322="","",INDEX(Project_Tracker!$K$2:$K$101,INT((ROW()-6)/17)+1))</f>
        <v/>
      </c>
    </row>
    <row r="1323" spans="1:17" x14ac:dyDescent="0.2">
      <c r="A1323" s="20" t="str">
        <f>IF(INDEX(Project_Tracker!$AL$2:$AL$101,INT((ROW()-6)/17)+1)="","",INDEX(Project_Tracker!$AL$2:$AL$101,INT((ROW()-6)/17)+1))</f>
        <v/>
      </c>
      <c r="B1323" s="21" t="str">
        <f>IF($A1323="","",INDEX(Project_Tracker!$AM$2:$AM$101,INT((ROW()-6)/17)+1))</f>
        <v/>
      </c>
      <c r="C1323" s="20" t="str">
        <f>IF($A1323="","",INDEX(Project_Tracker!$C$2:$C$101,INT((ROW()-6)/17)+1))</f>
        <v/>
      </c>
      <c r="D1323" s="6" t="str">
        <f>IF($A1323="","",INDEX(Project_Tracker!$T$2:$T$101,INT((ROW()-6)/17)+1))</f>
        <v/>
      </c>
      <c r="E1323" s="18">
        <f t="shared" si="100"/>
        <v>9</v>
      </c>
      <c r="F1323" s="23" t="str">
        <f>IF($A1323="","",INDEX('Logic &amp; Lists'!$I$4:$I$20,$E1323))</f>
        <v/>
      </c>
      <c r="G1323" s="18" t="str">
        <f>IF($A1323="","",INDEX('Logic &amp; Lists'!$J$4:$J$20,$E1323))</f>
        <v/>
      </c>
      <c r="H1323" s="6" t="str">
        <f t="shared" si="101"/>
        <v/>
      </c>
      <c r="I1323" s="18" t="str">
        <f t="shared" ca="1" si="102"/>
        <v/>
      </c>
      <c r="J1323" s="5" t="str">
        <f t="shared" si="103"/>
        <v/>
      </c>
      <c r="K1323" s="25"/>
      <c r="L1323" s="5" t="str">
        <f t="shared" si="104"/>
        <v/>
      </c>
      <c r="M1323" s="7"/>
      <c r="N1323" s="7"/>
      <c r="O1323" s="7"/>
      <c r="P1323" s="20" t="str">
        <f>IF($A1323="","",INDEX(Project_Tracker!$I$2:$I$101,INT((ROW()-6)/17)+1))</f>
        <v/>
      </c>
      <c r="Q1323" s="20" t="str">
        <f>IF($A1323="","",INDEX(Project_Tracker!$K$2:$K$101,INT((ROW()-6)/17)+1))</f>
        <v/>
      </c>
    </row>
    <row r="1324" spans="1:17" x14ac:dyDescent="0.2">
      <c r="A1324" s="20" t="str">
        <f>IF(INDEX(Project_Tracker!$AL$2:$AL$101,INT((ROW()-6)/17)+1)="","",INDEX(Project_Tracker!$AL$2:$AL$101,INT((ROW()-6)/17)+1))</f>
        <v/>
      </c>
      <c r="B1324" s="21" t="str">
        <f>IF($A1324="","",INDEX(Project_Tracker!$AM$2:$AM$101,INT((ROW()-6)/17)+1))</f>
        <v/>
      </c>
      <c r="C1324" s="20" t="str">
        <f>IF($A1324="","",INDEX(Project_Tracker!$C$2:$C$101,INT((ROW()-6)/17)+1))</f>
        <v/>
      </c>
      <c r="D1324" s="6" t="str">
        <f>IF($A1324="","",INDEX(Project_Tracker!$T$2:$T$101,INT((ROW()-6)/17)+1))</f>
        <v/>
      </c>
      <c r="E1324" s="18">
        <f t="shared" si="100"/>
        <v>10</v>
      </c>
      <c r="F1324" s="23" t="str">
        <f>IF($A1324="","",INDEX('Logic &amp; Lists'!$I$4:$I$20,$E1324))</f>
        <v/>
      </c>
      <c r="G1324" s="18" t="str">
        <f>IF($A1324="","",INDEX('Logic &amp; Lists'!$J$4:$J$20,$E1324))</f>
        <v/>
      </c>
      <c r="H1324" s="6" t="str">
        <f t="shared" si="101"/>
        <v/>
      </c>
      <c r="I1324" s="18" t="str">
        <f t="shared" ca="1" si="102"/>
        <v/>
      </c>
      <c r="J1324" s="5" t="str">
        <f t="shared" si="103"/>
        <v/>
      </c>
      <c r="K1324" s="25"/>
      <c r="L1324" s="5" t="str">
        <f t="shared" si="104"/>
        <v/>
      </c>
      <c r="M1324" s="7"/>
      <c r="N1324" s="7"/>
      <c r="O1324" s="7"/>
      <c r="P1324" s="20" t="str">
        <f>IF($A1324="","",INDEX(Project_Tracker!$I$2:$I$101,INT((ROW()-6)/17)+1))</f>
        <v/>
      </c>
      <c r="Q1324" s="20" t="str">
        <f>IF($A1324="","",INDEX(Project_Tracker!$K$2:$K$101,INT((ROW()-6)/17)+1))</f>
        <v/>
      </c>
    </row>
    <row r="1325" spans="1:17" x14ac:dyDescent="0.2">
      <c r="A1325" s="20" t="str">
        <f>IF(INDEX(Project_Tracker!$AL$2:$AL$101,INT((ROW()-6)/17)+1)="","",INDEX(Project_Tracker!$AL$2:$AL$101,INT((ROW()-6)/17)+1))</f>
        <v/>
      </c>
      <c r="B1325" s="21" t="str">
        <f>IF($A1325="","",INDEX(Project_Tracker!$AM$2:$AM$101,INT((ROW()-6)/17)+1))</f>
        <v/>
      </c>
      <c r="C1325" s="20" t="str">
        <f>IF($A1325="","",INDEX(Project_Tracker!$C$2:$C$101,INT((ROW()-6)/17)+1))</f>
        <v/>
      </c>
      <c r="D1325" s="6" t="str">
        <f>IF($A1325="","",INDEX(Project_Tracker!$T$2:$T$101,INT((ROW()-6)/17)+1))</f>
        <v/>
      </c>
      <c r="E1325" s="18">
        <f t="shared" si="100"/>
        <v>11</v>
      </c>
      <c r="F1325" s="23" t="str">
        <f>IF($A1325="","",INDEX('Logic &amp; Lists'!$I$4:$I$20,$E1325))</f>
        <v/>
      </c>
      <c r="G1325" s="18" t="str">
        <f>IF($A1325="","",INDEX('Logic &amp; Lists'!$J$4:$J$20,$E1325))</f>
        <v/>
      </c>
      <c r="H1325" s="6" t="str">
        <f t="shared" si="101"/>
        <v/>
      </c>
      <c r="I1325" s="18" t="str">
        <f t="shared" ca="1" si="102"/>
        <v/>
      </c>
      <c r="J1325" s="5" t="str">
        <f t="shared" si="103"/>
        <v/>
      </c>
      <c r="K1325" s="25"/>
      <c r="L1325" s="5" t="str">
        <f t="shared" si="104"/>
        <v/>
      </c>
      <c r="M1325" s="7"/>
      <c r="N1325" s="7"/>
      <c r="O1325" s="7"/>
      <c r="P1325" s="20" t="str">
        <f>IF($A1325="","",INDEX(Project_Tracker!$I$2:$I$101,INT((ROW()-6)/17)+1))</f>
        <v/>
      </c>
      <c r="Q1325" s="20" t="str">
        <f>IF($A1325="","",INDEX(Project_Tracker!$K$2:$K$101,INT((ROW()-6)/17)+1))</f>
        <v/>
      </c>
    </row>
    <row r="1326" spans="1:17" x14ac:dyDescent="0.2">
      <c r="A1326" s="20" t="str">
        <f>IF(INDEX(Project_Tracker!$AL$2:$AL$101,INT((ROW()-6)/17)+1)="","",INDEX(Project_Tracker!$AL$2:$AL$101,INT((ROW()-6)/17)+1))</f>
        <v/>
      </c>
      <c r="B1326" s="21" t="str">
        <f>IF($A1326="","",INDEX(Project_Tracker!$AM$2:$AM$101,INT((ROW()-6)/17)+1))</f>
        <v/>
      </c>
      <c r="C1326" s="20" t="str">
        <f>IF($A1326="","",INDEX(Project_Tracker!$C$2:$C$101,INT((ROW()-6)/17)+1))</f>
        <v/>
      </c>
      <c r="D1326" s="6" t="str">
        <f>IF($A1326="","",INDEX(Project_Tracker!$T$2:$T$101,INT((ROW()-6)/17)+1))</f>
        <v/>
      </c>
      <c r="E1326" s="18">
        <f t="shared" si="100"/>
        <v>12</v>
      </c>
      <c r="F1326" s="23" t="str">
        <f>IF($A1326="","",INDEX('Logic &amp; Lists'!$I$4:$I$20,$E1326))</f>
        <v/>
      </c>
      <c r="G1326" s="18" t="str">
        <f>IF($A1326="","",INDEX('Logic &amp; Lists'!$J$4:$J$20,$E1326))</f>
        <v/>
      </c>
      <c r="H1326" s="6" t="str">
        <f t="shared" si="101"/>
        <v/>
      </c>
      <c r="I1326" s="18" t="str">
        <f t="shared" ca="1" si="102"/>
        <v/>
      </c>
      <c r="J1326" s="5" t="str">
        <f t="shared" si="103"/>
        <v/>
      </c>
      <c r="K1326" s="25"/>
      <c r="L1326" s="5" t="str">
        <f t="shared" si="104"/>
        <v/>
      </c>
      <c r="M1326" s="7"/>
      <c r="N1326" s="7"/>
      <c r="O1326" s="7"/>
      <c r="P1326" s="20" t="str">
        <f>IF($A1326="","",INDEX(Project_Tracker!$I$2:$I$101,INT((ROW()-6)/17)+1))</f>
        <v/>
      </c>
      <c r="Q1326" s="20" t="str">
        <f>IF($A1326="","",INDEX(Project_Tracker!$K$2:$K$101,INT((ROW()-6)/17)+1))</f>
        <v/>
      </c>
    </row>
    <row r="1327" spans="1:17" x14ac:dyDescent="0.2">
      <c r="A1327" s="20" t="str">
        <f>IF(INDEX(Project_Tracker!$AL$2:$AL$101,INT((ROW()-6)/17)+1)="","",INDEX(Project_Tracker!$AL$2:$AL$101,INT((ROW()-6)/17)+1))</f>
        <v/>
      </c>
      <c r="B1327" s="21" t="str">
        <f>IF($A1327="","",INDEX(Project_Tracker!$AM$2:$AM$101,INT((ROW()-6)/17)+1))</f>
        <v/>
      </c>
      <c r="C1327" s="20" t="str">
        <f>IF($A1327="","",INDEX(Project_Tracker!$C$2:$C$101,INT((ROW()-6)/17)+1))</f>
        <v/>
      </c>
      <c r="D1327" s="6" t="str">
        <f>IF($A1327="","",INDEX(Project_Tracker!$T$2:$T$101,INT((ROW()-6)/17)+1))</f>
        <v/>
      </c>
      <c r="E1327" s="18">
        <f t="shared" si="100"/>
        <v>13</v>
      </c>
      <c r="F1327" s="23" t="str">
        <f>IF($A1327="","",INDEX('Logic &amp; Lists'!$I$4:$I$20,$E1327))</f>
        <v/>
      </c>
      <c r="G1327" s="18" t="str">
        <f>IF($A1327="","",INDEX('Logic &amp; Lists'!$J$4:$J$20,$E1327))</f>
        <v/>
      </c>
      <c r="H1327" s="6" t="str">
        <f t="shared" si="101"/>
        <v/>
      </c>
      <c r="I1327" s="18" t="str">
        <f t="shared" ca="1" si="102"/>
        <v/>
      </c>
      <c r="J1327" s="5" t="str">
        <f t="shared" si="103"/>
        <v/>
      </c>
      <c r="K1327" s="25"/>
      <c r="L1327" s="5" t="str">
        <f t="shared" si="104"/>
        <v/>
      </c>
      <c r="M1327" s="7"/>
      <c r="N1327" s="7"/>
      <c r="O1327" s="7"/>
      <c r="P1327" s="20" t="str">
        <f>IF($A1327="","",INDEX(Project_Tracker!$I$2:$I$101,INT((ROW()-6)/17)+1))</f>
        <v/>
      </c>
      <c r="Q1327" s="20" t="str">
        <f>IF($A1327="","",INDEX(Project_Tracker!$K$2:$K$101,INT((ROW()-6)/17)+1))</f>
        <v/>
      </c>
    </row>
    <row r="1328" spans="1:17" x14ac:dyDescent="0.2">
      <c r="A1328" s="20" t="str">
        <f>IF(INDEX(Project_Tracker!$AL$2:$AL$101,INT((ROW()-6)/17)+1)="","",INDEX(Project_Tracker!$AL$2:$AL$101,INT((ROW()-6)/17)+1))</f>
        <v/>
      </c>
      <c r="B1328" s="21" t="str">
        <f>IF($A1328="","",INDEX(Project_Tracker!$AM$2:$AM$101,INT((ROW()-6)/17)+1))</f>
        <v/>
      </c>
      <c r="C1328" s="20" t="str">
        <f>IF($A1328="","",INDEX(Project_Tracker!$C$2:$C$101,INT((ROW()-6)/17)+1))</f>
        <v/>
      </c>
      <c r="D1328" s="6" t="str">
        <f>IF($A1328="","",INDEX(Project_Tracker!$T$2:$T$101,INT((ROW()-6)/17)+1))</f>
        <v/>
      </c>
      <c r="E1328" s="18">
        <f t="shared" si="100"/>
        <v>14</v>
      </c>
      <c r="F1328" s="23" t="str">
        <f>IF($A1328="","",INDEX('Logic &amp; Lists'!$I$4:$I$20,$E1328))</f>
        <v/>
      </c>
      <c r="G1328" s="18" t="str">
        <f>IF($A1328="","",INDEX('Logic &amp; Lists'!$J$4:$J$20,$E1328))</f>
        <v/>
      </c>
      <c r="H1328" s="6" t="str">
        <f t="shared" si="101"/>
        <v/>
      </c>
      <c r="I1328" s="18" t="str">
        <f t="shared" ca="1" si="102"/>
        <v/>
      </c>
      <c r="J1328" s="5" t="str">
        <f t="shared" si="103"/>
        <v/>
      </c>
      <c r="K1328" s="25"/>
      <c r="L1328" s="5" t="str">
        <f t="shared" si="104"/>
        <v/>
      </c>
      <c r="M1328" s="7"/>
      <c r="N1328" s="7"/>
      <c r="O1328" s="7"/>
      <c r="P1328" s="20" t="str">
        <f>IF($A1328="","",INDEX(Project_Tracker!$I$2:$I$101,INT((ROW()-6)/17)+1))</f>
        <v/>
      </c>
      <c r="Q1328" s="20" t="str">
        <f>IF($A1328="","",INDEX(Project_Tracker!$K$2:$K$101,INT((ROW()-6)/17)+1))</f>
        <v/>
      </c>
    </row>
    <row r="1329" spans="1:17" x14ac:dyDescent="0.2">
      <c r="A1329" s="20" t="str">
        <f>IF(INDEX(Project_Tracker!$AL$2:$AL$101,INT((ROW()-6)/17)+1)="","",INDEX(Project_Tracker!$AL$2:$AL$101,INT((ROW()-6)/17)+1))</f>
        <v/>
      </c>
      <c r="B1329" s="21" t="str">
        <f>IF($A1329="","",INDEX(Project_Tracker!$AM$2:$AM$101,INT((ROW()-6)/17)+1))</f>
        <v/>
      </c>
      <c r="C1329" s="20" t="str">
        <f>IF($A1329="","",INDEX(Project_Tracker!$C$2:$C$101,INT((ROW()-6)/17)+1))</f>
        <v/>
      </c>
      <c r="D1329" s="6" t="str">
        <f>IF($A1329="","",INDEX(Project_Tracker!$T$2:$T$101,INT((ROW()-6)/17)+1))</f>
        <v/>
      </c>
      <c r="E1329" s="18">
        <f t="shared" si="100"/>
        <v>15</v>
      </c>
      <c r="F1329" s="23" t="str">
        <f>IF($A1329="","",INDEX('Logic &amp; Lists'!$I$4:$I$20,$E1329))</f>
        <v/>
      </c>
      <c r="G1329" s="18" t="str">
        <f>IF($A1329="","",INDEX('Logic &amp; Lists'!$J$4:$J$20,$E1329))</f>
        <v/>
      </c>
      <c r="H1329" s="6" t="str">
        <f t="shared" si="101"/>
        <v/>
      </c>
      <c r="I1329" s="18" t="str">
        <f t="shared" ca="1" si="102"/>
        <v/>
      </c>
      <c r="J1329" s="5" t="str">
        <f t="shared" si="103"/>
        <v/>
      </c>
      <c r="K1329" s="25"/>
      <c r="L1329" s="5" t="str">
        <f t="shared" si="104"/>
        <v/>
      </c>
      <c r="M1329" s="7"/>
      <c r="N1329" s="7"/>
      <c r="O1329" s="7"/>
      <c r="P1329" s="20" t="str">
        <f>IF($A1329="","",INDEX(Project_Tracker!$I$2:$I$101,INT((ROW()-6)/17)+1))</f>
        <v/>
      </c>
      <c r="Q1329" s="20" t="str">
        <f>IF($A1329="","",INDEX(Project_Tracker!$K$2:$K$101,INT((ROW()-6)/17)+1))</f>
        <v/>
      </c>
    </row>
    <row r="1330" spans="1:17" x14ac:dyDescent="0.2">
      <c r="A1330" s="20" t="str">
        <f>IF(INDEX(Project_Tracker!$AL$2:$AL$101,INT((ROW()-6)/17)+1)="","",INDEX(Project_Tracker!$AL$2:$AL$101,INT((ROW()-6)/17)+1))</f>
        <v/>
      </c>
      <c r="B1330" s="21" t="str">
        <f>IF($A1330="","",INDEX(Project_Tracker!$AM$2:$AM$101,INT((ROW()-6)/17)+1))</f>
        <v/>
      </c>
      <c r="C1330" s="20" t="str">
        <f>IF($A1330="","",INDEX(Project_Tracker!$C$2:$C$101,INT((ROW()-6)/17)+1))</f>
        <v/>
      </c>
      <c r="D1330" s="6" t="str">
        <f>IF($A1330="","",INDEX(Project_Tracker!$T$2:$T$101,INT((ROW()-6)/17)+1))</f>
        <v/>
      </c>
      <c r="E1330" s="18">
        <f t="shared" si="100"/>
        <v>16</v>
      </c>
      <c r="F1330" s="23" t="str">
        <f>IF($A1330="","",INDEX('Logic &amp; Lists'!$I$4:$I$20,$E1330))</f>
        <v/>
      </c>
      <c r="G1330" s="18" t="str">
        <f>IF($A1330="","",INDEX('Logic &amp; Lists'!$J$4:$J$20,$E1330))</f>
        <v/>
      </c>
      <c r="H1330" s="6" t="str">
        <f t="shared" si="101"/>
        <v/>
      </c>
      <c r="I1330" s="18" t="str">
        <f t="shared" ca="1" si="102"/>
        <v/>
      </c>
      <c r="J1330" s="5" t="str">
        <f t="shared" si="103"/>
        <v/>
      </c>
      <c r="K1330" s="25"/>
      <c r="L1330" s="5" t="str">
        <f t="shared" si="104"/>
        <v/>
      </c>
      <c r="M1330" s="7"/>
      <c r="N1330" s="7"/>
      <c r="O1330" s="7"/>
      <c r="P1330" s="20" t="str">
        <f>IF($A1330="","",INDEX(Project_Tracker!$I$2:$I$101,INT((ROW()-6)/17)+1))</f>
        <v/>
      </c>
      <c r="Q1330" s="20" t="str">
        <f>IF($A1330="","",INDEX(Project_Tracker!$K$2:$K$101,INT((ROW()-6)/17)+1))</f>
        <v/>
      </c>
    </row>
    <row r="1331" spans="1:17" x14ac:dyDescent="0.2">
      <c r="A1331" s="20" t="str">
        <f>IF(INDEX(Project_Tracker!$AL$2:$AL$101,INT((ROW()-6)/17)+1)="","",INDEX(Project_Tracker!$AL$2:$AL$101,INT((ROW()-6)/17)+1))</f>
        <v/>
      </c>
      <c r="B1331" s="21" t="str">
        <f>IF($A1331="","",INDEX(Project_Tracker!$AM$2:$AM$101,INT((ROW()-6)/17)+1))</f>
        <v/>
      </c>
      <c r="C1331" s="20" t="str">
        <f>IF($A1331="","",INDEX(Project_Tracker!$C$2:$C$101,INT((ROW()-6)/17)+1))</f>
        <v/>
      </c>
      <c r="D1331" s="6" t="str">
        <f>IF($A1331="","",INDEX(Project_Tracker!$T$2:$T$101,INT((ROW()-6)/17)+1))</f>
        <v/>
      </c>
      <c r="E1331" s="18">
        <f t="shared" si="100"/>
        <v>17</v>
      </c>
      <c r="F1331" s="23" t="str">
        <f>IF($A1331="","",INDEX('Logic &amp; Lists'!$I$4:$I$20,$E1331))</f>
        <v/>
      </c>
      <c r="G1331" s="18" t="str">
        <f>IF($A1331="","",INDEX('Logic &amp; Lists'!$J$4:$J$20,$E1331))</f>
        <v/>
      </c>
      <c r="H1331" s="6" t="str">
        <f t="shared" si="101"/>
        <v/>
      </c>
      <c r="I1331" s="18" t="str">
        <f t="shared" ca="1" si="102"/>
        <v/>
      </c>
      <c r="J1331" s="5" t="str">
        <f t="shared" si="103"/>
        <v/>
      </c>
      <c r="K1331" s="25"/>
      <c r="L1331" s="5" t="str">
        <f t="shared" si="104"/>
        <v/>
      </c>
      <c r="M1331" s="7"/>
      <c r="N1331" s="7"/>
      <c r="O1331" s="7"/>
      <c r="P1331" s="20" t="str">
        <f>IF($A1331="","",INDEX(Project_Tracker!$I$2:$I$101,INT((ROW()-6)/17)+1))</f>
        <v/>
      </c>
      <c r="Q1331" s="20" t="str">
        <f>IF($A1331="","",INDEX(Project_Tracker!$K$2:$K$101,INT((ROW()-6)/17)+1))</f>
        <v/>
      </c>
    </row>
    <row r="1332" spans="1:17" x14ac:dyDescent="0.2">
      <c r="A1332" s="20" t="str">
        <f>IF(INDEX(Project_Tracker!$AL$2:$AL$101,INT((ROW()-6)/17)+1)="","",INDEX(Project_Tracker!$AL$2:$AL$101,INT((ROW()-6)/17)+1))</f>
        <v/>
      </c>
      <c r="B1332" s="21" t="str">
        <f>IF($A1332="","",INDEX(Project_Tracker!$AM$2:$AM$101,INT((ROW()-6)/17)+1))</f>
        <v/>
      </c>
      <c r="C1332" s="20" t="str">
        <f>IF($A1332="","",INDEX(Project_Tracker!$C$2:$C$101,INT((ROW()-6)/17)+1))</f>
        <v/>
      </c>
      <c r="D1332" s="6" t="str">
        <f>IF($A1332="","",INDEX(Project_Tracker!$T$2:$T$101,INT((ROW()-6)/17)+1))</f>
        <v/>
      </c>
      <c r="E1332" s="18">
        <f t="shared" si="100"/>
        <v>1</v>
      </c>
      <c r="F1332" s="23" t="str">
        <f>IF($A1332="","",INDEX('Logic &amp; Lists'!$I$4:$I$20,$E1332))</f>
        <v/>
      </c>
      <c r="G1332" s="18" t="str">
        <f>IF($A1332="","",INDEX('Logic &amp; Lists'!$J$4:$J$20,$E1332))</f>
        <v/>
      </c>
      <c r="H1332" s="6" t="str">
        <f t="shared" si="101"/>
        <v/>
      </c>
      <c r="I1332" s="18" t="str">
        <f t="shared" ca="1" si="102"/>
        <v/>
      </c>
      <c r="J1332" s="5" t="str">
        <f t="shared" si="103"/>
        <v/>
      </c>
      <c r="K1332" s="25"/>
      <c r="L1332" s="5" t="str">
        <f t="shared" si="104"/>
        <v/>
      </c>
      <c r="M1332" s="7"/>
      <c r="N1332" s="7"/>
      <c r="O1332" s="7"/>
      <c r="P1332" s="20" t="str">
        <f>IF($A1332="","",INDEX(Project_Tracker!$I$2:$I$101,INT((ROW()-6)/17)+1))</f>
        <v/>
      </c>
      <c r="Q1332" s="20" t="str">
        <f>IF($A1332="","",INDEX(Project_Tracker!$K$2:$K$101,INT((ROW()-6)/17)+1))</f>
        <v/>
      </c>
    </row>
    <row r="1333" spans="1:17" x14ac:dyDescent="0.2">
      <c r="A1333" s="20" t="str">
        <f>IF(INDEX(Project_Tracker!$AL$2:$AL$101,INT((ROW()-6)/17)+1)="","",INDEX(Project_Tracker!$AL$2:$AL$101,INT((ROW()-6)/17)+1))</f>
        <v/>
      </c>
      <c r="B1333" s="21" t="str">
        <f>IF($A1333="","",INDEX(Project_Tracker!$AM$2:$AM$101,INT((ROW()-6)/17)+1))</f>
        <v/>
      </c>
      <c r="C1333" s="20" t="str">
        <f>IF($A1333="","",INDEX(Project_Tracker!$C$2:$C$101,INT((ROW()-6)/17)+1))</f>
        <v/>
      </c>
      <c r="D1333" s="6" t="str">
        <f>IF($A1333="","",INDEX(Project_Tracker!$T$2:$T$101,INT((ROW()-6)/17)+1))</f>
        <v/>
      </c>
      <c r="E1333" s="18">
        <f t="shared" si="100"/>
        <v>2</v>
      </c>
      <c r="F1333" s="23" t="str">
        <f>IF($A1333="","",INDEX('Logic &amp; Lists'!$I$4:$I$20,$E1333))</f>
        <v/>
      </c>
      <c r="G1333" s="18" t="str">
        <f>IF($A1333="","",INDEX('Logic &amp; Lists'!$J$4:$J$20,$E1333))</f>
        <v/>
      </c>
      <c r="H1333" s="6" t="str">
        <f t="shared" si="101"/>
        <v/>
      </c>
      <c r="I1333" s="18" t="str">
        <f t="shared" ca="1" si="102"/>
        <v/>
      </c>
      <c r="J1333" s="5" t="str">
        <f t="shared" si="103"/>
        <v/>
      </c>
      <c r="K1333" s="25"/>
      <c r="L1333" s="5" t="str">
        <f t="shared" si="104"/>
        <v/>
      </c>
      <c r="M1333" s="7"/>
      <c r="N1333" s="7"/>
      <c r="O1333" s="7"/>
      <c r="P1333" s="20" t="str">
        <f>IF($A1333="","",INDEX(Project_Tracker!$I$2:$I$101,INT((ROW()-6)/17)+1))</f>
        <v/>
      </c>
      <c r="Q1333" s="20" t="str">
        <f>IF($A1333="","",INDEX(Project_Tracker!$K$2:$K$101,INT((ROW()-6)/17)+1))</f>
        <v/>
      </c>
    </row>
    <row r="1334" spans="1:17" x14ac:dyDescent="0.2">
      <c r="A1334" s="20" t="str">
        <f>IF(INDEX(Project_Tracker!$AL$2:$AL$101,INT((ROW()-6)/17)+1)="","",INDEX(Project_Tracker!$AL$2:$AL$101,INT((ROW()-6)/17)+1))</f>
        <v/>
      </c>
      <c r="B1334" s="21" t="str">
        <f>IF($A1334="","",INDEX(Project_Tracker!$AM$2:$AM$101,INT((ROW()-6)/17)+1))</f>
        <v/>
      </c>
      <c r="C1334" s="20" t="str">
        <f>IF($A1334="","",INDEX(Project_Tracker!$C$2:$C$101,INT((ROW()-6)/17)+1))</f>
        <v/>
      </c>
      <c r="D1334" s="6" t="str">
        <f>IF($A1334="","",INDEX(Project_Tracker!$T$2:$T$101,INT((ROW()-6)/17)+1))</f>
        <v/>
      </c>
      <c r="E1334" s="18">
        <f t="shared" si="100"/>
        <v>3</v>
      </c>
      <c r="F1334" s="23" t="str">
        <f>IF($A1334="","",INDEX('Logic &amp; Lists'!$I$4:$I$20,$E1334))</f>
        <v/>
      </c>
      <c r="G1334" s="18" t="str">
        <f>IF($A1334="","",INDEX('Logic &amp; Lists'!$J$4:$J$20,$E1334))</f>
        <v/>
      </c>
      <c r="H1334" s="6" t="str">
        <f t="shared" si="101"/>
        <v/>
      </c>
      <c r="I1334" s="18" t="str">
        <f t="shared" ca="1" si="102"/>
        <v/>
      </c>
      <c r="J1334" s="5" t="str">
        <f t="shared" si="103"/>
        <v/>
      </c>
      <c r="K1334" s="25"/>
      <c r="L1334" s="5" t="str">
        <f t="shared" si="104"/>
        <v/>
      </c>
      <c r="M1334" s="7"/>
      <c r="N1334" s="7"/>
      <c r="O1334" s="7"/>
      <c r="P1334" s="20" t="str">
        <f>IF($A1334="","",INDEX(Project_Tracker!$I$2:$I$101,INT((ROW()-6)/17)+1))</f>
        <v/>
      </c>
      <c r="Q1334" s="20" t="str">
        <f>IF($A1334="","",INDEX(Project_Tracker!$K$2:$K$101,INT((ROW()-6)/17)+1))</f>
        <v/>
      </c>
    </row>
    <row r="1335" spans="1:17" x14ac:dyDescent="0.2">
      <c r="A1335" s="20" t="str">
        <f>IF(INDEX(Project_Tracker!$AL$2:$AL$101,INT((ROW()-6)/17)+1)="","",INDEX(Project_Tracker!$AL$2:$AL$101,INT((ROW()-6)/17)+1))</f>
        <v/>
      </c>
      <c r="B1335" s="21" t="str">
        <f>IF($A1335="","",INDEX(Project_Tracker!$AM$2:$AM$101,INT((ROW()-6)/17)+1))</f>
        <v/>
      </c>
      <c r="C1335" s="20" t="str">
        <f>IF($A1335="","",INDEX(Project_Tracker!$C$2:$C$101,INT((ROW()-6)/17)+1))</f>
        <v/>
      </c>
      <c r="D1335" s="6" t="str">
        <f>IF($A1335="","",INDEX(Project_Tracker!$T$2:$T$101,INT((ROW()-6)/17)+1))</f>
        <v/>
      </c>
      <c r="E1335" s="18">
        <f t="shared" si="100"/>
        <v>4</v>
      </c>
      <c r="F1335" s="23" t="str">
        <f>IF($A1335="","",INDEX('Logic &amp; Lists'!$I$4:$I$20,$E1335))</f>
        <v/>
      </c>
      <c r="G1335" s="18" t="str">
        <f>IF($A1335="","",INDEX('Logic &amp; Lists'!$J$4:$J$20,$E1335))</f>
        <v/>
      </c>
      <c r="H1335" s="6" t="str">
        <f t="shared" si="101"/>
        <v/>
      </c>
      <c r="I1335" s="18" t="str">
        <f t="shared" ca="1" si="102"/>
        <v/>
      </c>
      <c r="J1335" s="5" t="str">
        <f t="shared" si="103"/>
        <v/>
      </c>
      <c r="K1335" s="25"/>
      <c r="L1335" s="5" t="str">
        <f t="shared" si="104"/>
        <v/>
      </c>
      <c r="M1335" s="7"/>
      <c r="N1335" s="7"/>
      <c r="O1335" s="7"/>
      <c r="P1335" s="20" t="str">
        <f>IF($A1335="","",INDEX(Project_Tracker!$I$2:$I$101,INT((ROW()-6)/17)+1))</f>
        <v/>
      </c>
      <c r="Q1335" s="20" t="str">
        <f>IF($A1335="","",INDEX(Project_Tracker!$K$2:$K$101,INT((ROW()-6)/17)+1))</f>
        <v/>
      </c>
    </row>
    <row r="1336" spans="1:17" x14ac:dyDescent="0.2">
      <c r="A1336" s="20" t="str">
        <f>IF(INDEX(Project_Tracker!$AL$2:$AL$101,INT((ROW()-6)/17)+1)="","",INDEX(Project_Tracker!$AL$2:$AL$101,INT((ROW()-6)/17)+1))</f>
        <v/>
      </c>
      <c r="B1336" s="21" t="str">
        <f>IF($A1336="","",INDEX(Project_Tracker!$AM$2:$AM$101,INT((ROW()-6)/17)+1))</f>
        <v/>
      </c>
      <c r="C1336" s="20" t="str">
        <f>IF($A1336="","",INDEX(Project_Tracker!$C$2:$C$101,INT((ROW()-6)/17)+1))</f>
        <v/>
      </c>
      <c r="D1336" s="6" t="str">
        <f>IF($A1336="","",INDEX(Project_Tracker!$T$2:$T$101,INT((ROW()-6)/17)+1))</f>
        <v/>
      </c>
      <c r="E1336" s="18">
        <f t="shared" si="100"/>
        <v>5</v>
      </c>
      <c r="F1336" s="23" t="str">
        <f>IF($A1336="","",INDEX('Logic &amp; Lists'!$I$4:$I$20,$E1336))</f>
        <v/>
      </c>
      <c r="G1336" s="18" t="str">
        <f>IF($A1336="","",INDEX('Logic &amp; Lists'!$J$4:$J$20,$E1336))</f>
        <v/>
      </c>
      <c r="H1336" s="6" t="str">
        <f t="shared" si="101"/>
        <v/>
      </c>
      <c r="I1336" s="18" t="str">
        <f t="shared" ca="1" si="102"/>
        <v/>
      </c>
      <c r="J1336" s="5" t="str">
        <f t="shared" si="103"/>
        <v/>
      </c>
      <c r="K1336" s="25"/>
      <c r="L1336" s="5" t="str">
        <f t="shared" si="104"/>
        <v/>
      </c>
      <c r="M1336" s="7"/>
      <c r="N1336" s="7"/>
      <c r="O1336" s="7"/>
      <c r="P1336" s="20" t="str">
        <f>IF($A1336="","",INDEX(Project_Tracker!$I$2:$I$101,INT((ROW()-6)/17)+1))</f>
        <v/>
      </c>
      <c r="Q1336" s="20" t="str">
        <f>IF($A1336="","",INDEX(Project_Tracker!$K$2:$K$101,INT((ROW()-6)/17)+1))</f>
        <v/>
      </c>
    </row>
    <row r="1337" spans="1:17" x14ac:dyDescent="0.2">
      <c r="A1337" s="20" t="str">
        <f>IF(INDEX(Project_Tracker!$AL$2:$AL$101,INT((ROW()-6)/17)+1)="","",INDEX(Project_Tracker!$AL$2:$AL$101,INT((ROW()-6)/17)+1))</f>
        <v/>
      </c>
      <c r="B1337" s="21" t="str">
        <f>IF($A1337="","",INDEX(Project_Tracker!$AM$2:$AM$101,INT((ROW()-6)/17)+1))</f>
        <v/>
      </c>
      <c r="C1337" s="20" t="str">
        <f>IF($A1337="","",INDEX(Project_Tracker!$C$2:$C$101,INT((ROW()-6)/17)+1))</f>
        <v/>
      </c>
      <c r="D1337" s="6" t="str">
        <f>IF($A1337="","",INDEX(Project_Tracker!$T$2:$T$101,INT((ROW()-6)/17)+1))</f>
        <v/>
      </c>
      <c r="E1337" s="18">
        <f t="shared" si="100"/>
        <v>6</v>
      </c>
      <c r="F1337" s="23" t="str">
        <f>IF($A1337="","",INDEX('Logic &amp; Lists'!$I$4:$I$20,$E1337))</f>
        <v/>
      </c>
      <c r="G1337" s="18" t="str">
        <f>IF($A1337="","",INDEX('Logic &amp; Lists'!$J$4:$J$20,$E1337))</f>
        <v/>
      </c>
      <c r="H1337" s="6" t="str">
        <f t="shared" si="101"/>
        <v/>
      </c>
      <c r="I1337" s="18" t="str">
        <f t="shared" ca="1" si="102"/>
        <v/>
      </c>
      <c r="J1337" s="5" t="str">
        <f t="shared" si="103"/>
        <v/>
      </c>
      <c r="K1337" s="25"/>
      <c r="L1337" s="5" t="str">
        <f t="shared" si="104"/>
        <v/>
      </c>
      <c r="M1337" s="7"/>
      <c r="N1337" s="7"/>
      <c r="O1337" s="7"/>
      <c r="P1337" s="20" t="str">
        <f>IF($A1337="","",INDEX(Project_Tracker!$I$2:$I$101,INT((ROW()-6)/17)+1))</f>
        <v/>
      </c>
      <c r="Q1337" s="20" t="str">
        <f>IF($A1337="","",INDEX(Project_Tracker!$K$2:$K$101,INT((ROW()-6)/17)+1))</f>
        <v/>
      </c>
    </row>
    <row r="1338" spans="1:17" x14ac:dyDescent="0.2">
      <c r="A1338" s="20" t="str">
        <f>IF(INDEX(Project_Tracker!$AL$2:$AL$101,INT((ROW()-6)/17)+1)="","",INDEX(Project_Tracker!$AL$2:$AL$101,INT((ROW()-6)/17)+1))</f>
        <v/>
      </c>
      <c r="B1338" s="21" t="str">
        <f>IF($A1338="","",INDEX(Project_Tracker!$AM$2:$AM$101,INT((ROW()-6)/17)+1))</f>
        <v/>
      </c>
      <c r="C1338" s="20" t="str">
        <f>IF($A1338="","",INDEX(Project_Tracker!$C$2:$C$101,INT((ROW()-6)/17)+1))</f>
        <v/>
      </c>
      <c r="D1338" s="6" t="str">
        <f>IF($A1338="","",INDEX(Project_Tracker!$T$2:$T$101,INT((ROW()-6)/17)+1))</f>
        <v/>
      </c>
      <c r="E1338" s="18">
        <f t="shared" si="100"/>
        <v>7</v>
      </c>
      <c r="F1338" s="23" t="str">
        <f>IF($A1338="","",INDEX('Logic &amp; Lists'!$I$4:$I$20,$E1338))</f>
        <v/>
      </c>
      <c r="G1338" s="18" t="str">
        <f>IF($A1338="","",INDEX('Logic &amp; Lists'!$J$4:$J$20,$E1338))</f>
        <v/>
      </c>
      <c r="H1338" s="6" t="str">
        <f t="shared" si="101"/>
        <v/>
      </c>
      <c r="I1338" s="18" t="str">
        <f t="shared" ca="1" si="102"/>
        <v/>
      </c>
      <c r="J1338" s="5" t="str">
        <f t="shared" si="103"/>
        <v/>
      </c>
      <c r="K1338" s="25"/>
      <c r="L1338" s="5" t="str">
        <f t="shared" si="104"/>
        <v/>
      </c>
      <c r="M1338" s="7"/>
      <c r="N1338" s="7"/>
      <c r="O1338" s="7"/>
      <c r="P1338" s="20" t="str">
        <f>IF($A1338="","",INDEX(Project_Tracker!$I$2:$I$101,INT((ROW()-6)/17)+1))</f>
        <v/>
      </c>
      <c r="Q1338" s="20" t="str">
        <f>IF($A1338="","",INDEX(Project_Tracker!$K$2:$K$101,INT((ROW()-6)/17)+1))</f>
        <v/>
      </c>
    </row>
    <row r="1339" spans="1:17" x14ac:dyDescent="0.2">
      <c r="A1339" s="20" t="str">
        <f>IF(INDEX(Project_Tracker!$AL$2:$AL$101,INT((ROW()-6)/17)+1)="","",INDEX(Project_Tracker!$AL$2:$AL$101,INT((ROW()-6)/17)+1))</f>
        <v/>
      </c>
      <c r="B1339" s="21" t="str">
        <f>IF($A1339="","",INDEX(Project_Tracker!$AM$2:$AM$101,INT((ROW()-6)/17)+1))</f>
        <v/>
      </c>
      <c r="C1339" s="20" t="str">
        <f>IF($A1339="","",INDEX(Project_Tracker!$C$2:$C$101,INT((ROW()-6)/17)+1))</f>
        <v/>
      </c>
      <c r="D1339" s="6" t="str">
        <f>IF($A1339="","",INDEX(Project_Tracker!$T$2:$T$101,INT((ROW()-6)/17)+1))</f>
        <v/>
      </c>
      <c r="E1339" s="18">
        <f t="shared" si="100"/>
        <v>8</v>
      </c>
      <c r="F1339" s="23" t="str">
        <f>IF($A1339="","",INDEX('Logic &amp; Lists'!$I$4:$I$20,$E1339))</f>
        <v/>
      </c>
      <c r="G1339" s="18" t="str">
        <f>IF($A1339="","",INDEX('Logic &amp; Lists'!$J$4:$J$20,$E1339))</f>
        <v/>
      </c>
      <c r="H1339" s="6" t="str">
        <f t="shared" si="101"/>
        <v/>
      </c>
      <c r="I1339" s="18" t="str">
        <f t="shared" ca="1" si="102"/>
        <v/>
      </c>
      <c r="J1339" s="5" t="str">
        <f t="shared" si="103"/>
        <v/>
      </c>
      <c r="K1339" s="25"/>
      <c r="L1339" s="5" t="str">
        <f t="shared" si="104"/>
        <v/>
      </c>
      <c r="M1339" s="7"/>
      <c r="N1339" s="7"/>
      <c r="O1339" s="7"/>
      <c r="P1339" s="20" t="str">
        <f>IF($A1339="","",INDEX(Project_Tracker!$I$2:$I$101,INT((ROW()-6)/17)+1))</f>
        <v/>
      </c>
      <c r="Q1339" s="20" t="str">
        <f>IF($A1339="","",INDEX(Project_Tracker!$K$2:$K$101,INT((ROW()-6)/17)+1))</f>
        <v/>
      </c>
    </row>
    <row r="1340" spans="1:17" x14ac:dyDescent="0.2">
      <c r="A1340" s="20" t="str">
        <f>IF(INDEX(Project_Tracker!$AL$2:$AL$101,INT((ROW()-6)/17)+1)="","",INDEX(Project_Tracker!$AL$2:$AL$101,INT((ROW()-6)/17)+1))</f>
        <v/>
      </c>
      <c r="B1340" s="21" t="str">
        <f>IF($A1340="","",INDEX(Project_Tracker!$AM$2:$AM$101,INT((ROW()-6)/17)+1))</f>
        <v/>
      </c>
      <c r="C1340" s="20" t="str">
        <f>IF($A1340="","",INDEX(Project_Tracker!$C$2:$C$101,INT((ROW()-6)/17)+1))</f>
        <v/>
      </c>
      <c r="D1340" s="6" t="str">
        <f>IF($A1340="","",INDEX(Project_Tracker!$T$2:$T$101,INT((ROW()-6)/17)+1))</f>
        <v/>
      </c>
      <c r="E1340" s="18">
        <f t="shared" si="100"/>
        <v>9</v>
      </c>
      <c r="F1340" s="23" t="str">
        <f>IF($A1340="","",INDEX('Logic &amp; Lists'!$I$4:$I$20,$E1340))</f>
        <v/>
      </c>
      <c r="G1340" s="18" t="str">
        <f>IF($A1340="","",INDEX('Logic &amp; Lists'!$J$4:$J$20,$E1340))</f>
        <v/>
      </c>
      <c r="H1340" s="6" t="str">
        <f t="shared" si="101"/>
        <v/>
      </c>
      <c r="I1340" s="18" t="str">
        <f t="shared" ca="1" si="102"/>
        <v/>
      </c>
      <c r="J1340" s="5" t="str">
        <f t="shared" si="103"/>
        <v/>
      </c>
      <c r="K1340" s="25"/>
      <c r="L1340" s="5" t="str">
        <f t="shared" si="104"/>
        <v/>
      </c>
      <c r="M1340" s="7"/>
      <c r="N1340" s="7"/>
      <c r="O1340" s="7"/>
      <c r="P1340" s="20" t="str">
        <f>IF($A1340="","",INDEX(Project_Tracker!$I$2:$I$101,INT((ROW()-6)/17)+1))</f>
        <v/>
      </c>
      <c r="Q1340" s="20" t="str">
        <f>IF($A1340="","",INDEX(Project_Tracker!$K$2:$K$101,INT((ROW()-6)/17)+1))</f>
        <v/>
      </c>
    </row>
    <row r="1341" spans="1:17" x14ac:dyDescent="0.2">
      <c r="A1341" s="20" t="str">
        <f>IF(INDEX(Project_Tracker!$AL$2:$AL$101,INT((ROW()-6)/17)+1)="","",INDEX(Project_Tracker!$AL$2:$AL$101,INT((ROW()-6)/17)+1))</f>
        <v/>
      </c>
      <c r="B1341" s="21" t="str">
        <f>IF($A1341="","",INDEX(Project_Tracker!$AM$2:$AM$101,INT((ROW()-6)/17)+1))</f>
        <v/>
      </c>
      <c r="C1341" s="20" t="str">
        <f>IF($A1341="","",INDEX(Project_Tracker!$C$2:$C$101,INT((ROW()-6)/17)+1))</f>
        <v/>
      </c>
      <c r="D1341" s="6" t="str">
        <f>IF($A1341="","",INDEX(Project_Tracker!$T$2:$T$101,INT((ROW()-6)/17)+1))</f>
        <v/>
      </c>
      <c r="E1341" s="18">
        <f t="shared" si="100"/>
        <v>10</v>
      </c>
      <c r="F1341" s="23" t="str">
        <f>IF($A1341="","",INDEX('Logic &amp; Lists'!$I$4:$I$20,$E1341))</f>
        <v/>
      </c>
      <c r="G1341" s="18" t="str">
        <f>IF($A1341="","",INDEX('Logic &amp; Lists'!$J$4:$J$20,$E1341))</f>
        <v/>
      </c>
      <c r="H1341" s="6" t="str">
        <f t="shared" si="101"/>
        <v/>
      </c>
      <c r="I1341" s="18" t="str">
        <f t="shared" ca="1" si="102"/>
        <v/>
      </c>
      <c r="J1341" s="5" t="str">
        <f t="shared" si="103"/>
        <v/>
      </c>
      <c r="K1341" s="25"/>
      <c r="L1341" s="5" t="str">
        <f t="shared" si="104"/>
        <v/>
      </c>
      <c r="M1341" s="7"/>
      <c r="N1341" s="7"/>
      <c r="O1341" s="7"/>
      <c r="P1341" s="20" t="str">
        <f>IF($A1341="","",INDEX(Project_Tracker!$I$2:$I$101,INT((ROW()-6)/17)+1))</f>
        <v/>
      </c>
      <c r="Q1341" s="20" t="str">
        <f>IF($A1341="","",INDEX(Project_Tracker!$K$2:$K$101,INT((ROW()-6)/17)+1))</f>
        <v/>
      </c>
    </row>
    <row r="1342" spans="1:17" x14ac:dyDescent="0.2">
      <c r="A1342" s="20" t="str">
        <f>IF(INDEX(Project_Tracker!$AL$2:$AL$101,INT((ROW()-6)/17)+1)="","",INDEX(Project_Tracker!$AL$2:$AL$101,INT((ROW()-6)/17)+1))</f>
        <v/>
      </c>
      <c r="B1342" s="21" t="str">
        <f>IF($A1342="","",INDEX(Project_Tracker!$AM$2:$AM$101,INT((ROW()-6)/17)+1))</f>
        <v/>
      </c>
      <c r="C1342" s="20" t="str">
        <f>IF($A1342="","",INDEX(Project_Tracker!$C$2:$C$101,INT((ROW()-6)/17)+1))</f>
        <v/>
      </c>
      <c r="D1342" s="6" t="str">
        <f>IF($A1342="","",INDEX(Project_Tracker!$T$2:$T$101,INT((ROW()-6)/17)+1))</f>
        <v/>
      </c>
      <c r="E1342" s="18">
        <f t="shared" si="100"/>
        <v>11</v>
      </c>
      <c r="F1342" s="23" t="str">
        <f>IF($A1342="","",INDEX('Logic &amp; Lists'!$I$4:$I$20,$E1342))</f>
        <v/>
      </c>
      <c r="G1342" s="18" t="str">
        <f>IF($A1342="","",INDEX('Logic &amp; Lists'!$J$4:$J$20,$E1342))</f>
        <v/>
      </c>
      <c r="H1342" s="6" t="str">
        <f t="shared" si="101"/>
        <v/>
      </c>
      <c r="I1342" s="18" t="str">
        <f t="shared" ca="1" si="102"/>
        <v/>
      </c>
      <c r="J1342" s="5" t="str">
        <f t="shared" si="103"/>
        <v/>
      </c>
      <c r="K1342" s="25"/>
      <c r="L1342" s="5" t="str">
        <f t="shared" si="104"/>
        <v/>
      </c>
      <c r="M1342" s="7"/>
      <c r="N1342" s="7"/>
      <c r="O1342" s="7"/>
      <c r="P1342" s="20" t="str">
        <f>IF($A1342="","",INDEX(Project_Tracker!$I$2:$I$101,INT((ROW()-6)/17)+1))</f>
        <v/>
      </c>
      <c r="Q1342" s="20" t="str">
        <f>IF($A1342="","",INDEX(Project_Tracker!$K$2:$K$101,INT((ROW()-6)/17)+1))</f>
        <v/>
      </c>
    </row>
    <row r="1343" spans="1:17" x14ac:dyDescent="0.2">
      <c r="A1343" s="20" t="str">
        <f>IF(INDEX(Project_Tracker!$AL$2:$AL$101,INT((ROW()-6)/17)+1)="","",INDEX(Project_Tracker!$AL$2:$AL$101,INT((ROW()-6)/17)+1))</f>
        <v/>
      </c>
      <c r="B1343" s="21" t="str">
        <f>IF($A1343="","",INDEX(Project_Tracker!$AM$2:$AM$101,INT((ROW()-6)/17)+1))</f>
        <v/>
      </c>
      <c r="C1343" s="20" t="str">
        <f>IF($A1343="","",INDEX(Project_Tracker!$C$2:$C$101,INT((ROW()-6)/17)+1))</f>
        <v/>
      </c>
      <c r="D1343" s="6" t="str">
        <f>IF($A1343="","",INDEX(Project_Tracker!$T$2:$T$101,INT((ROW()-6)/17)+1))</f>
        <v/>
      </c>
      <c r="E1343" s="18">
        <f t="shared" si="100"/>
        <v>12</v>
      </c>
      <c r="F1343" s="23" t="str">
        <f>IF($A1343="","",INDEX('Logic &amp; Lists'!$I$4:$I$20,$E1343))</f>
        <v/>
      </c>
      <c r="G1343" s="18" t="str">
        <f>IF($A1343="","",INDEX('Logic &amp; Lists'!$J$4:$J$20,$E1343))</f>
        <v/>
      </c>
      <c r="H1343" s="6" t="str">
        <f t="shared" si="101"/>
        <v/>
      </c>
      <c r="I1343" s="18" t="str">
        <f t="shared" ca="1" si="102"/>
        <v/>
      </c>
      <c r="J1343" s="5" t="str">
        <f t="shared" si="103"/>
        <v/>
      </c>
      <c r="K1343" s="25"/>
      <c r="L1343" s="5" t="str">
        <f t="shared" si="104"/>
        <v/>
      </c>
      <c r="M1343" s="7"/>
      <c r="N1343" s="7"/>
      <c r="O1343" s="7"/>
      <c r="P1343" s="20" t="str">
        <f>IF($A1343="","",INDEX(Project_Tracker!$I$2:$I$101,INT((ROW()-6)/17)+1))</f>
        <v/>
      </c>
      <c r="Q1343" s="20" t="str">
        <f>IF($A1343="","",INDEX(Project_Tracker!$K$2:$K$101,INT((ROW()-6)/17)+1))</f>
        <v/>
      </c>
    </row>
    <row r="1344" spans="1:17" x14ac:dyDescent="0.2">
      <c r="A1344" s="20" t="str">
        <f>IF(INDEX(Project_Tracker!$AL$2:$AL$101,INT((ROW()-6)/17)+1)="","",INDEX(Project_Tracker!$AL$2:$AL$101,INT((ROW()-6)/17)+1))</f>
        <v/>
      </c>
      <c r="B1344" s="21" t="str">
        <f>IF($A1344="","",INDEX(Project_Tracker!$AM$2:$AM$101,INT((ROW()-6)/17)+1))</f>
        <v/>
      </c>
      <c r="C1344" s="20" t="str">
        <f>IF($A1344="","",INDEX(Project_Tracker!$C$2:$C$101,INT((ROW()-6)/17)+1))</f>
        <v/>
      </c>
      <c r="D1344" s="6" t="str">
        <f>IF($A1344="","",INDEX(Project_Tracker!$T$2:$T$101,INT((ROW()-6)/17)+1))</f>
        <v/>
      </c>
      <c r="E1344" s="18">
        <f t="shared" si="100"/>
        <v>13</v>
      </c>
      <c r="F1344" s="23" t="str">
        <f>IF($A1344="","",INDEX('Logic &amp; Lists'!$I$4:$I$20,$E1344))</f>
        <v/>
      </c>
      <c r="G1344" s="18" t="str">
        <f>IF($A1344="","",INDEX('Logic &amp; Lists'!$J$4:$J$20,$E1344))</f>
        <v/>
      </c>
      <c r="H1344" s="6" t="str">
        <f t="shared" si="101"/>
        <v/>
      </c>
      <c r="I1344" s="18" t="str">
        <f t="shared" ca="1" si="102"/>
        <v/>
      </c>
      <c r="J1344" s="5" t="str">
        <f t="shared" si="103"/>
        <v/>
      </c>
      <c r="K1344" s="25"/>
      <c r="L1344" s="5" t="str">
        <f t="shared" si="104"/>
        <v/>
      </c>
      <c r="M1344" s="7"/>
      <c r="N1344" s="7"/>
      <c r="O1344" s="7"/>
      <c r="P1344" s="20" t="str">
        <f>IF($A1344="","",INDEX(Project_Tracker!$I$2:$I$101,INT((ROW()-6)/17)+1))</f>
        <v/>
      </c>
      <c r="Q1344" s="20" t="str">
        <f>IF($A1344="","",INDEX(Project_Tracker!$K$2:$K$101,INT((ROW()-6)/17)+1))</f>
        <v/>
      </c>
    </row>
    <row r="1345" spans="1:17" x14ac:dyDescent="0.2">
      <c r="A1345" s="20" t="str">
        <f>IF(INDEX(Project_Tracker!$AL$2:$AL$101,INT((ROW()-6)/17)+1)="","",INDEX(Project_Tracker!$AL$2:$AL$101,INT((ROW()-6)/17)+1))</f>
        <v/>
      </c>
      <c r="B1345" s="21" t="str">
        <f>IF($A1345="","",INDEX(Project_Tracker!$AM$2:$AM$101,INT((ROW()-6)/17)+1))</f>
        <v/>
      </c>
      <c r="C1345" s="20" t="str">
        <f>IF($A1345="","",INDEX(Project_Tracker!$C$2:$C$101,INT((ROW()-6)/17)+1))</f>
        <v/>
      </c>
      <c r="D1345" s="6" t="str">
        <f>IF($A1345="","",INDEX(Project_Tracker!$T$2:$T$101,INT((ROW()-6)/17)+1))</f>
        <v/>
      </c>
      <c r="E1345" s="18">
        <f t="shared" si="100"/>
        <v>14</v>
      </c>
      <c r="F1345" s="23" t="str">
        <f>IF($A1345="","",INDEX('Logic &amp; Lists'!$I$4:$I$20,$E1345))</f>
        <v/>
      </c>
      <c r="G1345" s="18" t="str">
        <f>IF($A1345="","",INDEX('Logic &amp; Lists'!$J$4:$J$20,$E1345))</f>
        <v/>
      </c>
      <c r="H1345" s="6" t="str">
        <f t="shared" si="101"/>
        <v/>
      </c>
      <c r="I1345" s="18" t="str">
        <f t="shared" ca="1" si="102"/>
        <v/>
      </c>
      <c r="J1345" s="5" t="str">
        <f t="shared" si="103"/>
        <v/>
      </c>
      <c r="K1345" s="25"/>
      <c r="L1345" s="5" t="str">
        <f t="shared" si="104"/>
        <v/>
      </c>
      <c r="M1345" s="7"/>
      <c r="N1345" s="7"/>
      <c r="O1345" s="7"/>
      <c r="P1345" s="20" t="str">
        <f>IF($A1345="","",INDEX(Project_Tracker!$I$2:$I$101,INT((ROW()-6)/17)+1))</f>
        <v/>
      </c>
      <c r="Q1345" s="20" t="str">
        <f>IF($A1345="","",INDEX(Project_Tracker!$K$2:$K$101,INT((ROW()-6)/17)+1))</f>
        <v/>
      </c>
    </row>
    <row r="1346" spans="1:17" x14ac:dyDescent="0.2">
      <c r="A1346" s="20" t="str">
        <f>IF(INDEX(Project_Tracker!$AL$2:$AL$101,INT((ROW()-6)/17)+1)="","",INDEX(Project_Tracker!$AL$2:$AL$101,INT((ROW()-6)/17)+1))</f>
        <v/>
      </c>
      <c r="B1346" s="21" t="str">
        <f>IF($A1346="","",INDEX(Project_Tracker!$AM$2:$AM$101,INT((ROW()-6)/17)+1))</f>
        <v/>
      </c>
      <c r="C1346" s="20" t="str">
        <f>IF($A1346="","",INDEX(Project_Tracker!$C$2:$C$101,INT((ROW()-6)/17)+1))</f>
        <v/>
      </c>
      <c r="D1346" s="6" t="str">
        <f>IF($A1346="","",INDEX(Project_Tracker!$T$2:$T$101,INT((ROW()-6)/17)+1))</f>
        <v/>
      </c>
      <c r="E1346" s="18">
        <f t="shared" si="100"/>
        <v>15</v>
      </c>
      <c r="F1346" s="23" t="str">
        <f>IF($A1346="","",INDEX('Logic &amp; Lists'!$I$4:$I$20,$E1346))</f>
        <v/>
      </c>
      <c r="G1346" s="18" t="str">
        <f>IF($A1346="","",INDEX('Logic &amp; Lists'!$J$4:$J$20,$E1346))</f>
        <v/>
      </c>
      <c r="H1346" s="6" t="str">
        <f t="shared" si="101"/>
        <v/>
      </c>
      <c r="I1346" s="18" t="str">
        <f t="shared" ca="1" si="102"/>
        <v/>
      </c>
      <c r="J1346" s="5" t="str">
        <f t="shared" si="103"/>
        <v/>
      </c>
      <c r="K1346" s="25"/>
      <c r="L1346" s="5" t="str">
        <f t="shared" si="104"/>
        <v/>
      </c>
      <c r="M1346" s="7"/>
      <c r="N1346" s="7"/>
      <c r="O1346" s="7"/>
      <c r="P1346" s="20" t="str">
        <f>IF($A1346="","",INDEX(Project_Tracker!$I$2:$I$101,INT((ROW()-6)/17)+1))</f>
        <v/>
      </c>
      <c r="Q1346" s="20" t="str">
        <f>IF($A1346="","",INDEX(Project_Tracker!$K$2:$K$101,INT((ROW()-6)/17)+1))</f>
        <v/>
      </c>
    </row>
    <row r="1347" spans="1:17" x14ac:dyDescent="0.2">
      <c r="A1347" s="20" t="str">
        <f>IF(INDEX(Project_Tracker!$AL$2:$AL$101,INT((ROW()-6)/17)+1)="","",INDEX(Project_Tracker!$AL$2:$AL$101,INT((ROW()-6)/17)+1))</f>
        <v/>
      </c>
      <c r="B1347" s="21" t="str">
        <f>IF($A1347="","",INDEX(Project_Tracker!$AM$2:$AM$101,INT((ROW()-6)/17)+1))</f>
        <v/>
      </c>
      <c r="C1347" s="20" t="str">
        <f>IF($A1347="","",INDEX(Project_Tracker!$C$2:$C$101,INT((ROW()-6)/17)+1))</f>
        <v/>
      </c>
      <c r="D1347" s="6" t="str">
        <f>IF($A1347="","",INDEX(Project_Tracker!$T$2:$T$101,INT((ROW()-6)/17)+1))</f>
        <v/>
      </c>
      <c r="E1347" s="18">
        <f t="shared" si="100"/>
        <v>16</v>
      </c>
      <c r="F1347" s="23" t="str">
        <f>IF($A1347="","",INDEX('Logic &amp; Lists'!$I$4:$I$20,$E1347))</f>
        <v/>
      </c>
      <c r="G1347" s="18" t="str">
        <f>IF($A1347="","",INDEX('Logic &amp; Lists'!$J$4:$J$20,$E1347))</f>
        <v/>
      </c>
      <c r="H1347" s="6" t="str">
        <f t="shared" si="101"/>
        <v/>
      </c>
      <c r="I1347" s="18" t="str">
        <f t="shared" ca="1" si="102"/>
        <v/>
      </c>
      <c r="J1347" s="5" t="str">
        <f t="shared" si="103"/>
        <v/>
      </c>
      <c r="K1347" s="25"/>
      <c r="L1347" s="5" t="str">
        <f t="shared" si="104"/>
        <v/>
      </c>
      <c r="M1347" s="7"/>
      <c r="N1347" s="7"/>
      <c r="O1347" s="7"/>
      <c r="P1347" s="20" t="str">
        <f>IF($A1347="","",INDEX(Project_Tracker!$I$2:$I$101,INT((ROW()-6)/17)+1))</f>
        <v/>
      </c>
      <c r="Q1347" s="20" t="str">
        <f>IF($A1347="","",INDEX(Project_Tracker!$K$2:$K$101,INT((ROW()-6)/17)+1))</f>
        <v/>
      </c>
    </row>
    <row r="1348" spans="1:17" x14ac:dyDescent="0.2">
      <c r="A1348" s="20" t="str">
        <f>IF(INDEX(Project_Tracker!$AL$2:$AL$101,INT((ROW()-6)/17)+1)="","",INDEX(Project_Tracker!$AL$2:$AL$101,INT((ROW()-6)/17)+1))</f>
        <v/>
      </c>
      <c r="B1348" s="21" t="str">
        <f>IF($A1348="","",INDEX(Project_Tracker!$AM$2:$AM$101,INT((ROW()-6)/17)+1))</f>
        <v/>
      </c>
      <c r="C1348" s="20" t="str">
        <f>IF($A1348="","",INDEX(Project_Tracker!$C$2:$C$101,INT((ROW()-6)/17)+1))</f>
        <v/>
      </c>
      <c r="D1348" s="6" t="str">
        <f>IF($A1348="","",INDEX(Project_Tracker!$T$2:$T$101,INT((ROW()-6)/17)+1))</f>
        <v/>
      </c>
      <c r="E1348" s="18">
        <f t="shared" si="100"/>
        <v>17</v>
      </c>
      <c r="F1348" s="23" t="str">
        <f>IF($A1348="","",INDEX('Logic &amp; Lists'!$I$4:$I$20,$E1348))</f>
        <v/>
      </c>
      <c r="G1348" s="18" t="str">
        <f>IF($A1348="","",INDEX('Logic &amp; Lists'!$J$4:$J$20,$E1348))</f>
        <v/>
      </c>
      <c r="H1348" s="6" t="str">
        <f t="shared" si="101"/>
        <v/>
      </c>
      <c r="I1348" s="18" t="str">
        <f t="shared" ca="1" si="102"/>
        <v/>
      </c>
      <c r="J1348" s="5" t="str">
        <f t="shared" si="103"/>
        <v/>
      </c>
      <c r="K1348" s="25"/>
      <c r="L1348" s="5" t="str">
        <f t="shared" si="104"/>
        <v/>
      </c>
      <c r="M1348" s="7"/>
      <c r="N1348" s="7"/>
      <c r="O1348" s="7"/>
      <c r="P1348" s="20" t="str">
        <f>IF($A1348="","",INDEX(Project_Tracker!$I$2:$I$101,INT((ROW()-6)/17)+1))</f>
        <v/>
      </c>
      <c r="Q1348" s="20" t="str">
        <f>IF($A1348="","",INDEX(Project_Tracker!$K$2:$K$101,INT((ROW()-6)/17)+1))</f>
        <v/>
      </c>
    </row>
    <row r="1349" spans="1:17" x14ac:dyDescent="0.2">
      <c r="A1349" s="20" t="str">
        <f>IF(INDEX(Project_Tracker!$AL$2:$AL$101,INT((ROW()-6)/17)+1)="","",INDEX(Project_Tracker!$AL$2:$AL$101,INT((ROW()-6)/17)+1))</f>
        <v/>
      </c>
      <c r="B1349" s="21" t="str">
        <f>IF($A1349="","",INDEX(Project_Tracker!$AM$2:$AM$101,INT((ROW()-6)/17)+1))</f>
        <v/>
      </c>
      <c r="C1349" s="20" t="str">
        <f>IF($A1349="","",INDEX(Project_Tracker!$C$2:$C$101,INT((ROW()-6)/17)+1))</f>
        <v/>
      </c>
      <c r="D1349" s="6" t="str">
        <f>IF($A1349="","",INDEX(Project_Tracker!$T$2:$T$101,INT((ROW()-6)/17)+1))</f>
        <v/>
      </c>
      <c r="E1349" s="18">
        <f t="shared" si="100"/>
        <v>1</v>
      </c>
      <c r="F1349" s="23" t="str">
        <f>IF($A1349="","",INDEX('Logic &amp; Lists'!$I$4:$I$20,$E1349))</f>
        <v/>
      </c>
      <c r="G1349" s="18" t="str">
        <f>IF($A1349="","",INDEX('Logic &amp; Lists'!$J$4:$J$20,$E1349))</f>
        <v/>
      </c>
      <c r="H1349" s="6" t="str">
        <f t="shared" si="101"/>
        <v/>
      </c>
      <c r="I1349" s="18" t="str">
        <f t="shared" ca="1" si="102"/>
        <v/>
      </c>
      <c r="J1349" s="5" t="str">
        <f t="shared" si="103"/>
        <v/>
      </c>
      <c r="K1349" s="25"/>
      <c r="L1349" s="5" t="str">
        <f t="shared" si="104"/>
        <v/>
      </c>
      <c r="M1349" s="7"/>
      <c r="N1349" s="7"/>
      <c r="O1349" s="7"/>
      <c r="P1349" s="20" t="str">
        <f>IF($A1349="","",INDEX(Project_Tracker!$I$2:$I$101,INT((ROW()-6)/17)+1))</f>
        <v/>
      </c>
      <c r="Q1349" s="20" t="str">
        <f>IF($A1349="","",INDEX(Project_Tracker!$K$2:$K$101,INT((ROW()-6)/17)+1))</f>
        <v/>
      </c>
    </row>
    <row r="1350" spans="1:17" x14ac:dyDescent="0.2">
      <c r="A1350" s="20" t="str">
        <f>IF(INDEX(Project_Tracker!$AL$2:$AL$101,INT((ROW()-6)/17)+1)="","",INDEX(Project_Tracker!$AL$2:$AL$101,INT((ROW()-6)/17)+1))</f>
        <v/>
      </c>
      <c r="B1350" s="21" t="str">
        <f>IF($A1350="","",INDEX(Project_Tracker!$AM$2:$AM$101,INT((ROW()-6)/17)+1))</f>
        <v/>
      </c>
      <c r="C1350" s="20" t="str">
        <f>IF($A1350="","",INDEX(Project_Tracker!$C$2:$C$101,INT((ROW()-6)/17)+1))</f>
        <v/>
      </c>
      <c r="D1350" s="6" t="str">
        <f>IF($A1350="","",INDEX(Project_Tracker!$T$2:$T$101,INT((ROW()-6)/17)+1))</f>
        <v/>
      </c>
      <c r="E1350" s="18">
        <f t="shared" ref="E1350:E1413" si="105">MOD(ROW()-6,17)+1</f>
        <v>2</v>
      </c>
      <c r="F1350" s="23" t="str">
        <f>IF($A1350="","",INDEX('Logic &amp; Lists'!$I$4:$I$20,$E1350))</f>
        <v/>
      </c>
      <c r="G1350" s="18" t="str">
        <f>IF($A1350="","",INDEX('Logic &amp; Lists'!$J$4:$J$20,$E1350))</f>
        <v/>
      </c>
      <c r="H1350" s="6" t="str">
        <f t="shared" ref="H1350:H1413" si="106">IF($D1350="","",$D1350-$G1350)</f>
        <v/>
      </c>
      <c r="I1350" s="18" t="str">
        <f t="shared" ref="I1350:I1413" ca="1" si="107">IF($H1350="","",$H1350-TODAY())</f>
        <v/>
      </c>
      <c r="J1350" s="5" t="str">
        <f t="shared" ref="J1350:J1413" si="108">IF($A1350="","",IF($K1350&lt;&gt;"","ORDERED",IF($I1350&lt;0,"OVERDUE",IF($I1350&lt;=7,"URGENT",IF($I1350&lt;=14,"PREPARE","OK")))))</f>
        <v/>
      </c>
      <c r="K1350" s="25"/>
      <c r="L1350" s="5" t="str">
        <f t="shared" ref="L1350:L1413" si="109">IF($A1350="","",IF($K1350="",$J1350,IF($K1350&lt;=$H1350,"Ordered On Time","Ordered Late")))</f>
        <v/>
      </c>
      <c r="M1350" s="7"/>
      <c r="N1350" s="7"/>
      <c r="O1350" s="7"/>
      <c r="P1350" s="20" t="str">
        <f>IF($A1350="","",INDEX(Project_Tracker!$I$2:$I$101,INT((ROW()-6)/17)+1))</f>
        <v/>
      </c>
      <c r="Q1350" s="20" t="str">
        <f>IF($A1350="","",INDEX(Project_Tracker!$K$2:$K$101,INT((ROW()-6)/17)+1))</f>
        <v/>
      </c>
    </row>
    <row r="1351" spans="1:17" x14ac:dyDescent="0.2">
      <c r="A1351" s="20" t="str">
        <f>IF(INDEX(Project_Tracker!$AL$2:$AL$101,INT((ROW()-6)/17)+1)="","",INDEX(Project_Tracker!$AL$2:$AL$101,INT((ROW()-6)/17)+1))</f>
        <v/>
      </c>
      <c r="B1351" s="21" t="str">
        <f>IF($A1351="","",INDEX(Project_Tracker!$AM$2:$AM$101,INT((ROW()-6)/17)+1))</f>
        <v/>
      </c>
      <c r="C1351" s="20" t="str">
        <f>IF($A1351="","",INDEX(Project_Tracker!$C$2:$C$101,INT((ROW()-6)/17)+1))</f>
        <v/>
      </c>
      <c r="D1351" s="6" t="str">
        <f>IF($A1351="","",INDEX(Project_Tracker!$T$2:$T$101,INT((ROW()-6)/17)+1))</f>
        <v/>
      </c>
      <c r="E1351" s="18">
        <f t="shared" si="105"/>
        <v>3</v>
      </c>
      <c r="F1351" s="23" t="str">
        <f>IF($A1351="","",INDEX('Logic &amp; Lists'!$I$4:$I$20,$E1351))</f>
        <v/>
      </c>
      <c r="G1351" s="18" t="str">
        <f>IF($A1351="","",INDEX('Logic &amp; Lists'!$J$4:$J$20,$E1351))</f>
        <v/>
      </c>
      <c r="H1351" s="6" t="str">
        <f t="shared" si="106"/>
        <v/>
      </c>
      <c r="I1351" s="18" t="str">
        <f t="shared" ca="1" si="107"/>
        <v/>
      </c>
      <c r="J1351" s="5" t="str">
        <f t="shared" si="108"/>
        <v/>
      </c>
      <c r="K1351" s="25"/>
      <c r="L1351" s="5" t="str">
        <f t="shared" si="109"/>
        <v/>
      </c>
      <c r="M1351" s="7"/>
      <c r="N1351" s="7"/>
      <c r="O1351" s="7"/>
      <c r="P1351" s="20" t="str">
        <f>IF($A1351="","",INDEX(Project_Tracker!$I$2:$I$101,INT((ROW()-6)/17)+1))</f>
        <v/>
      </c>
      <c r="Q1351" s="20" t="str">
        <f>IF($A1351="","",INDEX(Project_Tracker!$K$2:$K$101,INT((ROW()-6)/17)+1))</f>
        <v/>
      </c>
    </row>
    <row r="1352" spans="1:17" x14ac:dyDescent="0.2">
      <c r="A1352" s="20" t="str">
        <f>IF(INDEX(Project_Tracker!$AL$2:$AL$101,INT((ROW()-6)/17)+1)="","",INDEX(Project_Tracker!$AL$2:$AL$101,INT((ROW()-6)/17)+1))</f>
        <v/>
      </c>
      <c r="B1352" s="21" t="str">
        <f>IF($A1352="","",INDEX(Project_Tracker!$AM$2:$AM$101,INT((ROW()-6)/17)+1))</f>
        <v/>
      </c>
      <c r="C1352" s="20" t="str">
        <f>IF($A1352="","",INDEX(Project_Tracker!$C$2:$C$101,INT((ROW()-6)/17)+1))</f>
        <v/>
      </c>
      <c r="D1352" s="6" t="str">
        <f>IF($A1352="","",INDEX(Project_Tracker!$T$2:$T$101,INT((ROW()-6)/17)+1))</f>
        <v/>
      </c>
      <c r="E1352" s="18">
        <f t="shared" si="105"/>
        <v>4</v>
      </c>
      <c r="F1352" s="23" t="str">
        <f>IF($A1352="","",INDEX('Logic &amp; Lists'!$I$4:$I$20,$E1352))</f>
        <v/>
      </c>
      <c r="G1352" s="18" t="str">
        <f>IF($A1352="","",INDEX('Logic &amp; Lists'!$J$4:$J$20,$E1352))</f>
        <v/>
      </c>
      <c r="H1352" s="6" t="str">
        <f t="shared" si="106"/>
        <v/>
      </c>
      <c r="I1352" s="18" t="str">
        <f t="shared" ca="1" si="107"/>
        <v/>
      </c>
      <c r="J1352" s="5" t="str">
        <f t="shared" si="108"/>
        <v/>
      </c>
      <c r="K1352" s="25"/>
      <c r="L1352" s="5" t="str">
        <f t="shared" si="109"/>
        <v/>
      </c>
      <c r="M1352" s="7"/>
      <c r="N1352" s="7"/>
      <c r="O1352" s="7"/>
      <c r="P1352" s="20" t="str">
        <f>IF($A1352="","",INDEX(Project_Tracker!$I$2:$I$101,INT((ROW()-6)/17)+1))</f>
        <v/>
      </c>
      <c r="Q1352" s="20" t="str">
        <f>IF($A1352="","",INDEX(Project_Tracker!$K$2:$K$101,INT((ROW()-6)/17)+1))</f>
        <v/>
      </c>
    </row>
    <row r="1353" spans="1:17" x14ac:dyDescent="0.2">
      <c r="A1353" s="20" t="str">
        <f>IF(INDEX(Project_Tracker!$AL$2:$AL$101,INT((ROW()-6)/17)+1)="","",INDEX(Project_Tracker!$AL$2:$AL$101,INT((ROW()-6)/17)+1))</f>
        <v/>
      </c>
      <c r="B1353" s="21" t="str">
        <f>IF($A1353="","",INDEX(Project_Tracker!$AM$2:$AM$101,INT((ROW()-6)/17)+1))</f>
        <v/>
      </c>
      <c r="C1353" s="20" t="str">
        <f>IF($A1353="","",INDEX(Project_Tracker!$C$2:$C$101,INT((ROW()-6)/17)+1))</f>
        <v/>
      </c>
      <c r="D1353" s="6" t="str">
        <f>IF($A1353="","",INDEX(Project_Tracker!$T$2:$T$101,INT((ROW()-6)/17)+1))</f>
        <v/>
      </c>
      <c r="E1353" s="18">
        <f t="shared" si="105"/>
        <v>5</v>
      </c>
      <c r="F1353" s="23" t="str">
        <f>IF($A1353="","",INDEX('Logic &amp; Lists'!$I$4:$I$20,$E1353))</f>
        <v/>
      </c>
      <c r="G1353" s="18" t="str">
        <f>IF($A1353="","",INDEX('Logic &amp; Lists'!$J$4:$J$20,$E1353))</f>
        <v/>
      </c>
      <c r="H1353" s="6" t="str">
        <f t="shared" si="106"/>
        <v/>
      </c>
      <c r="I1353" s="18" t="str">
        <f t="shared" ca="1" si="107"/>
        <v/>
      </c>
      <c r="J1353" s="5" t="str">
        <f t="shared" si="108"/>
        <v/>
      </c>
      <c r="K1353" s="25"/>
      <c r="L1353" s="5" t="str">
        <f t="shared" si="109"/>
        <v/>
      </c>
      <c r="M1353" s="7"/>
      <c r="N1353" s="7"/>
      <c r="O1353" s="7"/>
      <c r="P1353" s="20" t="str">
        <f>IF($A1353="","",INDEX(Project_Tracker!$I$2:$I$101,INT((ROW()-6)/17)+1))</f>
        <v/>
      </c>
      <c r="Q1353" s="20" t="str">
        <f>IF($A1353="","",INDEX(Project_Tracker!$K$2:$K$101,INT((ROW()-6)/17)+1))</f>
        <v/>
      </c>
    </row>
    <row r="1354" spans="1:17" x14ac:dyDescent="0.2">
      <c r="A1354" s="20" t="str">
        <f>IF(INDEX(Project_Tracker!$AL$2:$AL$101,INT((ROW()-6)/17)+1)="","",INDEX(Project_Tracker!$AL$2:$AL$101,INT((ROW()-6)/17)+1))</f>
        <v/>
      </c>
      <c r="B1354" s="21" t="str">
        <f>IF($A1354="","",INDEX(Project_Tracker!$AM$2:$AM$101,INT((ROW()-6)/17)+1))</f>
        <v/>
      </c>
      <c r="C1354" s="20" t="str">
        <f>IF($A1354="","",INDEX(Project_Tracker!$C$2:$C$101,INT((ROW()-6)/17)+1))</f>
        <v/>
      </c>
      <c r="D1354" s="6" t="str">
        <f>IF($A1354="","",INDEX(Project_Tracker!$T$2:$T$101,INT((ROW()-6)/17)+1))</f>
        <v/>
      </c>
      <c r="E1354" s="18">
        <f t="shared" si="105"/>
        <v>6</v>
      </c>
      <c r="F1354" s="23" t="str">
        <f>IF($A1354="","",INDEX('Logic &amp; Lists'!$I$4:$I$20,$E1354))</f>
        <v/>
      </c>
      <c r="G1354" s="18" t="str">
        <f>IF($A1354="","",INDEX('Logic &amp; Lists'!$J$4:$J$20,$E1354))</f>
        <v/>
      </c>
      <c r="H1354" s="6" t="str">
        <f t="shared" si="106"/>
        <v/>
      </c>
      <c r="I1354" s="18" t="str">
        <f t="shared" ca="1" si="107"/>
        <v/>
      </c>
      <c r="J1354" s="5" t="str">
        <f t="shared" si="108"/>
        <v/>
      </c>
      <c r="K1354" s="25"/>
      <c r="L1354" s="5" t="str">
        <f t="shared" si="109"/>
        <v/>
      </c>
      <c r="M1354" s="7"/>
      <c r="N1354" s="7"/>
      <c r="O1354" s="7"/>
      <c r="P1354" s="20" t="str">
        <f>IF($A1354="","",INDEX(Project_Tracker!$I$2:$I$101,INT((ROW()-6)/17)+1))</f>
        <v/>
      </c>
      <c r="Q1354" s="20" t="str">
        <f>IF($A1354="","",INDEX(Project_Tracker!$K$2:$K$101,INT((ROW()-6)/17)+1))</f>
        <v/>
      </c>
    </row>
    <row r="1355" spans="1:17" x14ac:dyDescent="0.2">
      <c r="A1355" s="20" t="str">
        <f>IF(INDEX(Project_Tracker!$AL$2:$AL$101,INT((ROW()-6)/17)+1)="","",INDEX(Project_Tracker!$AL$2:$AL$101,INT((ROW()-6)/17)+1))</f>
        <v/>
      </c>
      <c r="B1355" s="21" t="str">
        <f>IF($A1355="","",INDEX(Project_Tracker!$AM$2:$AM$101,INT((ROW()-6)/17)+1))</f>
        <v/>
      </c>
      <c r="C1355" s="20" t="str">
        <f>IF($A1355="","",INDEX(Project_Tracker!$C$2:$C$101,INT((ROW()-6)/17)+1))</f>
        <v/>
      </c>
      <c r="D1355" s="6" t="str">
        <f>IF($A1355="","",INDEX(Project_Tracker!$T$2:$T$101,INT((ROW()-6)/17)+1))</f>
        <v/>
      </c>
      <c r="E1355" s="18">
        <f t="shared" si="105"/>
        <v>7</v>
      </c>
      <c r="F1355" s="23" t="str">
        <f>IF($A1355="","",INDEX('Logic &amp; Lists'!$I$4:$I$20,$E1355))</f>
        <v/>
      </c>
      <c r="G1355" s="18" t="str">
        <f>IF($A1355="","",INDEX('Logic &amp; Lists'!$J$4:$J$20,$E1355))</f>
        <v/>
      </c>
      <c r="H1355" s="6" t="str">
        <f t="shared" si="106"/>
        <v/>
      </c>
      <c r="I1355" s="18" t="str">
        <f t="shared" ca="1" si="107"/>
        <v/>
      </c>
      <c r="J1355" s="5" t="str">
        <f t="shared" si="108"/>
        <v/>
      </c>
      <c r="K1355" s="25"/>
      <c r="L1355" s="5" t="str">
        <f t="shared" si="109"/>
        <v/>
      </c>
      <c r="M1355" s="7"/>
      <c r="N1355" s="7"/>
      <c r="O1355" s="7"/>
      <c r="P1355" s="20" t="str">
        <f>IF($A1355="","",INDEX(Project_Tracker!$I$2:$I$101,INT((ROW()-6)/17)+1))</f>
        <v/>
      </c>
      <c r="Q1355" s="20" t="str">
        <f>IF($A1355="","",INDEX(Project_Tracker!$K$2:$K$101,INT((ROW()-6)/17)+1))</f>
        <v/>
      </c>
    </row>
    <row r="1356" spans="1:17" x14ac:dyDescent="0.2">
      <c r="A1356" s="20" t="str">
        <f>IF(INDEX(Project_Tracker!$AL$2:$AL$101,INT((ROW()-6)/17)+1)="","",INDEX(Project_Tracker!$AL$2:$AL$101,INT((ROW()-6)/17)+1))</f>
        <v/>
      </c>
      <c r="B1356" s="21" t="str">
        <f>IF($A1356="","",INDEX(Project_Tracker!$AM$2:$AM$101,INT((ROW()-6)/17)+1))</f>
        <v/>
      </c>
      <c r="C1356" s="20" t="str">
        <f>IF($A1356="","",INDEX(Project_Tracker!$C$2:$C$101,INT((ROW()-6)/17)+1))</f>
        <v/>
      </c>
      <c r="D1356" s="6" t="str">
        <f>IF($A1356="","",INDEX(Project_Tracker!$T$2:$T$101,INT((ROW()-6)/17)+1))</f>
        <v/>
      </c>
      <c r="E1356" s="18">
        <f t="shared" si="105"/>
        <v>8</v>
      </c>
      <c r="F1356" s="23" t="str">
        <f>IF($A1356="","",INDEX('Logic &amp; Lists'!$I$4:$I$20,$E1356))</f>
        <v/>
      </c>
      <c r="G1356" s="18" t="str">
        <f>IF($A1356="","",INDEX('Logic &amp; Lists'!$J$4:$J$20,$E1356))</f>
        <v/>
      </c>
      <c r="H1356" s="6" t="str">
        <f t="shared" si="106"/>
        <v/>
      </c>
      <c r="I1356" s="18" t="str">
        <f t="shared" ca="1" si="107"/>
        <v/>
      </c>
      <c r="J1356" s="5" t="str">
        <f t="shared" si="108"/>
        <v/>
      </c>
      <c r="K1356" s="25"/>
      <c r="L1356" s="5" t="str">
        <f t="shared" si="109"/>
        <v/>
      </c>
      <c r="M1356" s="7"/>
      <c r="N1356" s="7"/>
      <c r="O1356" s="7"/>
      <c r="P1356" s="20" t="str">
        <f>IF($A1356="","",INDEX(Project_Tracker!$I$2:$I$101,INT((ROW()-6)/17)+1))</f>
        <v/>
      </c>
      <c r="Q1356" s="20" t="str">
        <f>IF($A1356="","",INDEX(Project_Tracker!$K$2:$K$101,INT((ROW()-6)/17)+1))</f>
        <v/>
      </c>
    </row>
    <row r="1357" spans="1:17" x14ac:dyDescent="0.2">
      <c r="A1357" s="20" t="str">
        <f>IF(INDEX(Project_Tracker!$AL$2:$AL$101,INT((ROW()-6)/17)+1)="","",INDEX(Project_Tracker!$AL$2:$AL$101,INT((ROW()-6)/17)+1))</f>
        <v/>
      </c>
      <c r="B1357" s="21" t="str">
        <f>IF($A1357="","",INDEX(Project_Tracker!$AM$2:$AM$101,INT((ROW()-6)/17)+1))</f>
        <v/>
      </c>
      <c r="C1357" s="20" t="str">
        <f>IF($A1357="","",INDEX(Project_Tracker!$C$2:$C$101,INT((ROW()-6)/17)+1))</f>
        <v/>
      </c>
      <c r="D1357" s="6" t="str">
        <f>IF($A1357="","",INDEX(Project_Tracker!$T$2:$T$101,INT((ROW()-6)/17)+1))</f>
        <v/>
      </c>
      <c r="E1357" s="18">
        <f t="shared" si="105"/>
        <v>9</v>
      </c>
      <c r="F1357" s="23" t="str">
        <f>IF($A1357="","",INDEX('Logic &amp; Lists'!$I$4:$I$20,$E1357))</f>
        <v/>
      </c>
      <c r="G1357" s="18" t="str">
        <f>IF($A1357="","",INDEX('Logic &amp; Lists'!$J$4:$J$20,$E1357))</f>
        <v/>
      </c>
      <c r="H1357" s="6" t="str">
        <f t="shared" si="106"/>
        <v/>
      </c>
      <c r="I1357" s="18" t="str">
        <f t="shared" ca="1" si="107"/>
        <v/>
      </c>
      <c r="J1357" s="5" t="str">
        <f t="shared" si="108"/>
        <v/>
      </c>
      <c r="K1357" s="25"/>
      <c r="L1357" s="5" t="str">
        <f t="shared" si="109"/>
        <v/>
      </c>
      <c r="M1357" s="7"/>
      <c r="N1357" s="7"/>
      <c r="O1357" s="7"/>
      <c r="P1357" s="20" t="str">
        <f>IF($A1357="","",INDEX(Project_Tracker!$I$2:$I$101,INT((ROW()-6)/17)+1))</f>
        <v/>
      </c>
      <c r="Q1357" s="20" t="str">
        <f>IF($A1357="","",INDEX(Project_Tracker!$K$2:$K$101,INT((ROW()-6)/17)+1))</f>
        <v/>
      </c>
    </row>
    <row r="1358" spans="1:17" x14ac:dyDescent="0.2">
      <c r="A1358" s="20" t="str">
        <f>IF(INDEX(Project_Tracker!$AL$2:$AL$101,INT((ROW()-6)/17)+1)="","",INDEX(Project_Tracker!$AL$2:$AL$101,INT((ROW()-6)/17)+1))</f>
        <v/>
      </c>
      <c r="B1358" s="21" t="str">
        <f>IF($A1358="","",INDEX(Project_Tracker!$AM$2:$AM$101,INT((ROW()-6)/17)+1))</f>
        <v/>
      </c>
      <c r="C1358" s="20" t="str">
        <f>IF($A1358="","",INDEX(Project_Tracker!$C$2:$C$101,INT((ROW()-6)/17)+1))</f>
        <v/>
      </c>
      <c r="D1358" s="6" t="str">
        <f>IF($A1358="","",INDEX(Project_Tracker!$T$2:$T$101,INT((ROW()-6)/17)+1))</f>
        <v/>
      </c>
      <c r="E1358" s="18">
        <f t="shared" si="105"/>
        <v>10</v>
      </c>
      <c r="F1358" s="23" t="str">
        <f>IF($A1358="","",INDEX('Logic &amp; Lists'!$I$4:$I$20,$E1358))</f>
        <v/>
      </c>
      <c r="G1358" s="18" t="str">
        <f>IF($A1358="","",INDEX('Logic &amp; Lists'!$J$4:$J$20,$E1358))</f>
        <v/>
      </c>
      <c r="H1358" s="6" t="str">
        <f t="shared" si="106"/>
        <v/>
      </c>
      <c r="I1358" s="18" t="str">
        <f t="shared" ca="1" si="107"/>
        <v/>
      </c>
      <c r="J1358" s="5" t="str">
        <f t="shared" si="108"/>
        <v/>
      </c>
      <c r="K1358" s="25"/>
      <c r="L1358" s="5" t="str">
        <f t="shared" si="109"/>
        <v/>
      </c>
      <c r="M1358" s="7"/>
      <c r="N1358" s="7"/>
      <c r="O1358" s="7"/>
      <c r="P1358" s="20" t="str">
        <f>IF($A1358="","",INDEX(Project_Tracker!$I$2:$I$101,INT((ROW()-6)/17)+1))</f>
        <v/>
      </c>
      <c r="Q1358" s="20" t="str">
        <f>IF($A1358="","",INDEX(Project_Tracker!$K$2:$K$101,INT((ROW()-6)/17)+1))</f>
        <v/>
      </c>
    </row>
    <row r="1359" spans="1:17" x14ac:dyDescent="0.2">
      <c r="A1359" s="20" t="str">
        <f>IF(INDEX(Project_Tracker!$AL$2:$AL$101,INT((ROW()-6)/17)+1)="","",INDEX(Project_Tracker!$AL$2:$AL$101,INT((ROW()-6)/17)+1))</f>
        <v/>
      </c>
      <c r="B1359" s="21" t="str">
        <f>IF($A1359="","",INDEX(Project_Tracker!$AM$2:$AM$101,INT((ROW()-6)/17)+1))</f>
        <v/>
      </c>
      <c r="C1359" s="20" t="str">
        <f>IF($A1359="","",INDEX(Project_Tracker!$C$2:$C$101,INT((ROW()-6)/17)+1))</f>
        <v/>
      </c>
      <c r="D1359" s="6" t="str">
        <f>IF($A1359="","",INDEX(Project_Tracker!$T$2:$T$101,INT((ROW()-6)/17)+1))</f>
        <v/>
      </c>
      <c r="E1359" s="18">
        <f t="shared" si="105"/>
        <v>11</v>
      </c>
      <c r="F1359" s="23" t="str">
        <f>IF($A1359="","",INDEX('Logic &amp; Lists'!$I$4:$I$20,$E1359))</f>
        <v/>
      </c>
      <c r="G1359" s="18" t="str">
        <f>IF($A1359="","",INDEX('Logic &amp; Lists'!$J$4:$J$20,$E1359))</f>
        <v/>
      </c>
      <c r="H1359" s="6" t="str">
        <f t="shared" si="106"/>
        <v/>
      </c>
      <c r="I1359" s="18" t="str">
        <f t="shared" ca="1" si="107"/>
        <v/>
      </c>
      <c r="J1359" s="5" t="str">
        <f t="shared" si="108"/>
        <v/>
      </c>
      <c r="K1359" s="25"/>
      <c r="L1359" s="5" t="str">
        <f t="shared" si="109"/>
        <v/>
      </c>
      <c r="M1359" s="7"/>
      <c r="N1359" s="7"/>
      <c r="O1359" s="7"/>
      <c r="P1359" s="20" t="str">
        <f>IF($A1359="","",INDEX(Project_Tracker!$I$2:$I$101,INT((ROW()-6)/17)+1))</f>
        <v/>
      </c>
      <c r="Q1359" s="20" t="str">
        <f>IF($A1359="","",INDEX(Project_Tracker!$K$2:$K$101,INT((ROW()-6)/17)+1))</f>
        <v/>
      </c>
    </row>
    <row r="1360" spans="1:17" x14ac:dyDescent="0.2">
      <c r="A1360" s="20" t="str">
        <f>IF(INDEX(Project_Tracker!$AL$2:$AL$101,INT((ROW()-6)/17)+1)="","",INDEX(Project_Tracker!$AL$2:$AL$101,INT((ROW()-6)/17)+1))</f>
        <v/>
      </c>
      <c r="B1360" s="21" t="str">
        <f>IF($A1360="","",INDEX(Project_Tracker!$AM$2:$AM$101,INT((ROW()-6)/17)+1))</f>
        <v/>
      </c>
      <c r="C1360" s="20" t="str">
        <f>IF($A1360="","",INDEX(Project_Tracker!$C$2:$C$101,INT((ROW()-6)/17)+1))</f>
        <v/>
      </c>
      <c r="D1360" s="6" t="str">
        <f>IF($A1360="","",INDEX(Project_Tracker!$T$2:$T$101,INT((ROW()-6)/17)+1))</f>
        <v/>
      </c>
      <c r="E1360" s="18">
        <f t="shared" si="105"/>
        <v>12</v>
      </c>
      <c r="F1360" s="23" t="str">
        <f>IF($A1360="","",INDEX('Logic &amp; Lists'!$I$4:$I$20,$E1360))</f>
        <v/>
      </c>
      <c r="G1360" s="18" t="str">
        <f>IF($A1360="","",INDEX('Logic &amp; Lists'!$J$4:$J$20,$E1360))</f>
        <v/>
      </c>
      <c r="H1360" s="6" t="str">
        <f t="shared" si="106"/>
        <v/>
      </c>
      <c r="I1360" s="18" t="str">
        <f t="shared" ca="1" si="107"/>
        <v/>
      </c>
      <c r="J1360" s="5" t="str">
        <f t="shared" si="108"/>
        <v/>
      </c>
      <c r="K1360" s="25"/>
      <c r="L1360" s="5" t="str">
        <f t="shared" si="109"/>
        <v/>
      </c>
      <c r="M1360" s="7"/>
      <c r="N1360" s="7"/>
      <c r="O1360" s="7"/>
      <c r="P1360" s="20" t="str">
        <f>IF($A1360="","",INDEX(Project_Tracker!$I$2:$I$101,INT((ROW()-6)/17)+1))</f>
        <v/>
      </c>
      <c r="Q1360" s="20" t="str">
        <f>IF($A1360="","",INDEX(Project_Tracker!$K$2:$K$101,INT((ROW()-6)/17)+1))</f>
        <v/>
      </c>
    </row>
    <row r="1361" spans="1:17" x14ac:dyDescent="0.2">
      <c r="A1361" s="20" t="str">
        <f>IF(INDEX(Project_Tracker!$AL$2:$AL$101,INT((ROW()-6)/17)+1)="","",INDEX(Project_Tracker!$AL$2:$AL$101,INT((ROW()-6)/17)+1))</f>
        <v/>
      </c>
      <c r="B1361" s="21" t="str">
        <f>IF($A1361="","",INDEX(Project_Tracker!$AM$2:$AM$101,INT((ROW()-6)/17)+1))</f>
        <v/>
      </c>
      <c r="C1361" s="20" t="str">
        <f>IF($A1361="","",INDEX(Project_Tracker!$C$2:$C$101,INT((ROW()-6)/17)+1))</f>
        <v/>
      </c>
      <c r="D1361" s="6" t="str">
        <f>IF($A1361="","",INDEX(Project_Tracker!$T$2:$T$101,INT((ROW()-6)/17)+1))</f>
        <v/>
      </c>
      <c r="E1361" s="18">
        <f t="shared" si="105"/>
        <v>13</v>
      </c>
      <c r="F1361" s="23" t="str">
        <f>IF($A1361="","",INDEX('Logic &amp; Lists'!$I$4:$I$20,$E1361))</f>
        <v/>
      </c>
      <c r="G1361" s="18" t="str">
        <f>IF($A1361="","",INDEX('Logic &amp; Lists'!$J$4:$J$20,$E1361))</f>
        <v/>
      </c>
      <c r="H1361" s="6" t="str">
        <f t="shared" si="106"/>
        <v/>
      </c>
      <c r="I1361" s="18" t="str">
        <f t="shared" ca="1" si="107"/>
        <v/>
      </c>
      <c r="J1361" s="5" t="str">
        <f t="shared" si="108"/>
        <v/>
      </c>
      <c r="K1361" s="25"/>
      <c r="L1361" s="5" t="str">
        <f t="shared" si="109"/>
        <v/>
      </c>
      <c r="M1361" s="7"/>
      <c r="N1361" s="7"/>
      <c r="O1361" s="7"/>
      <c r="P1361" s="20" t="str">
        <f>IF($A1361="","",INDEX(Project_Tracker!$I$2:$I$101,INT((ROW()-6)/17)+1))</f>
        <v/>
      </c>
      <c r="Q1361" s="20" t="str">
        <f>IF($A1361="","",INDEX(Project_Tracker!$K$2:$K$101,INT((ROW()-6)/17)+1))</f>
        <v/>
      </c>
    </row>
    <row r="1362" spans="1:17" x14ac:dyDescent="0.2">
      <c r="A1362" s="20" t="str">
        <f>IF(INDEX(Project_Tracker!$AL$2:$AL$101,INT((ROW()-6)/17)+1)="","",INDEX(Project_Tracker!$AL$2:$AL$101,INT((ROW()-6)/17)+1))</f>
        <v/>
      </c>
      <c r="B1362" s="21" t="str">
        <f>IF($A1362="","",INDEX(Project_Tracker!$AM$2:$AM$101,INT((ROW()-6)/17)+1))</f>
        <v/>
      </c>
      <c r="C1362" s="20" t="str">
        <f>IF($A1362="","",INDEX(Project_Tracker!$C$2:$C$101,INT((ROW()-6)/17)+1))</f>
        <v/>
      </c>
      <c r="D1362" s="6" t="str">
        <f>IF($A1362="","",INDEX(Project_Tracker!$T$2:$T$101,INT((ROW()-6)/17)+1))</f>
        <v/>
      </c>
      <c r="E1362" s="18">
        <f t="shared" si="105"/>
        <v>14</v>
      </c>
      <c r="F1362" s="23" t="str">
        <f>IF($A1362="","",INDEX('Logic &amp; Lists'!$I$4:$I$20,$E1362))</f>
        <v/>
      </c>
      <c r="G1362" s="18" t="str">
        <f>IF($A1362="","",INDEX('Logic &amp; Lists'!$J$4:$J$20,$E1362))</f>
        <v/>
      </c>
      <c r="H1362" s="6" t="str">
        <f t="shared" si="106"/>
        <v/>
      </c>
      <c r="I1362" s="18" t="str">
        <f t="shared" ca="1" si="107"/>
        <v/>
      </c>
      <c r="J1362" s="5" t="str">
        <f t="shared" si="108"/>
        <v/>
      </c>
      <c r="K1362" s="25"/>
      <c r="L1362" s="5" t="str">
        <f t="shared" si="109"/>
        <v/>
      </c>
      <c r="M1362" s="7"/>
      <c r="N1362" s="7"/>
      <c r="O1362" s="7"/>
      <c r="P1362" s="20" t="str">
        <f>IF($A1362="","",INDEX(Project_Tracker!$I$2:$I$101,INT((ROW()-6)/17)+1))</f>
        <v/>
      </c>
      <c r="Q1362" s="20" t="str">
        <f>IF($A1362="","",INDEX(Project_Tracker!$K$2:$K$101,INT((ROW()-6)/17)+1))</f>
        <v/>
      </c>
    </row>
    <row r="1363" spans="1:17" x14ac:dyDescent="0.2">
      <c r="A1363" s="20" t="str">
        <f>IF(INDEX(Project_Tracker!$AL$2:$AL$101,INT((ROW()-6)/17)+1)="","",INDEX(Project_Tracker!$AL$2:$AL$101,INT((ROW()-6)/17)+1))</f>
        <v/>
      </c>
      <c r="B1363" s="21" t="str">
        <f>IF($A1363="","",INDEX(Project_Tracker!$AM$2:$AM$101,INT((ROW()-6)/17)+1))</f>
        <v/>
      </c>
      <c r="C1363" s="20" t="str">
        <f>IF($A1363="","",INDEX(Project_Tracker!$C$2:$C$101,INT((ROW()-6)/17)+1))</f>
        <v/>
      </c>
      <c r="D1363" s="6" t="str">
        <f>IF($A1363="","",INDEX(Project_Tracker!$T$2:$T$101,INT((ROW()-6)/17)+1))</f>
        <v/>
      </c>
      <c r="E1363" s="18">
        <f t="shared" si="105"/>
        <v>15</v>
      </c>
      <c r="F1363" s="23" t="str">
        <f>IF($A1363="","",INDEX('Logic &amp; Lists'!$I$4:$I$20,$E1363))</f>
        <v/>
      </c>
      <c r="G1363" s="18" t="str">
        <f>IF($A1363="","",INDEX('Logic &amp; Lists'!$J$4:$J$20,$E1363))</f>
        <v/>
      </c>
      <c r="H1363" s="6" t="str">
        <f t="shared" si="106"/>
        <v/>
      </c>
      <c r="I1363" s="18" t="str">
        <f t="shared" ca="1" si="107"/>
        <v/>
      </c>
      <c r="J1363" s="5" t="str">
        <f t="shared" si="108"/>
        <v/>
      </c>
      <c r="K1363" s="25"/>
      <c r="L1363" s="5" t="str">
        <f t="shared" si="109"/>
        <v/>
      </c>
      <c r="M1363" s="7"/>
      <c r="N1363" s="7"/>
      <c r="O1363" s="7"/>
      <c r="P1363" s="20" t="str">
        <f>IF($A1363="","",INDEX(Project_Tracker!$I$2:$I$101,INT((ROW()-6)/17)+1))</f>
        <v/>
      </c>
      <c r="Q1363" s="20" t="str">
        <f>IF($A1363="","",INDEX(Project_Tracker!$K$2:$K$101,INT((ROW()-6)/17)+1))</f>
        <v/>
      </c>
    </row>
    <row r="1364" spans="1:17" x14ac:dyDescent="0.2">
      <c r="A1364" s="20" t="str">
        <f>IF(INDEX(Project_Tracker!$AL$2:$AL$101,INT((ROW()-6)/17)+1)="","",INDEX(Project_Tracker!$AL$2:$AL$101,INT((ROW()-6)/17)+1))</f>
        <v/>
      </c>
      <c r="B1364" s="21" t="str">
        <f>IF($A1364="","",INDEX(Project_Tracker!$AM$2:$AM$101,INT((ROW()-6)/17)+1))</f>
        <v/>
      </c>
      <c r="C1364" s="20" t="str">
        <f>IF($A1364="","",INDEX(Project_Tracker!$C$2:$C$101,INT((ROW()-6)/17)+1))</f>
        <v/>
      </c>
      <c r="D1364" s="6" t="str">
        <f>IF($A1364="","",INDEX(Project_Tracker!$T$2:$T$101,INT((ROW()-6)/17)+1))</f>
        <v/>
      </c>
      <c r="E1364" s="18">
        <f t="shared" si="105"/>
        <v>16</v>
      </c>
      <c r="F1364" s="23" t="str">
        <f>IF($A1364="","",INDEX('Logic &amp; Lists'!$I$4:$I$20,$E1364))</f>
        <v/>
      </c>
      <c r="G1364" s="18" t="str">
        <f>IF($A1364="","",INDEX('Logic &amp; Lists'!$J$4:$J$20,$E1364))</f>
        <v/>
      </c>
      <c r="H1364" s="6" t="str">
        <f t="shared" si="106"/>
        <v/>
      </c>
      <c r="I1364" s="18" t="str">
        <f t="shared" ca="1" si="107"/>
        <v/>
      </c>
      <c r="J1364" s="5" t="str">
        <f t="shared" si="108"/>
        <v/>
      </c>
      <c r="K1364" s="25"/>
      <c r="L1364" s="5" t="str">
        <f t="shared" si="109"/>
        <v/>
      </c>
      <c r="M1364" s="7"/>
      <c r="N1364" s="7"/>
      <c r="O1364" s="7"/>
      <c r="P1364" s="20" t="str">
        <f>IF($A1364="","",INDEX(Project_Tracker!$I$2:$I$101,INT((ROW()-6)/17)+1))</f>
        <v/>
      </c>
      <c r="Q1364" s="20" t="str">
        <f>IF($A1364="","",INDEX(Project_Tracker!$K$2:$K$101,INT((ROW()-6)/17)+1))</f>
        <v/>
      </c>
    </row>
    <row r="1365" spans="1:17" x14ac:dyDescent="0.2">
      <c r="A1365" s="20" t="str">
        <f>IF(INDEX(Project_Tracker!$AL$2:$AL$101,INT((ROW()-6)/17)+1)="","",INDEX(Project_Tracker!$AL$2:$AL$101,INT((ROW()-6)/17)+1))</f>
        <v/>
      </c>
      <c r="B1365" s="21" t="str">
        <f>IF($A1365="","",INDEX(Project_Tracker!$AM$2:$AM$101,INT((ROW()-6)/17)+1))</f>
        <v/>
      </c>
      <c r="C1365" s="20" t="str">
        <f>IF($A1365="","",INDEX(Project_Tracker!$C$2:$C$101,INT((ROW()-6)/17)+1))</f>
        <v/>
      </c>
      <c r="D1365" s="6" t="str">
        <f>IF($A1365="","",INDEX(Project_Tracker!$T$2:$T$101,INT((ROW()-6)/17)+1))</f>
        <v/>
      </c>
      <c r="E1365" s="18">
        <f t="shared" si="105"/>
        <v>17</v>
      </c>
      <c r="F1365" s="23" t="str">
        <f>IF($A1365="","",INDEX('Logic &amp; Lists'!$I$4:$I$20,$E1365))</f>
        <v/>
      </c>
      <c r="G1365" s="18" t="str">
        <f>IF($A1365="","",INDEX('Logic &amp; Lists'!$J$4:$J$20,$E1365))</f>
        <v/>
      </c>
      <c r="H1365" s="6" t="str">
        <f t="shared" si="106"/>
        <v/>
      </c>
      <c r="I1365" s="18" t="str">
        <f t="shared" ca="1" si="107"/>
        <v/>
      </c>
      <c r="J1365" s="5" t="str">
        <f t="shared" si="108"/>
        <v/>
      </c>
      <c r="K1365" s="25"/>
      <c r="L1365" s="5" t="str">
        <f t="shared" si="109"/>
        <v/>
      </c>
      <c r="M1365" s="7"/>
      <c r="N1365" s="7"/>
      <c r="O1365" s="7"/>
      <c r="P1365" s="20" t="str">
        <f>IF($A1365="","",INDEX(Project_Tracker!$I$2:$I$101,INT((ROW()-6)/17)+1))</f>
        <v/>
      </c>
      <c r="Q1365" s="20" t="str">
        <f>IF($A1365="","",INDEX(Project_Tracker!$K$2:$K$101,INT((ROW()-6)/17)+1))</f>
        <v/>
      </c>
    </row>
    <row r="1366" spans="1:17" x14ac:dyDescent="0.2">
      <c r="A1366" s="20" t="str">
        <f>IF(INDEX(Project_Tracker!$AL$2:$AL$101,INT((ROW()-6)/17)+1)="","",INDEX(Project_Tracker!$AL$2:$AL$101,INT((ROW()-6)/17)+1))</f>
        <v/>
      </c>
      <c r="B1366" s="21" t="str">
        <f>IF($A1366="","",INDEX(Project_Tracker!$AM$2:$AM$101,INT((ROW()-6)/17)+1))</f>
        <v/>
      </c>
      <c r="C1366" s="20" t="str">
        <f>IF($A1366="","",INDEX(Project_Tracker!$C$2:$C$101,INT((ROW()-6)/17)+1))</f>
        <v/>
      </c>
      <c r="D1366" s="6" t="str">
        <f>IF($A1366="","",INDEX(Project_Tracker!$T$2:$T$101,INT((ROW()-6)/17)+1))</f>
        <v/>
      </c>
      <c r="E1366" s="18">
        <f t="shared" si="105"/>
        <v>1</v>
      </c>
      <c r="F1366" s="23" t="str">
        <f>IF($A1366="","",INDEX('Logic &amp; Lists'!$I$4:$I$20,$E1366))</f>
        <v/>
      </c>
      <c r="G1366" s="18" t="str">
        <f>IF($A1366="","",INDEX('Logic &amp; Lists'!$J$4:$J$20,$E1366))</f>
        <v/>
      </c>
      <c r="H1366" s="6" t="str">
        <f t="shared" si="106"/>
        <v/>
      </c>
      <c r="I1366" s="18" t="str">
        <f t="shared" ca="1" si="107"/>
        <v/>
      </c>
      <c r="J1366" s="5" t="str">
        <f t="shared" si="108"/>
        <v/>
      </c>
      <c r="K1366" s="25"/>
      <c r="L1366" s="5" t="str">
        <f t="shared" si="109"/>
        <v/>
      </c>
      <c r="M1366" s="7"/>
      <c r="N1366" s="7"/>
      <c r="O1366" s="7"/>
      <c r="P1366" s="20" t="str">
        <f>IF($A1366="","",INDEX(Project_Tracker!$I$2:$I$101,INT((ROW()-6)/17)+1))</f>
        <v/>
      </c>
      <c r="Q1366" s="20" t="str">
        <f>IF($A1366="","",INDEX(Project_Tracker!$K$2:$K$101,INT((ROW()-6)/17)+1))</f>
        <v/>
      </c>
    </row>
    <row r="1367" spans="1:17" x14ac:dyDescent="0.2">
      <c r="A1367" s="20" t="str">
        <f>IF(INDEX(Project_Tracker!$AL$2:$AL$101,INT((ROW()-6)/17)+1)="","",INDEX(Project_Tracker!$AL$2:$AL$101,INT((ROW()-6)/17)+1))</f>
        <v/>
      </c>
      <c r="B1367" s="21" t="str">
        <f>IF($A1367="","",INDEX(Project_Tracker!$AM$2:$AM$101,INT((ROW()-6)/17)+1))</f>
        <v/>
      </c>
      <c r="C1367" s="20" t="str">
        <f>IF($A1367="","",INDEX(Project_Tracker!$C$2:$C$101,INT((ROW()-6)/17)+1))</f>
        <v/>
      </c>
      <c r="D1367" s="6" t="str">
        <f>IF($A1367="","",INDEX(Project_Tracker!$T$2:$T$101,INT((ROW()-6)/17)+1))</f>
        <v/>
      </c>
      <c r="E1367" s="18">
        <f t="shared" si="105"/>
        <v>2</v>
      </c>
      <c r="F1367" s="23" t="str">
        <f>IF($A1367="","",INDEX('Logic &amp; Lists'!$I$4:$I$20,$E1367))</f>
        <v/>
      </c>
      <c r="G1367" s="18" t="str">
        <f>IF($A1367="","",INDEX('Logic &amp; Lists'!$J$4:$J$20,$E1367))</f>
        <v/>
      </c>
      <c r="H1367" s="6" t="str">
        <f t="shared" si="106"/>
        <v/>
      </c>
      <c r="I1367" s="18" t="str">
        <f t="shared" ca="1" si="107"/>
        <v/>
      </c>
      <c r="J1367" s="5" t="str">
        <f t="shared" si="108"/>
        <v/>
      </c>
      <c r="K1367" s="25"/>
      <c r="L1367" s="5" t="str">
        <f t="shared" si="109"/>
        <v/>
      </c>
      <c r="M1367" s="7"/>
      <c r="N1367" s="7"/>
      <c r="O1367" s="7"/>
      <c r="P1367" s="20" t="str">
        <f>IF($A1367="","",INDEX(Project_Tracker!$I$2:$I$101,INT((ROW()-6)/17)+1))</f>
        <v/>
      </c>
      <c r="Q1367" s="20" t="str">
        <f>IF($A1367="","",INDEX(Project_Tracker!$K$2:$K$101,INT((ROW()-6)/17)+1))</f>
        <v/>
      </c>
    </row>
    <row r="1368" spans="1:17" x14ac:dyDescent="0.2">
      <c r="A1368" s="20" t="str">
        <f>IF(INDEX(Project_Tracker!$AL$2:$AL$101,INT((ROW()-6)/17)+1)="","",INDEX(Project_Tracker!$AL$2:$AL$101,INT((ROW()-6)/17)+1))</f>
        <v/>
      </c>
      <c r="B1368" s="21" t="str">
        <f>IF($A1368="","",INDEX(Project_Tracker!$AM$2:$AM$101,INT((ROW()-6)/17)+1))</f>
        <v/>
      </c>
      <c r="C1368" s="20" t="str">
        <f>IF($A1368="","",INDEX(Project_Tracker!$C$2:$C$101,INT((ROW()-6)/17)+1))</f>
        <v/>
      </c>
      <c r="D1368" s="6" t="str">
        <f>IF($A1368="","",INDEX(Project_Tracker!$T$2:$T$101,INT((ROW()-6)/17)+1))</f>
        <v/>
      </c>
      <c r="E1368" s="18">
        <f t="shared" si="105"/>
        <v>3</v>
      </c>
      <c r="F1368" s="23" t="str">
        <f>IF($A1368="","",INDEX('Logic &amp; Lists'!$I$4:$I$20,$E1368))</f>
        <v/>
      </c>
      <c r="G1368" s="18" t="str">
        <f>IF($A1368="","",INDEX('Logic &amp; Lists'!$J$4:$J$20,$E1368))</f>
        <v/>
      </c>
      <c r="H1368" s="6" t="str">
        <f t="shared" si="106"/>
        <v/>
      </c>
      <c r="I1368" s="18" t="str">
        <f t="shared" ca="1" si="107"/>
        <v/>
      </c>
      <c r="J1368" s="5" t="str">
        <f t="shared" si="108"/>
        <v/>
      </c>
      <c r="K1368" s="25"/>
      <c r="L1368" s="5" t="str">
        <f t="shared" si="109"/>
        <v/>
      </c>
      <c r="M1368" s="7"/>
      <c r="N1368" s="7"/>
      <c r="O1368" s="7"/>
      <c r="P1368" s="20" t="str">
        <f>IF($A1368="","",INDEX(Project_Tracker!$I$2:$I$101,INT((ROW()-6)/17)+1))</f>
        <v/>
      </c>
      <c r="Q1368" s="20" t="str">
        <f>IF($A1368="","",INDEX(Project_Tracker!$K$2:$K$101,INT((ROW()-6)/17)+1))</f>
        <v/>
      </c>
    </row>
    <row r="1369" spans="1:17" x14ac:dyDescent="0.2">
      <c r="A1369" s="20" t="str">
        <f>IF(INDEX(Project_Tracker!$AL$2:$AL$101,INT((ROW()-6)/17)+1)="","",INDEX(Project_Tracker!$AL$2:$AL$101,INT((ROW()-6)/17)+1))</f>
        <v/>
      </c>
      <c r="B1369" s="21" t="str">
        <f>IF($A1369="","",INDEX(Project_Tracker!$AM$2:$AM$101,INT((ROW()-6)/17)+1))</f>
        <v/>
      </c>
      <c r="C1369" s="20" t="str">
        <f>IF($A1369="","",INDEX(Project_Tracker!$C$2:$C$101,INT((ROW()-6)/17)+1))</f>
        <v/>
      </c>
      <c r="D1369" s="6" t="str">
        <f>IF($A1369="","",INDEX(Project_Tracker!$T$2:$T$101,INT((ROW()-6)/17)+1))</f>
        <v/>
      </c>
      <c r="E1369" s="18">
        <f t="shared" si="105"/>
        <v>4</v>
      </c>
      <c r="F1369" s="23" t="str">
        <f>IF($A1369="","",INDEX('Logic &amp; Lists'!$I$4:$I$20,$E1369))</f>
        <v/>
      </c>
      <c r="G1369" s="18" t="str">
        <f>IF($A1369="","",INDEX('Logic &amp; Lists'!$J$4:$J$20,$E1369))</f>
        <v/>
      </c>
      <c r="H1369" s="6" t="str">
        <f t="shared" si="106"/>
        <v/>
      </c>
      <c r="I1369" s="18" t="str">
        <f t="shared" ca="1" si="107"/>
        <v/>
      </c>
      <c r="J1369" s="5" t="str">
        <f t="shared" si="108"/>
        <v/>
      </c>
      <c r="K1369" s="25"/>
      <c r="L1369" s="5" t="str">
        <f t="shared" si="109"/>
        <v/>
      </c>
      <c r="M1369" s="7"/>
      <c r="N1369" s="7"/>
      <c r="O1369" s="7"/>
      <c r="P1369" s="20" t="str">
        <f>IF($A1369="","",INDEX(Project_Tracker!$I$2:$I$101,INT((ROW()-6)/17)+1))</f>
        <v/>
      </c>
      <c r="Q1369" s="20" t="str">
        <f>IF($A1369="","",INDEX(Project_Tracker!$K$2:$K$101,INT((ROW()-6)/17)+1))</f>
        <v/>
      </c>
    </row>
    <row r="1370" spans="1:17" x14ac:dyDescent="0.2">
      <c r="A1370" s="20" t="str">
        <f>IF(INDEX(Project_Tracker!$AL$2:$AL$101,INT((ROW()-6)/17)+1)="","",INDEX(Project_Tracker!$AL$2:$AL$101,INT((ROW()-6)/17)+1))</f>
        <v/>
      </c>
      <c r="B1370" s="21" t="str">
        <f>IF($A1370="","",INDEX(Project_Tracker!$AM$2:$AM$101,INT((ROW()-6)/17)+1))</f>
        <v/>
      </c>
      <c r="C1370" s="20" t="str">
        <f>IF($A1370="","",INDEX(Project_Tracker!$C$2:$C$101,INT((ROW()-6)/17)+1))</f>
        <v/>
      </c>
      <c r="D1370" s="6" t="str">
        <f>IF($A1370="","",INDEX(Project_Tracker!$T$2:$T$101,INT((ROW()-6)/17)+1))</f>
        <v/>
      </c>
      <c r="E1370" s="18">
        <f t="shared" si="105"/>
        <v>5</v>
      </c>
      <c r="F1370" s="23" t="str">
        <f>IF($A1370="","",INDEX('Logic &amp; Lists'!$I$4:$I$20,$E1370))</f>
        <v/>
      </c>
      <c r="G1370" s="18" t="str">
        <f>IF($A1370="","",INDEX('Logic &amp; Lists'!$J$4:$J$20,$E1370))</f>
        <v/>
      </c>
      <c r="H1370" s="6" t="str">
        <f t="shared" si="106"/>
        <v/>
      </c>
      <c r="I1370" s="18" t="str">
        <f t="shared" ca="1" si="107"/>
        <v/>
      </c>
      <c r="J1370" s="5" t="str">
        <f t="shared" si="108"/>
        <v/>
      </c>
      <c r="K1370" s="25"/>
      <c r="L1370" s="5" t="str">
        <f t="shared" si="109"/>
        <v/>
      </c>
      <c r="M1370" s="7"/>
      <c r="N1370" s="7"/>
      <c r="O1370" s="7"/>
      <c r="P1370" s="20" t="str">
        <f>IF($A1370="","",INDEX(Project_Tracker!$I$2:$I$101,INT((ROW()-6)/17)+1))</f>
        <v/>
      </c>
      <c r="Q1370" s="20" t="str">
        <f>IF($A1370="","",INDEX(Project_Tracker!$K$2:$K$101,INT((ROW()-6)/17)+1))</f>
        <v/>
      </c>
    </row>
    <row r="1371" spans="1:17" x14ac:dyDescent="0.2">
      <c r="A1371" s="20" t="str">
        <f>IF(INDEX(Project_Tracker!$AL$2:$AL$101,INT((ROW()-6)/17)+1)="","",INDEX(Project_Tracker!$AL$2:$AL$101,INT((ROW()-6)/17)+1))</f>
        <v/>
      </c>
      <c r="B1371" s="21" t="str">
        <f>IF($A1371="","",INDEX(Project_Tracker!$AM$2:$AM$101,INT((ROW()-6)/17)+1))</f>
        <v/>
      </c>
      <c r="C1371" s="20" t="str">
        <f>IF($A1371="","",INDEX(Project_Tracker!$C$2:$C$101,INT((ROW()-6)/17)+1))</f>
        <v/>
      </c>
      <c r="D1371" s="6" t="str">
        <f>IF($A1371="","",INDEX(Project_Tracker!$T$2:$T$101,INT((ROW()-6)/17)+1))</f>
        <v/>
      </c>
      <c r="E1371" s="18">
        <f t="shared" si="105"/>
        <v>6</v>
      </c>
      <c r="F1371" s="23" t="str">
        <f>IF($A1371="","",INDEX('Logic &amp; Lists'!$I$4:$I$20,$E1371))</f>
        <v/>
      </c>
      <c r="G1371" s="18" t="str">
        <f>IF($A1371="","",INDEX('Logic &amp; Lists'!$J$4:$J$20,$E1371))</f>
        <v/>
      </c>
      <c r="H1371" s="6" t="str">
        <f t="shared" si="106"/>
        <v/>
      </c>
      <c r="I1371" s="18" t="str">
        <f t="shared" ca="1" si="107"/>
        <v/>
      </c>
      <c r="J1371" s="5" t="str">
        <f t="shared" si="108"/>
        <v/>
      </c>
      <c r="K1371" s="25"/>
      <c r="L1371" s="5" t="str">
        <f t="shared" si="109"/>
        <v/>
      </c>
      <c r="M1371" s="7"/>
      <c r="N1371" s="7"/>
      <c r="O1371" s="7"/>
      <c r="P1371" s="20" t="str">
        <f>IF($A1371="","",INDEX(Project_Tracker!$I$2:$I$101,INT((ROW()-6)/17)+1))</f>
        <v/>
      </c>
      <c r="Q1371" s="20" t="str">
        <f>IF($A1371="","",INDEX(Project_Tracker!$K$2:$K$101,INT((ROW()-6)/17)+1))</f>
        <v/>
      </c>
    </row>
    <row r="1372" spans="1:17" x14ac:dyDescent="0.2">
      <c r="A1372" s="20" t="str">
        <f>IF(INDEX(Project_Tracker!$AL$2:$AL$101,INT((ROW()-6)/17)+1)="","",INDEX(Project_Tracker!$AL$2:$AL$101,INT((ROW()-6)/17)+1))</f>
        <v/>
      </c>
      <c r="B1372" s="21" t="str">
        <f>IF($A1372="","",INDEX(Project_Tracker!$AM$2:$AM$101,INT((ROW()-6)/17)+1))</f>
        <v/>
      </c>
      <c r="C1372" s="20" t="str">
        <f>IF($A1372="","",INDEX(Project_Tracker!$C$2:$C$101,INT((ROW()-6)/17)+1))</f>
        <v/>
      </c>
      <c r="D1372" s="6" t="str">
        <f>IF($A1372="","",INDEX(Project_Tracker!$T$2:$T$101,INT((ROW()-6)/17)+1))</f>
        <v/>
      </c>
      <c r="E1372" s="18">
        <f t="shared" si="105"/>
        <v>7</v>
      </c>
      <c r="F1372" s="23" t="str">
        <f>IF($A1372="","",INDEX('Logic &amp; Lists'!$I$4:$I$20,$E1372))</f>
        <v/>
      </c>
      <c r="G1372" s="18" t="str">
        <f>IF($A1372="","",INDEX('Logic &amp; Lists'!$J$4:$J$20,$E1372))</f>
        <v/>
      </c>
      <c r="H1372" s="6" t="str">
        <f t="shared" si="106"/>
        <v/>
      </c>
      <c r="I1372" s="18" t="str">
        <f t="shared" ca="1" si="107"/>
        <v/>
      </c>
      <c r="J1372" s="5" t="str">
        <f t="shared" si="108"/>
        <v/>
      </c>
      <c r="K1372" s="25"/>
      <c r="L1372" s="5" t="str">
        <f t="shared" si="109"/>
        <v/>
      </c>
      <c r="M1372" s="7"/>
      <c r="N1372" s="7"/>
      <c r="O1372" s="7"/>
      <c r="P1372" s="20" t="str">
        <f>IF($A1372="","",INDEX(Project_Tracker!$I$2:$I$101,INT((ROW()-6)/17)+1))</f>
        <v/>
      </c>
      <c r="Q1372" s="20" t="str">
        <f>IF($A1372="","",INDEX(Project_Tracker!$K$2:$K$101,INT((ROW()-6)/17)+1))</f>
        <v/>
      </c>
    </row>
    <row r="1373" spans="1:17" x14ac:dyDescent="0.2">
      <c r="A1373" s="20" t="str">
        <f>IF(INDEX(Project_Tracker!$AL$2:$AL$101,INT((ROW()-6)/17)+1)="","",INDEX(Project_Tracker!$AL$2:$AL$101,INT((ROW()-6)/17)+1))</f>
        <v/>
      </c>
      <c r="B1373" s="21" t="str">
        <f>IF($A1373="","",INDEX(Project_Tracker!$AM$2:$AM$101,INT((ROW()-6)/17)+1))</f>
        <v/>
      </c>
      <c r="C1373" s="20" t="str">
        <f>IF($A1373="","",INDEX(Project_Tracker!$C$2:$C$101,INT((ROW()-6)/17)+1))</f>
        <v/>
      </c>
      <c r="D1373" s="6" t="str">
        <f>IF($A1373="","",INDEX(Project_Tracker!$T$2:$T$101,INT((ROW()-6)/17)+1))</f>
        <v/>
      </c>
      <c r="E1373" s="18">
        <f t="shared" si="105"/>
        <v>8</v>
      </c>
      <c r="F1373" s="23" t="str">
        <f>IF($A1373="","",INDEX('Logic &amp; Lists'!$I$4:$I$20,$E1373))</f>
        <v/>
      </c>
      <c r="G1373" s="18" t="str">
        <f>IF($A1373="","",INDEX('Logic &amp; Lists'!$J$4:$J$20,$E1373))</f>
        <v/>
      </c>
      <c r="H1373" s="6" t="str">
        <f t="shared" si="106"/>
        <v/>
      </c>
      <c r="I1373" s="18" t="str">
        <f t="shared" ca="1" si="107"/>
        <v/>
      </c>
      <c r="J1373" s="5" t="str">
        <f t="shared" si="108"/>
        <v/>
      </c>
      <c r="K1373" s="25"/>
      <c r="L1373" s="5" t="str">
        <f t="shared" si="109"/>
        <v/>
      </c>
      <c r="M1373" s="7"/>
      <c r="N1373" s="7"/>
      <c r="O1373" s="7"/>
      <c r="P1373" s="20" t="str">
        <f>IF($A1373="","",INDEX(Project_Tracker!$I$2:$I$101,INT((ROW()-6)/17)+1))</f>
        <v/>
      </c>
      <c r="Q1373" s="20" t="str">
        <f>IF($A1373="","",INDEX(Project_Tracker!$K$2:$K$101,INT((ROW()-6)/17)+1))</f>
        <v/>
      </c>
    </row>
    <row r="1374" spans="1:17" x14ac:dyDescent="0.2">
      <c r="A1374" s="20" t="str">
        <f>IF(INDEX(Project_Tracker!$AL$2:$AL$101,INT((ROW()-6)/17)+1)="","",INDEX(Project_Tracker!$AL$2:$AL$101,INT((ROW()-6)/17)+1))</f>
        <v/>
      </c>
      <c r="B1374" s="21" t="str">
        <f>IF($A1374="","",INDEX(Project_Tracker!$AM$2:$AM$101,INT((ROW()-6)/17)+1))</f>
        <v/>
      </c>
      <c r="C1374" s="20" t="str">
        <f>IF($A1374="","",INDEX(Project_Tracker!$C$2:$C$101,INT((ROW()-6)/17)+1))</f>
        <v/>
      </c>
      <c r="D1374" s="6" t="str">
        <f>IF($A1374="","",INDEX(Project_Tracker!$T$2:$T$101,INT((ROW()-6)/17)+1))</f>
        <v/>
      </c>
      <c r="E1374" s="18">
        <f t="shared" si="105"/>
        <v>9</v>
      </c>
      <c r="F1374" s="23" t="str">
        <f>IF($A1374="","",INDEX('Logic &amp; Lists'!$I$4:$I$20,$E1374))</f>
        <v/>
      </c>
      <c r="G1374" s="18" t="str">
        <f>IF($A1374="","",INDEX('Logic &amp; Lists'!$J$4:$J$20,$E1374))</f>
        <v/>
      </c>
      <c r="H1374" s="6" t="str">
        <f t="shared" si="106"/>
        <v/>
      </c>
      <c r="I1374" s="18" t="str">
        <f t="shared" ca="1" si="107"/>
        <v/>
      </c>
      <c r="J1374" s="5" t="str">
        <f t="shared" si="108"/>
        <v/>
      </c>
      <c r="K1374" s="25"/>
      <c r="L1374" s="5" t="str">
        <f t="shared" si="109"/>
        <v/>
      </c>
      <c r="M1374" s="7"/>
      <c r="N1374" s="7"/>
      <c r="O1374" s="7"/>
      <c r="P1374" s="20" t="str">
        <f>IF($A1374="","",INDEX(Project_Tracker!$I$2:$I$101,INT((ROW()-6)/17)+1))</f>
        <v/>
      </c>
      <c r="Q1374" s="20" t="str">
        <f>IF($A1374="","",INDEX(Project_Tracker!$K$2:$K$101,INT((ROW()-6)/17)+1))</f>
        <v/>
      </c>
    </row>
    <row r="1375" spans="1:17" x14ac:dyDescent="0.2">
      <c r="A1375" s="20" t="str">
        <f>IF(INDEX(Project_Tracker!$AL$2:$AL$101,INT((ROW()-6)/17)+1)="","",INDEX(Project_Tracker!$AL$2:$AL$101,INT((ROW()-6)/17)+1))</f>
        <v/>
      </c>
      <c r="B1375" s="21" t="str">
        <f>IF($A1375="","",INDEX(Project_Tracker!$AM$2:$AM$101,INT((ROW()-6)/17)+1))</f>
        <v/>
      </c>
      <c r="C1375" s="20" t="str">
        <f>IF($A1375="","",INDEX(Project_Tracker!$C$2:$C$101,INT((ROW()-6)/17)+1))</f>
        <v/>
      </c>
      <c r="D1375" s="6" t="str">
        <f>IF($A1375="","",INDEX(Project_Tracker!$T$2:$T$101,INT((ROW()-6)/17)+1))</f>
        <v/>
      </c>
      <c r="E1375" s="18">
        <f t="shared" si="105"/>
        <v>10</v>
      </c>
      <c r="F1375" s="23" t="str">
        <f>IF($A1375="","",INDEX('Logic &amp; Lists'!$I$4:$I$20,$E1375))</f>
        <v/>
      </c>
      <c r="G1375" s="18" t="str">
        <f>IF($A1375="","",INDEX('Logic &amp; Lists'!$J$4:$J$20,$E1375))</f>
        <v/>
      </c>
      <c r="H1375" s="6" t="str">
        <f t="shared" si="106"/>
        <v/>
      </c>
      <c r="I1375" s="18" t="str">
        <f t="shared" ca="1" si="107"/>
        <v/>
      </c>
      <c r="J1375" s="5" t="str">
        <f t="shared" si="108"/>
        <v/>
      </c>
      <c r="K1375" s="25"/>
      <c r="L1375" s="5" t="str">
        <f t="shared" si="109"/>
        <v/>
      </c>
      <c r="M1375" s="7"/>
      <c r="N1375" s="7"/>
      <c r="O1375" s="7"/>
      <c r="P1375" s="20" t="str">
        <f>IF($A1375="","",INDEX(Project_Tracker!$I$2:$I$101,INT((ROW()-6)/17)+1))</f>
        <v/>
      </c>
      <c r="Q1375" s="20" t="str">
        <f>IF($A1375="","",INDEX(Project_Tracker!$K$2:$K$101,INT((ROW()-6)/17)+1))</f>
        <v/>
      </c>
    </row>
    <row r="1376" spans="1:17" x14ac:dyDescent="0.2">
      <c r="A1376" s="20" t="str">
        <f>IF(INDEX(Project_Tracker!$AL$2:$AL$101,INT((ROW()-6)/17)+1)="","",INDEX(Project_Tracker!$AL$2:$AL$101,INT((ROW()-6)/17)+1))</f>
        <v/>
      </c>
      <c r="B1376" s="21" t="str">
        <f>IF($A1376="","",INDEX(Project_Tracker!$AM$2:$AM$101,INT((ROW()-6)/17)+1))</f>
        <v/>
      </c>
      <c r="C1376" s="20" t="str">
        <f>IF($A1376="","",INDEX(Project_Tracker!$C$2:$C$101,INT((ROW()-6)/17)+1))</f>
        <v/>
      </c>
      <c r="D1376" s="6" t="str">
        <f>IF($A1376="","",INDEX(Project_Tracker!$T$2:$T$101,INT((ROW()-6)/17)+1))</f>
        <v/>
      </c>
      <c r="E1376" s="18">
        <f t="shared" si="105"/>
        <v>11</v>
      </c>
      <c r="F1376" s="23" t="str">
        <f>IF($A1376="","",INDEX('Logic &amp; Lists'!$I$4:$I$20,$E1376))</f>
        <v/>
      </c>
      <c r="G1376" s="18" t="str">
        <f>IF($A1376="","",INDEX('Logic &amp; Lists'!$J$4:$J$20,$E1376))</f>
        <v/>
      </c>
      <c r="H1376" s="6" t="str">
        <f t="shared" si="106"/>
        <v/>
      </c>
      <c r="I1376" s="18" t="str">
        <f t="shared" ca="1" si="107"/>
        <v/>
      </c>
      <c r="J1376" s="5" t="str">
        <f t="shared" si="108"/>
        <v/>
      </c>
      <c r="K1376" s="25"/>
      <c r="L1376" s="5" t="str">
        <f t="shared" si="109"/>
        <v/>
      </c>
      <c r="M1376" s="7"/>
      <c r="N1376" s="7"/>
      <c r="O1376" s="7"/>
      <c r="P1376" s="20" t="str">
        <f>IF($A1376="","",INDEX(Project_Tracker!$I$2:$I$101,INT((ROW()-6)/17)+1))</f>
        <v/>
      </c>
      <c r="Q1376" s="20" t="str">
        <f>IF($A1376="","",INDEX(Project_Tracker!$K$2:$K$101,INT((ROW()-6)/17)+1))</f>
        <v/>
      </c>
    </row>
    <row r="1377" spans="1:17" x14ac:dyDescent="0.2">
      <c r="A1377" s="20" t="str">
        <f>IF(INDEX(Project_Tracker!$AL$2:$AL$101,INT((ROW()-6)/17)+1)="","",INDEX(Project_Tracker!$AL$2:$AL$101,INT((ROW()-6)/17)+1))</f>
        <v/>
      </c>
      <c r="B1377" s="21" t="str">
        <f>IF($A1377="","",INDEX(Project_Tracker!$AM$2:$AM$101,INT((ROW()-6)/17)+1))</f>
        <v/>
      </c>
      <c r="C1377" s="20" t="str">
        <f>IF($A1377="","",INDEX(Project_Tracker!$C$2:$C$101,INT((ROW()-6)/17)+1))</f>
        <v/>
      </c>
      <c r="D1377" s="6" t="str">
        <f>IF($A1377="","",INDEX(Project_Tracker!$T$2:$T$101,INT((ROW()-6)/17)+1))</f>
        <v/>
      </c>
      <c r="E1377" s="18">
        <f t="shared" si="105"/>
        <v>12</v>
      </c>
      <c r="F1377" s="23" t="str">
        <f>IF($A1377="","",INDEX('Logic &amp; Lists'!$I$4:$I$20,$E1377))</f>
        <v/>
      </c>
      <c r="G1377" s="18" t="str">
        <f>IF($A1377="","",INDEX('Logic &amp; Lists'!$J$4:$J$20,$E1377))</f>
        <v/>
      </c>
      <c r="H1377" s="6" t="str">
        <f t="shared" si="106"/>
        <v/>
      </c>
      <c r="I1377" s="18" t="str">
        <f t="shared" ca="1" si="107"/>
        <v/>
      </c>
      <c r="J1377" s="5" t="str">
        <f t="shared" si="108"/>
        <v/>
      </c>
      <c r="K1377" s="25"/>
      <c r="L1377" s="5" t="str">
        <f t="shared" si="109"/>
        <v/>
      </c>
      <c r="M1377" s="7"/>
      <c r="N1377" s="7"/>
      <c r="O1377" s="7"/>
      <c r="P1377" s="20" t="str">
        <f>IF($A1377="","",INDEX(Project_Tracker!$I$2:$I$101,INT((ROW()-6)/17)+1))</f>
        <v/>
      </c>
      <c r="Q1377" s="20" t="str">
        <f>IF($A1377="","",INDEX(Project_Tracker!$K$2:$K$101,INT((ROW()-6)/17)+1))</f>
        <v/>
      </c>
    </row>
    <row r="1378" spans="1:17" x14ac:dyDescent="0.2">
      <c r="A1378" s="20" t="str">
        <f>IF(INDEX(Project_Tracker!$AL$2:$AL$101,INT((ROW()-6)/17)+1)="","",INDEX(Project_Tracker!$AL$2:$AL$101,INT((ROW()-6)/17)+1))</f>
        <v/>
      </c>
      <c r="B1378" s="21" t="str">
        <f>IF($A1378="","",INDEX(Project_Tracker!$AM$2:$AM$101,INT((ROW()-6)/17)+1))</f>
        <v/>
      </c>
      <c r="C1378" s="20" t="str">
        <f>IF($A1378="","",INDEX(Project_Tracker!$C$2:$C$101,INT((ROW()-6)/17)+1))</f>
        <v/>
      </c>
      <c r="D1378" s="6" t="str">
        <f>IF($A1378="","",INDEX(Project_Tracker!$T$2:$T$101,INT((ROW()-6)/17)+1))</f>
        <v/>
      </c>
      <c r="E1378" s="18">
        <f t="shared" si="105"/>
        <v>13</v>
      </c>
      <c r="F1378" s="23" t="str">
        <f>IF($A1378="","",INDEX('Logic &amp; Lists'!$I$4:$I$20,$E1378))</f>
        <v/>
      </c>
      <c r="G1378" s="18" t="str">
        <f>IF($A1378="","",INDEX('Logic &amp; Lists'!$J$4:$J$20,$E1378))</f>
        <v/>
      </c>
      <c r="H1378" s="6" t="str">
        <f t="shared" si="106"/>
        <v/>
      </c>
      <c r="I1378" s="18" t="str">
        <f t="shared" ca="1" si="107"/>
        <v/>
      </c>
      <c r="J1378" s="5" t="str">
        <f t="shared" si="108"/>
        <v/>
      </c>
      <c r="K1378" s="25"/>
      <c r="L1378" s="5" t="str">
        <f t="shared" si="109"/>
        <v/>
      </c>
      <c r="M1378" s="7"/>
      <c r="N1378" s="7"/>
      <c r="O1378" s="7"/>
      <c r="P1378" s="20" t="str">
        <f>IF($A1378="","",INDEX(Project_Tracker!$I$2:$I$101,INT((ROW()-6)/17)+1))</f>
        <v/>
      </c>
      <c r="Q1378" s="20" t="str">
        <f>IF($A1378="","",INDEX(Project_Tracker!$K$2:$K$101,INT((ROW()-6)/17)+1))</f>
        <v/>
      </c>
    </row>
    <row r="1379" spans="1:17" x14ac:dyDescent="0.2">
      <c r="A1379" s="20" t="str">
        <f>IF(INDEX(Project_Tracker!$AL$2:$AL$101,INT((ROW()-6)/17)+1)="","",INDEX(Project_Tracker!$AL$2:$AL$101,INT((ROW()-6)/17)+1))</f>
        <v/>
      </c>
      <c r="B1379" s="21" t="str">
        <f>IF($A1379="","",INDEX(Project_Tracker!$AM$2:$AM$101,INT((ROW()-6)/17)+1))</f>
        <v/>
      </c>
      <c r="C1379" s="20" t="str">
        <f>IF($A1379="","",INDEX(Project_Tracker!$C$2:$C$101,INT((ROW()-6)/17)+1))</f>
        <v/>
      </c>
      <c r="D1379" s="6" t="str">
        <f>IF($A1379="","",INDEX(Project_Tracker!$T$2:$T$101,INT((ROW()-6)/17)+1))</f>
        <v/>
      </c>
      <c r="E1379" s="18">
        <f t="shared" si="105"/>
        <v>14</v>
      </c>
      <c r="F1379" s="23" t="str">
        <f>IF($A1379="","",INDEX('Logic &amp; Lists'!$I$4:$I$20,$E1379))</f>
        <v/>
      </c>
      <c r="G1379" s="18" t="str">
        <f>IF($A1379="","",INDEX('Logic &amp; Lists'!$J$4:$J$20,$E1379))</f>
        <v/>
      </c>
      <c r="H1379" s="6" t="str">
        <f t="shared" si="106"/>
        <v/>
      </c>
      <c r="I1379" s="18" t="str">
        <f t="shared" ca="1" si="107"/>
        <v/>
      </c>
      <c r="J1379" s="5" t="str">
        <f t="shared" si="108"/>
        <v/>
      </c>
      <c r="K1379" s="25"/>
      <c r="L1379" s="5" t="str">
        <f t="shared" si="109"/>
        <v/>
      </c>
      <c r="M1379" s="7"/>
      <c r="N1379" s="7"/>
      <c r="O1379" s="7"/>
      <c r="P1379" s="20" t="str">
        <f>IF($A1379="","",INDEX(Project_Tracker!$I$2:$I$101,INT((ROW()-6)/17)+1))</f>
        <v/>
      </c>
      <c r="Q1379" s="20" t="str">
        <f>IF($A1379="","",INDEX(Project_Tracker!$K$2:$K$101,INT((ROW()-6)/17)+1))</f>
        <v/>
      </c>
    </row>
    <row r="1380" spans="1:17" x14ac:dyDescent="0.2">
      <c r="A1380" s="20" t="str">
        <f>IF(INDEX(Project_Tracker!$AL$2:$AL$101,INT((ROW()-6)/17)+1)="","",INDEX(Project_Tracker!$AL$2:$AL$101,INT((ROW()-6)/17)+1))</f>
        <v/>
      </c>
      <c r="B1380" s="21" t="str">
        <f>IF($A1380="","",INDEX(Project_Tracker!$AM$2:$AM$101,INT((ROW()-6)/17)+1))</f>
        <v/>
      </c>
      <c r="C1380" s="20" t="str">
        <f>IF($A1380="","",INDEX(Project_Tracker!$C$2:$C$101,INT((ROW()-6)/17)+1))</f>
        <v/>
      </c>
      <c r="D1380" s="6" t="str">
        <f>IF($A1380="","",INDEX(Project_Tracker!$T$2:$T$101,INT((ROW()-6)/17)+1))</f>
        <v/>
      </c>
      <c r="E1380" s="18">
        <f t="shared" si="105"/>
        <v>15</v>
      </c>
      <c r="F1380" s="23" t="str">
        <f>IF($A1380="","",INDEX('Logic &amp; Lists'!$I$4:$I$20,$E1380))</f>
        <v/>
      </c>
      <c r="G1380" s="18" t="str">
        <f>IF($A1380="","",INDEX('Logic &amp; Lists'!$J$4:$J$20,$E1380))</f>
        <v/>
      </c>
      <c r="H1380" s="6" t="str">
        <f t="shared" si="106"/>
        <v/>
      </c>
      <c r="I1380" s="18" t="str">
        <f t="shared" ca="1" si="107"/>
        <v/>
      </c>
      <c r="J1380" s="5" t="str">
        <f t="shared" si="108"/>
        <v/>
      </c>
      <c r="K1380" s="25"/>
      <c r="L1380" s="5" t="str">
        <f t="shared" si="109"/>
        <v/>
      </c>
      <c r="M1380" s="7"/>
      <c r="N1380" s="7"/>
      <c r="O1380" s="7"/>
      <c r="P1380" s="20" t="str">
        <f>IF($A1380="","",INDEX(Project_Tracker!$I$2:$I$101,INT((ROW()-6)/17)+1))</f>
        <v/>
      </c>
      <c r="Q1380" s="20" t="str">
        <f>IF($A1380="","",INDEX(Project_Tracker!$K$2:$K$101,INT((ROW()-6)/17)+1))</f>
        <v/>
      </c>
    </row>
    <row r="1381" spans="1:17" x14ac:dyDescent="0.2">
      <c r="A1381" s="20" t="str">
        <f>IF(INDEX(Project_Tracker!$AL$2:$AL$101,INT((ROW()-6)/17)+1)="","",INDEX(Project_Tracker!$AL$2:$AL$101,INT((ROW()-6)/17)+1))</f>
        <v/>
      </c>
      <c r="B1381" s="21" t="str">
        <f>IF($A1381="","",INDEX(Project_Tracker!$AM$2:$AM$101,INT((ROW()-6)/17)+1))</f>
        <v/>
      </c>
      <c r="C1381" s="20" t="str">
        <f>IF($A1381="","",INDEX(Project_Tracker!$C$2:$C$101,INT((ROW()-6)/17)+1))</f>
        <v/>
      </c>
      <c r="D1381" s="6" t="str">
        <f>IF($A1381="","",INDEX(Project_Tracker!$T$2:$T$101,INT((ROW()-6)/17)+1))</f>
        <v/>
      </c>
      <c r="E1381" s="18">
        <f t="shared" si="105"/>
        <v>16</v>
      </c>
      <c r="F1381" s="23" t="str">
        <f>IF($A1381="","",INDEX('Logic &amp; Lists'!$I$4:$I$20,$E1381))</f>
        <v/>
      </c>
      <c r="G1381" s="18" t="str">
        <f>IF($A1381="","",INDEX('Logic &amp; Lists'!$J$4:$J$20,$E1381))</f>
        <v/>
      </c>
      <c r="H1381" s="6" t="str">
        <f t="shared" si="106"/>
        <v/>
      </c>
      <c r="I1381" s="18" t="str">
        <f t="shared" ca="1" si="107"/>
        <v/>
      </c>
      <c r="J1381" s="5" t="str">
        <f t="shared" si="108"/>
        <v/>
      </c>
      <c r="K1381" s="25"/>
      <c r="L1381" s="5" t="str">
        <f t="shared" si="109"/>
        <v/>
      </c>
      <c r="M1381" s="7"/>
      <c r="N1381" s="7"/>
      <c r="O1381" s="7"/>
      <c r="P1381" s="20" t="str">
        <f>IF($A1381="","",INDEX(Project_Tracker!$I$2:$I$101,INT((ROW()-6)/17)+1))</f>
        <v/>
      </c>
      <c r="Q1381" s="20" t="str">
        <f>IF($A1381="","",INDEX(Project_Tracker!$K$2:$K$101,INT((ROW()-6)/17)+1))</f>
        <v/>
      </c>
    </row>
    <row r="1382" spans="1:17" x14ac:dyDescent="0.2">
      <c r="A1382" s="20" t="str">
        <f>IF(INDEX(Project_Tracker!$AL$2:$AL$101,INT((ROW()-6)/17)+1)="","",INDEX(Project_Tracker!$AL$2:$AL$101,INT((ROW()-6)/17)+1))</f>
        <v/>
      </c>
      <c r="B1382" s="21" t="str">
        <f>IF($A1382="","",INDEX(Project_Tracker!$AM$2:$AM$101,INT((ROW()-6)/17)+1))</f>
        <v/>
      </c>
      <c r="C1382" s="20" t="str">
        <f>IF($A1382="","",INDEX(Project_Tracker!$C$2:$C$101,INT((ROW()-6)/17)+1))</f>
        <v/>
      </c>
      <c r="D1382" s="6" t="str">
        <f>IF($A1382="","",INDEX(Project_Tracker!$T$2:$T$101,INT((ROW()-6)/17)+1))</f>
        <v/>
      </c>
      <c r="E1382" s="18">
        <f t="shared" si="105"/>
        <v>17</v>
      </c>
      <c r="F1382" s="23" t="str">
        <f>IF($A1382="","",INDEX('Logic &amp; Lists'!$I$4:$I$20,$E1382))</f>
        <v/>
      </c>
      <c r="G1382" s="18" t="str">
        <f>IF($A1382="","",INDEX('Logic &amp; Lists'!$J$4:$J$20,$E1382))</f>
        <v/>
      </c>
      <c r="H1382" s="6" t="str">
        <f t="shared" si="106"/>
        <v/>
      </c>
      <c r="I1382" s="18" t="str">
        <f t="shared" ca="1" si="107"/>
        <v/>
      </c>
      <c r="J1382" s="5" t="str">
        <f t="shared" si="108"/>
        <v/>
      </c>
      <c r="K1382" s="25"/>
      <c r="L1382" s="5" t="str">
        <f t="shared" si="109"/>
        <v/>
      </c>
      <c r="M1382" s="7"/>
      <c r="N1382" s="7"/>
      <c r="O1382" s="7"/>
      <c r="P1382" s="20" t="str">
        <f>IF($A1382="","",INDEX(Project_Tracker!$I$2:$I$101,INT((ROW()-6)/17)+1))</f>
        <v/>
      </c>
      <c r="Q1382" s="20" t="str">
        <f>IF($A1382="","",INDEX(Project_Tracker!$K$2:$K$101,INT((ROW()-6)/17)+1))</f>
        <v/>
      </c>
    </row>
    <row r="1383" spans="1:17" x14ac:dyDescent="0.2">
      <c r="A1383" s="20" t="str">
        <f>IF(INDEX(Project_Tracker!$AL$2:$AL$101,INT((ROW()-6)/17)+1)="","",INDEX(Project_Tracker!$AL$2:$AL$101,INT((ROW()-6)/17)+1))</f>
        <v/>
      </c>
      <c r="B1383" s="21" t="str">
        <f>IF($A1383="","",INDEX(Project_Tracker!$AM$2:$AM$101,INT((ROW()-6)/17)+1))</f>
        <v/>
      </c>
      <c r="C1383" s="20" t="str">
        <f>IF($A1383="","",INDEX(Project_Tracker!$C$2:$C$101,INT((ROW()-6)/17)+1))</f>
        <v/>
      </c>
      <c r="D1383" s="6" t="str">
        <f>IF($A1383="","",INDEX(Project_Tracker!$T$2:$T$101,INT((ROW()-6)/17)+1))</f>
        <v/>
      </c>
      <c r="E1383" s="18">
        <f t="shared" si="105"/>
        <v>1</v>
      </c>
      <c r="F1383" s="23" t="str">
        <f>IF($A1383="","",INDEX('Logic &amp; Lists'!$I$4:$I$20,$E1383))</f>
        <v/>
      </c>
      <c r="G1383" s="18" t="str">
        <f>IF($A1383="","",INDEX('Logic &amp; Lists'!$J$4:$J$20,$E1383))</f>
        <v/>
      </c>
      <c r="H1383" s="6" t="str">
        <f t="shared" si="106"/>
        <v/>
      </c>
      <c r="I1383" s="18" t="str">
        <f t="shared" ca="1" si="107"/>
        <v/>
      </c>
      <c r="J1383" s="5" t="str">
        <f t="shared" si="108"/>
        <v/>
      </c>
      <c r="K1383" s="25"/>
      <c r="L1383" s="5" t="str">
        <f t="shared" si="109"/>
        <v/>
      </c>
      <c r="M1383" s="7"/>
      <c r="N1383" s="7"/>
      <c r="O1383" s="7"/>
      <c r="P1383" s="20" t="str">
        <f>IF($A1383="","",INDEX(Project_Tracker!$I$2:$I$101,INT((ROW()-6)/17)+1))</f>
        <v/>
      </c>
      <c r="Q1383" s="20" t="str">
        <f>IF($A1383="","",INDEX(Project_Tracker!$K$2:$K$101,INT((ROW()-6)/17)+1))</f>
        <v/>
      </c>
    </row>
    <row r="1384" spans="1:17" x14ac:dyDescent="0.2">
      <c r="A1384" s="20" t="str">
        <f>IF(INDEX(Project_Tracker!$AL$2:$AL$101,INT((ROW()-6)/17)+1)="","",INDEX(Project_Tracker!$AL$2:$AL$101,INT((ROW()-6)/17)+1))</f>
        <v/>
      </c>
      <c r="B1384" s="21" t="str">
        <f>IF($A1384="","",INDEX(Project_Tracker!$AM$2:$AM$101,INT((ROW()-6)/17)+1))</f>
        <v/>
      </c>
      <c r="C1384" s="20" t="str">
        <f>IF($A1384="","",INDEX(Project_Tracker!$C$2:$C$101,INT((ROW()-6)/17)+1))</f>
        <v/>
      </c>
      <c r="D1384" s="6" t="str">
        <f>IF($A1384="","",INDEX(Project_Tracker!$T$2:$T$101,INT((ROW()-6)/17)+1))</f>
        <v/>
      </c>
      <c r="E1384" s="18">
        <f t="shared" si="105"/>
        <v>2</v>
      </c>
      <c r="F1384" s="23" t="str">
        <f>IF($A1384="","",INDEX('Logic &amp; Lists'!$I$4:$I$20,$E1384))</f>
        <v/>
      </c>
      <c r="G1384" s="18" t="str">
        <f>IF($A1384="","",INDEX('Logic &amp; Lists'!$J$4:$J$20,$E1384))</f>
        <v/>
      </c>
      <c r="H1384" s="6" t="str">
        <f t="shared" si="106"/>
        <v/>
      </c>
      <c r="I1384" s="18" t="str">
        <f t="shared" ca="1" si="107"/>
        <v/>
      </c>
      <c r="J1384" s="5" t="str">
        <f t="shared" si="108"/>
        <v/>
      </c>
      <c r="K1384" s="25"/>
      <c r="L1384" s="5" t="str">
        <f t="shared" si="109"/>
        <v/>
      </c>
      <c r="M1384" s="7"/>
      <c r="N1384" s="7"/>
      <c r="O1384" s="7"/>
      <c r="P1384" s="20" t="str">
        <f>IF($A1384="","",INDEX(Project_Tracker!$I$2:$I$101,INT((ROW()-6)/17)+1))</f>
        <v/>
      </c>
      <c r="Q1384" s="20" t="str">
        <f>IF($A1384="","",INDEX(Project_Tracker!$K$2:$K$101,INT((ROW()-6)/17)+1))</f>
        <v/>
      </c>
    </row>
    <row r="1385" spans="1:17" x14ac:dyDescent="0.2">
      <c r="A1385" s="20" t="str">
        <f>IF(INDEX(Project_Tracker!$AL$2:$AL$101,INT((ROW()-6)/17)+1)="","",INDEX(Project_Tracker!$AL$2:$AL$101,INT((ROW()-6)/17)+1))</f>
        <v/>
      </c>
      <c r="B1385" s="21" t="str">
        <f>IF($A1385="","",INDEX(Project_Tracker!$AM$2:$AM$101,INT((ROW()-6)/17)+1))</f>
        <v/>
      </c>
      <c r="C1385" s="20" t="str">
        <f>IF($A1385="","",INDEX(Project_Tracker!$C$2:$C$101,INT((ROW()-6)/17)+1))</f>
        <v/>
      </c>
      <c r="D1385" s="6" t="str">
        <f>IF($A1385="","",INDEX(Project_Tracker!$T$2:$T$101,INT((ROW()-6)/17)+1))</f>
        <v/>
      </c>
      <c r="E1385" s="18">
        <f t="shared" si="105"/>
        <v>3</v>
      </c>
      <c r="F1385" s="23" t="str">
        <f>IF($A1385="","",INDEX('Logic &amp; Lists'!$I$4:$I$20,$E1385))</f>
        <v/>
      </c>
      <c r="G1385" s="18" t="str">
        <f>IF($A1385="","",INDEX('Logic &amp; Lists'!$J$4:$J$20,$E1385))</f>
        <v/>
      </c>
      <c r="H1385" s="6" t="str">
        <f t="shared" si="106"/>
        <v/>
      </c>
      <c r="I1385" s="18" t="str">
        <f t="shared" ca="1" si="107"/>
        <v/>
      </c>
      <c r="J1385" s="5" t="str">
        <f t="shared" si="108"/>
        <v/>
      </c>
      <c r="K1385" s="25"/>
      <c r="L1385" s="5" t="str">
        <f t="shared" si="109"/>
        <v/>
      </c>
      <c r="M1385" s="7"/>
      <c r="N1385" s="7"/>
      <c r="O1385" s="7"/>
      <c r="P1385" s="20" t="str">
        <f>IF($A1385="","",INDEX(Project_Tracker!$I$2:$I$101,INT((ROW()-6)/17)+1))</f>
        <v/>
      </c>
      <c r="Q1385" s="20" t="str">
        <f>IF($A1385="","",INDEX(Project_Tracker!$K$2:$K$101,INT((ROW()-6)/17)+1))</f>
        <v/>
      </c>
    </row>
    <row r="1386" spans="1:17" x14ac:dyDescent="0.2">
      <c r="A1386" s="20" t="str">
        <f>IF(INDEX(Project_Tracker!$AL$2:$AL$101,INT((ROW()-6)/17)+1)="","",INDEX(Project_Tracker!$AL$2:$AL$101,INT((ROW()-6)/17)+1))</f>
        <v/>
      </c>
      <c r="B1386" s="21" t="str">
        <f>IF($A1386="","",INDEX(Project_Tracker!$AM$2:$AM$101,INT((ROW()-6)/17)+1))</f>
        <v/>
      </c>
      <c r="C1386" s="20" t="str">
        <f>IF($A1386="","",INDEX(Project_Tracker!$C$2:$C$101,INT((ROW()-6)/17)+1))</f>
        <v/>
      </c>
      <c r="D1386" s="6" t="str">
        <f>IF($A1386="","",INDEX(Project_Tracker!$T$2:$T$101,INT((ROW()-6)/17)+1))</f>
        <v/>
      </c>
      <c r="E1386" s="18">
        <f t="shared" si="105"/>
        <v>4</v>
      </c>
      <c r="F1386" s="23" t="str">
        <f>IF($A1386="","",INDEX('Logic &amp; Lists'!$I$4:$I$20,$E1386))</f>
        <v/>
      </c>
      <c r="G1386" s="18" t="str">
        <f>IF($A1386="","",INDEX('Logic &amp; Lists'!$J$4:$J$20,$E1386))</f>
        <v/>
      </c>
      <c r="H1386" s="6" t="str">
        <f t="shared" si="106"/>
        <v/>
      </c>
      <c r="I1386" s="18" t="str">
        <f t="shared" ca="1" si="107"/>
        <v/>
      </c>
      <c r="J1386" s="5" t="str">
        <f t="shared" si="108"/>
        <v/>
      </c>
      <c r="K1386" s="25"/>
      <c r="L1386" s="5" t="str">
        <f t="shared" si="109"/>
        <v/>
      </c>
      <c r="M1386" s="7"/>
      <c r="N1386" s="7"/>
      <c r="O1386" s="7"/>
      <c r="P1386" s="20" t="str">
        <f>IF($A1386="","",INDEX(Project_Tracker!$I$2:$I$101,INT((ROW()-6)/17)+1))</f>
        <v/>
      </c>
      <c r="Q1386" s="20" t="str">
        <f>IF($A1386="","",INDEX(Project_Tracker!$K$2:$K$101,INT((ROW()-6)/17)+1))</f>
        <v/>
      </c>
    </row>
    <row r="1387" spans="1:17" x14ac:dyDescent="0.2">
      <c r="A1387" s="20" t="str">
        <f>IF(INDEX(Project_Tracker!$AL$2:$AL$101,INT((ROW()-6)/17)+1)="","",INDEX(Project_Tracker!$AL$2:$AL$101,INT((ROW()-6)/17)+1))</f>
        <v/>
      </c>
      <c r="B1387" s="21" t="str">
        <f>IF($A1387="","",INDEX(Project_Tracker!$AM$2:$AM$101,INT((ROW()-6)/17)+1))</f>
        <v/>
      </c>
      <c r="C1387" s="20" t="str">
        <f>IF($A1387="","",INDEX(Project_Tracker!$C$2:$C$101,INT((ROW()-6)/17)+1))</f>
        <v/>
      </c>
      <c r="D1387" s="6" t="str">
        <f>IF($A1387="","",INDEX(Project_Tracker!$T$2:$T$101,INT((ROW()-6)/17)+1))</f>
        <v/>
      </c>
      <c r="E1387" s="18">
        <f t="shared" si="105"/>
        <v>5</v>
      </c>
      <c r="F1387" s="23" t="str">
        <f>IF($A1387="","",INDEX('Logic &amp; Lists'!$I$4:$I$20,$E1387))</f>
        <v/>
      </c>
      <c r="G1387" s="18" t="str">
        <f>IF($A1387="","",INDEX('Logic &amp; Lists'!$J$4:$J$20,$E1387))</f>
        <v/>
      </c>
      <c r="H1387" s="6" t="str">
        <f t="shared" si="106"/>
        <v/>
      </c>
      <c r="I1387" s="18" t="str">
        <f t="shared" ca="1" si="107"/>
        <v/>
      </c>
      <c r="J1387" s="5" t="str">
        <f t="shared" si="108"/>
        <v/>
      </c>
      <c r="K1387" s="25"/>
      <c r="L1387" s="5" t="str">
        <f t="shared" si="109"/>
        <v/>
      </c>
      <c r="M1387" s="7"/>
      <c r="N1387" s="7"/>
      <c r="O1387" s="7"/>
      <c r="P1387" s="20" t="str">
        <f>IF($A1387="","",INDEX(Project_Tracker!$I$2:$I$101,INT((ROW()-6)/17)+1))</f>
        <v/>
      </c>
      <c r="Q1387" s="20" t="str">
        <f>IF($A1387="","",INDEX(Project_Tracker!$K$2:$K$101,INT((ROW()-6)/17)+1))</f>
        <v/>
      </c>
    </row>
    <row r="1388" spans="1:17" x14ac:dyDescent="0.2">
      <c r="A1388" s="20" t="str">
        <f>IF(INDEX(Project_Tracker!$AL$2:$AL$101,INT((ROW()-6)/17)+1)="","",INDEX(Project_Tracker!$AL$2:$AL$101,INT((ROW()-6)/17)+1))</f>
        <v/>
      </c>
      <c r="B1388" s="21" t="str">
        <f>IF($A1388="","",INDEX(Project_Tracker!$AM$2:$AM$101,INT((ROW()-6)/17)+1))</f>
        <v/>
      </c>
      <c r="C1388" s="20" t="str">
        <f>IF($A1388="","",INDEX(Project_Tracker!$C$2:$C$101,INT((ROW()-6)/17)+1))</f>
        <v/>
      </c>
      <c r="D1388" s="6" t="str">
        <f>IF($A1388="","",INDEX(Project_Tracker!$T$2:$T$101,INT((ROW()-6)/17)+1))</f>
        <v/>
      </c>
      <c r="E1388" s="18">
        <f t="shared" si="105"/>
        <v>6</v>
      </c>
      <c r="F1388" s="23" t="str">
        <f>IF($A1388="","",INDEX('Logic &amp; Lists'!$I$4:$I$20,$E1388))</f>
        <v/>
      </c>
      <c r="G1388" s="18" t="str">
        <f>IF($A1388="","",INDEX('Logic &amp; Lists'!$J$4:$J$20,$E1388))</f>
        <v/>
      </c>
      <c r="H1388" s="6" t="str">
        <f t="shared" si="106"/>
        <v/>
      </c>
      <c r="I1388" s="18" t="str">
        <f t="shared" ca="1" si="107"/>
        <v/>
      </c>
      <c r="J1388" s="5" t="str">
        <f t="shared" si="108"/>
        <v/>
      </c>
      <c r="K1388" s="25"/>
      <c r="L1388" s="5" t="str">
        <f t="shared" si="109"/>
        <v/>
      </c>
      <c r="M1388" s="7"/>
      <c r="N1388" s="7"/>
      <c r="O1388" s="7"/>
      <c r="P1388" s="20" t="str">
        <f>IF($A1388="","",INDEX(Project_Tracker!$I$2:$I$101,INT((ROW()-6)/17)+1))</f>
        <v/>
      </c>
      <c r="Q1388" s="20" t="str">
        <f>IF($A1388="","",INDEX(Project_Tracker!$K$2:$K$101,INT((ROW()-6)/17)+1))</f>
        <v/>
      </c>
    </row>
    <row r="1389" spans="1:17" x14ac:dyDescent="0.2">
      <c r="A1389" s="20" t="str">
        <f>IF(INDEX(Project_Tracker!$AL$2:$AL$101,INT((ROW()-6)/17)+1)="","",INDEX(Project_Tracker!$AL$2:$AL$101,INT((ROW()-6)/17)+1))</f>
        <v/>
      </c>
      <c r="B1389" s="21" t="str">
        <f>IF($A1389="","",INDEX(Project_Tracker!$AM$2:$AM$101,INT((ROW()-6)/17)+1))</f>
        <v/>
      </c>
      <c r="C1389" s="20" t="str">
        <f>IF($A1389="","",INDEX(Project_Tracker!$C$2:$C$101,INT((ROW()-6)/17)+1))</f>
        <v/>
      </c>
      <c r="D1389" s="6" t="str">
        <f>IF($A1389="","",INDEX(Project_Tracker!$T$2:$T$101,INT((ROW()-6)/17)+1))</f>
        <v/>
      </c>
      <c r="E1389" s="18">
        <f t="shared" si="105"/>
        <v>7</v>
      </c>
      <c r="F1389" s="23" t="str">
        <f>IF($A1389="","",INDEX('Logic &amp; Lists'!$I$4:$I$20,$E1389))</f>
        <v/>
      </c>
      <c r="G1389" s="18" t="str">
        <f>IF($A1389="","",INDEX('Logic &amp; Lists'!$J$4:$J$20,$E1389))</f>
        <v/>
      </c>
      <c r="H1389" s="6" t="str">
        <f t="shared" si="106"/>
        <v/>
      </c>
      <c r="I1389" s="18" t="str">
        <f t="shared" ca="1" si="107"/>
        <v/>
      </c>
      <c r="J1389" s="5" t="str">
        <f t="shared" si="108"/>
        <v/>
      </c>
      <c r="K1389" s="25"/>
      <c r="L1389" s="5" t="str">
        <f t="shared" si="109"/>
        <v/>
      </c>
      <c r="M1389" s="7"/>
      <c r="N1389" s="7"/>
      <c r="O1389" s="7"/>
      <c r="P1389" s="20" t="str">
        <f>IF($A1389="","",INDEX(Project_Tracker!$I$2:$I$101,INT((ROW()-6)/17)+1))</f>
        <v/>
      </c>
      <c r="Q1389" s="20" t="str">
        <f>IF($A1389="","",INDEX(Project_Tracker!$K$2:$K$101,INT((ROW()-6)/17)+1))</f>
        <v/>
      </c>
    </row>
    <row r="1390" spans="1:17" x14ac:dyDescent="0.2">
      <c r="A1390" s="20" t="str">
        <f>IF(INDEX(Project_Tracker!$AL$2:$AL$101,INT((ROW()-6)/17)+1)="","",INDEX(Project_Tracker!$AL$2:$AL$101,INT((ROW()-6)/17)+1))</f>
        <v/>
      </c>
      <c r="B1390" s="21" t="str">
        <f>IF($A1390="","",INDEX(Project_Tracker!$AM$2:$AM$101,INT((ROW()-6)/17)+1))</f>
        <v/>
      </c>
      <c r="C1390" s="20" t="str">
        <f>IF($A1390="","",INDEX(Project_Tracker!$C$2:$C$101,INT((ROW()-6)/17)+1))</f>
        <v/>
      </c>
      <c r="D1390" s="6" t="str">
        <f>IF($A1390="","",INDEX(Project_Tracker!$T$2:$T$101,INT((ROW()-6)/17)+1))</f>
        <v/>
      </c>
      <c r="E1390" s="18">
        <f t="shared" si="105"/>
        <v>8</v>
      </c>
      <c r="F1390" s="23" t="str">
        <f>IF($A1390="","",INDEX('Logic &amp; Lists'!$I$4:$I$20,$E1390))</f>
        <v/>
      </c>
      <c r="G1390" s="18" t="str">
        <f>IF($A1390="","",INDEX('Logic &amp; Lists'!$J$4:$J$20,$E1390))</f>
        <v/>
      </c>
      <c r="H1390" s="6" t="str">
        <f t="shared" si="106"/>
        <v/>
      </c>
      <c r="I1390" s="18" t="str">
        <f t="shared" ca="1" si="107"/>
        <v/>
      </c>
      <c r="J1390" s="5" t="str">
        <f t="shared" si="108"/>
        <v/>
      </c>
      <c r="K1390" s="25"/>
      <c r="L1390" s="5" t="str">
        <f t="shared" si="109"/>
        <v/>
      </c>
      <c r="M1390" s="7"/>
      <c r="N1390" s="7"/>
      <c r="O1390" s="7"/>
      <c r="P1390" s="20" t="str">
        <f>IF($A1390="","",INDEX(Project_Tracker!$I$2:$I$101,INT((ROW()-6)/17)+1))</f>
        <v/>
      </c>
      <c r="Q1390" s="20" t="str">
        <f>IF($A1390="","",INDEX(Project_Tracker!$K$2:$K$101,INT((ROW()-6)/17)+1))</f>
        <v/>
      </c>
    </row>
    <row r="1391" spans="1:17" x14ac:dyDescent="0.2">
      <c r="A1391" s="20" t="str">
        <f>IF(INDEX(Project_Tracker!$AL$2:$AL$101,INT((ROW()-6)/17)+1)="","",INDEX(Project_Tracker!$AL$2:$AL$101,INT((ROW()-6)/17)+1))</f>
        <v/>
      </c>
      <c r="B1391" s="21" t="str">
        <f>IF($A1391="","",INDEX(Project_Tracker!$AM$2:$AM$101,INT((ROW()-6)/17)+1))</f>
        <v/>
      </c>
      <c r="C1391" s="20" t="str">
        <f>IF($A1391="","",INDEX(Project_Tracker!$C$2:$C$101,INT((ROW()-6)/17)+1))</f>
        <v/>
      </c>
      <c r="D1391" s="6" t="str">
        <f>IF($A1391="","",INDEX(Project_Tracker!$T$2:$T$101,INT((ROW()-6)/17)+1))</f>
        <v/>
      </c>
      <c r="E1391" s="18">
        <f t="shared" si="105"/>
        <v>9</v>
      </c>
      <c r="F1391" s="23" t="str">
        <f>IF($A1391="","",INDEX('Logic &amp; Lists'!$I$4:$I$20,$E1391))</f>
        <v/>
      </c>
      <c r="G1391" s="18" t="str">
        <f>IF($A1391="","",INDEX('Logic &amp; Lists'!$J$4:$J$20,$E1391))</f>
        <v/>
      </c>
      <c r="H1391" s="6" t="str">
        <f t="shared" si="106"/>
        <v/>
      </c>
      <c r="I1391" s="18" t="str">
        <f t="shared" ca="1" si="107"/>
        <v/>
      </c>
      <c r="J1391" s="5" t="str">
        <f t="shared" si="108"/>
        <v/>
      </c>
      <c r="K1391" s="25"/>
      <c r="L1391" s="5" t="str">
        <f t="shared" si="109"/>
        <v/>
      </c>
      <c r="M1391" s="7"/>
      <c r="N1391" s="7"/>
      <c r="O1391" s="7"/>
      <c r="P1391" s="20" t="str">
        <f>IF($A1391="","",INDEX(Project_Tracker!$I$2:$I$101,INT((ROW()-6)/17)+1))</f>
        <v/>
      </c>
      <c r="Q1391" s="20" t="str">
        <f>IF($A1391="","",INDEX(Project_Tracker!$K$2:$K$101,INT((ROW()-6)/17)+1))</f>
        <v/>
      </c>
    </row>
    <row r="1392" spans="1:17" x14ac:dyDescent="0.2">
      <c r="A1392" s="20" t="str">
        <f>IF(INDEX(Project_Tracker!$AL$2:$AL$101,INT((ROW()-6)/17)+1)="","",INDEX(Project_Tracker!$AL$2:$AL$101,INT((ROW()-6)/17)+1))</f>
        <v/>
      </c>
      <c r="B1392" s="21" t="str">
        <f>IF($A1392="","",INDEX(Project_Tracker!$AM$2:$AM$101,INT((ROW()-6)/17)+1))</f>
        <v/>
      </c>
      <c r="C1392" s="20" t="str">
        <f>IF($A1392="","",INDEX(Project_Tracker!$C$2:$C$101,INT((ROW()-6)/17)+1))</f>
        <v/>
      </c>
      <c r="D1392" s="6" t="str">
        <f>IF($A1392="","",INDEX(Project_Tracker!$T$2:$T$101,INT((ROW()-6)/17)+1))</f>
        <v/>
      </c>
      <c r="E1392" s="18">
        <f t="shared" si="105"/>
        <v>10</v>
      </c>
      <c r="F1392" s="23" t="str">
        <f>IF($A1392="","",INDEX('Logic &amp; Lists'!$I$4:$I$20,$E1392))</f>
        <v/>
      </c>
      <c r="G1392" s="18" t="str">
        <f>IF($A1392="","",INDEX('Logic &amp; Lists'!$J$4:$J$20,$E1392))</f>
        <v/>
      </c>
      <c r="H1392" s="6" t="str">
        <f t="shared" si="106"/>
        <v/>
      </c>
      <c r="I1392" s="18" t="str">
        <f t="shared" ca="1" si="107"/>
        <v/>
      </c>
      <c r="J1392" s="5" t="str">
        <f t="shared" si="108"/>
        <v/>
      </c>
      <c r="K1392" s="25"/>
      <c r="L1392" s="5" t="str">
        <f t="shared" si="109"/>
        <v/>
      </c>
      <c r="M1392" s="7"/>
      <c r="N1392" s="7"/>
      <c r="O1392" s="7"/>
      <c r="P1392" s="20" t="str">
        <f>IF($A1392="","",INDEX(Project_Tracker!$I$2:$I$101,INT((ROW()-6)/17)+1))</f>
        <v/>
      </c>
      <c r="Q1392" s="20" t="str">
        <f>IF($A1392="","",INDEX(Project_Tracker!$K$2:$K$101,INT((ROW()-6)/17)+1))</f>
        <v/>
      </c>
    </row>
    <row r="1393" spans="1:17" x14ac:dyDescent="0.2">
      <c r="A1393" s="20" t="str">
        <f>IF(INDEX(Project_Tracker!$AL$2:$AL$101,INT((ROW()-6)/17)+1)="","",INDEX(Project_Tracker!$AL$2:$AL$101,INT((ROW()-6)/17)+1))</f>
        <v/>
      </c>
      <c r="B1393" s="21" t="str">
        <f>IF($A1393="","",INDEX(Project_Tracker!$AM$2:$AM$101,INT((ROW()-6)/17)+1))</f>
        <v/>
      </c>
      <c r="C1393" s="20" t="str">
        <f>IF($A1393="","",INDEX(Project_Tracker!$C$2:$C$101,INT((ROW()-6)/17)+1))</f>
        <v/>
      </c>
      <c r="D1393" s="6" t="str">
        <f>IF($A1393="","",INDEX(Project_Tracker!$T$2:$T$101,INT((ROW()-6)/17)+1))</f>
        <v/>
      </c>
      <c r="E1393" s="18">
        <f t="shared" si="105"/>
        <v>11</v>
      </c>
      <c r="F1393" s="23" t="str">
        <f>IF($A1393="","",INDEX('Logic &amp; Lists'!$I$4:$I$20,$E1393))</f>
        <v/>
      </c>
      <c r="G1393" s="18" t="str">
        <f>IF($A1393="","",INDEX('Logic &amp; Lists'!$J$4:$J$20,$E1393))</f>
        <v/>
      </c>
      <c r="H1393" s="6" t="str">
        <f t="shared" si="106"/>
        <v/>
      </c>
      <c r="I1393" s="18" t="str">
        <f t="shared" ca="1" si="107"/>
        <v/>
      </c>
      <c r="J1393" s="5" t="str">
        <f t="shared" si="108"/>
        <v/>
      </c>
      <c r="K1393" s="25"/>
      <c r="L1393" s="5" t="str">
        <f t="shared" si="109"/>
        <v/>
      </c>
      <c r="M1393" s="7"/>
      <c r="N1393" s="7"/>
      <c r="O1393" s="7"/>
      <c r="P1393" s="20" t="str">
        <f>IF($A1393="","",INDEX(Project_Tracker!$I$2:$I$101,INT((ROW()-6)/17)+1))</f>
        <v/>
      </c>
      <c r="Q1393" s="20" t="str">
        <f>IF($A1393="","",INDEX(Project_Tracker!$K$2:$K$101,INT((ROW()-6)/17)+1))</f>
        <v/>
      </c>
    </row>
    <row r="1394" spans="1:17" x14ac:dyDescent="0.2">
      <c r="A1394" s="20" t="str">
        <f>IF(INDEX(Project_Tracker!$AL$2:$AL$101,INT((ROW()-6)/17)+1)="","",INDEX(Project_Tracker!$AL$2:$AL$101,INT((ROW()-6)/17)+1))</f>
        <v/>
      </c>
      <c r="B1394" s="21" t="str">
        <f>IF($A1394="","",INDEX(Project_Tracker!$AM$2:$AM$101,INT((ROW()-6)/17)+1))</f>
        <v/>
      </c>
      <c r="C1394" s="20" t="str">
        <f>IF($A1394="","",INDEX(Project_Tracker!$C$2:$C$101,INT((ROW()-6)/17)+1))</f>
        <v/>
      </c>
      <c r="D1394" s="6" t="str">
        <f>IF($A1394="","",INDEX(Project_Tracker!$T$2:$T$101,INT((ROW()-6)/17)+1))</f>
        <v/>
      </c>
      <c r="E1394" s="18">
        <f t="shared" si="105"/>
        <v>12</v>
      </c>
      <c r="F1394" s="23" t="str">
        <f>IF($A1394="","",INDEX('Logic &amp; Lists'!$I$4:$I$20,$E1394))</f>
        <v/>
      </c>
      <c r="G1394" s="18" t="str">
        <f>IF($A1394="","",INDEX('Logic &amp; Lists'!$J$4:$J$20,$E1394))</f>
        <v/>
      </c>
      <c r="H1394" s="6" t="str">
        <f t="shared" si="106"/>
        <v/>
      </c>
      <c r="I1394" s="18" t="str">
        <f t="shared" ca="1" si="107"/>
        <v/>
      </c>
      <c r="J1394" s="5" t="str">
        <f t="shared" si="108"/>
        <v/>
      </c>
      <c r="K1394" s="25"/>
      <c r="L1394" s="5" t="str">
        <f t="shared" si="109"/>
        <v/>
      </c>
      <c r="M1394" s="7"/>
      <c r="N1394" s="7"/>
      <c r="O1394" s="7"/>
      <c r="P1394" s="20" t="str">
        <f>IF($A1394="","",INDEX(Project_Tracker!$I$2:$I$101,INT((ROW()-6)/17)+1))</f>
        <v/>
      </c>
      <c r="Q1394" s="20" t="str">
        <f>IF($A1394="","",INDEX(Project_Tracker!$K$2:$K$101,INT((ROW()-6)/17)+1))</f>
        <v/>
      </c>
    </row>
    <row r="1395" spans="1:17" x14ac:dyDescent="0.2">
      <c r="A1395" s="20" t="str">
        <f>IF(INDEX(Project_Tracker!$AL$2:$AL$101,INT((ROW()-6)/17)+1)="","",INDEX(Project_Tracker!$AL$2:$AL$101,INT((ROW()-6)/17)+1))</f>
        <v/>
      </c>
      <c r="B1395" s="21" t="str">
        <f>IF($A1395="","",INDEX(Project_Tracker!$AM$2:$AM$101,INT((ROW()-6)/17)+1))</f>
        <v/>
      </c>
      <c r="C1395" s="20" t="str">
        <f>IF($A1395="","",INDEX(Project_Tracker!$C$2:$C$101,INT((ROW()-6)/17)+1))</f>
        <v/>
      </c>
      <c r="D1395" s="6" t="str">
        <f>IF($A1395="","",INDEX(Project_Tracker!$T$2:$T$101,INT((ROW()-6)/17)+1))</f>
        <v/>
      </c>
      <c r="E1395" s="18">
        <f t="shared" si="105"/>
        <v>13</v>
      </c>
      <c r="F1395" s="23" t="str">
        <f>IF($A1395="","",INDEX('Logic &amp; Lists'!$I$4:$I$20,$E1395))</f>
        <v/>
      </c>
      <c r="G1395" s="18" t="str">
        <f>IF($A1395="","",INDEX('Logic &amp; Lists'!$J$4:$J$20,$E1395))</f>
        <v/>
      </c>
      <c r="H1395" s="6" t="str">
        <f t="shared" si="106"/>
        <v/>
      </c>
      <c r="I1395" s="18" t="str">
        <f t="shared" ca="1" si="107"/>
        <v/>
      </c>
      <c r="J1395" s="5" t="str">
        <f t="shared" si="108"/>
        <v/>
      </c>
      <c r="K1395" s="25"/>
      <c r="L1395" s="5" t="str">
        <f t="shared" si="109"/>
        <v/>
      </c>
      <c r="M1395" s="7"/>
      <c r="N1395" s="7"/>
      <c r="O1395" s="7"/>
      <c r="P1395" s="20" t="str">
        <f>IF($A1395="","",INDEX(Project_Tracker!$I$2:$I$101,INT((ROW()-6)/17)+1))</f>
        <v/>
      </c>
      <c r="Q1395" s="20" t="str">
        <f>IF($A1395="","",INDEX(Project_Tracker!$K$2:$K$101,INT((ROW()-6)/17)+1))</f>
        <v/>
      </c>
    </row>
    <row r="1396" spans="1:17" x14ac:dyDescent="0.2">
      <c r="A1396" s="20" t="str">
        <f>IF(INDEX(Project_Tracker!$AL$2:$AL$101,INT((ROW()-6)/17)+1)="","",INDEX(Project_Tracker!$AL$2:$AL$101,INT((ROW()-6)/17)+1))</f>
        <v/>
      </c>
      <c r="B1396" s="21" t="str">
        <f>IF($A1396="","",INDEX(Project_Tracker!$AM$2:$AM$101,INT((ROW()-6)/17)+1))</f>
        <v/>
      </c>
      <c r="C1396" s="20" t="str">
        <f>IF($A1396="","",INDEX(Project_Tracker!$C$2:$C$101,INT((ROW()-6)/17)+1))</f>
        <v/>
      </c>
      <c r="D1396" s="6" t="str">
        <f>IF($A1396="","",INDEX(Project_Tracker!$T$2:$T$101,INT((ROW()-6)/17)+1))</f>
        <v/>
      </c>
      <c r="E1396" s="18">
        <f t="shared" si="105"/>
        <v>14</v>
      </c>
      <c r="F1396" s="23" t="str">
        <f>IF($A1396="","",INDEX('Logic &amp; Lists'!$I$4:$I$20,$E1396))</f>
        <v/>
      </c>
      <c r="G1396" s="18" t="str">
        <f>IF($A1396="","",INDEX('Logic &amp; Lists'!$J$4:$J$20,$E1396))</f>
        <v/>
      </c>
      <c r="H1396" s="6" t="str">
        <f t="shared" si="106"/>
        <v/>
      </c>
      <c r="I1396" s="18" t="str">
        <f t="shared" ca="1" si="107"/>
        <v/>
      </c>
      <c r="J1396" s="5" t="str">
        <f t="shared" si="108"/>
        <v/>
      </c>
      <c r="K1396" s="25"/>
      <c r="L1396" s="5" t="str">
        <f t="shared" si="109"/>
        <v/>
      </c>
      <c r="M1396" s="7"/>
      <c r="N1396" s="7"/>
      <c r="O1396" s="7"/>
      <c r="P1396" s="20" t="str">
        <f>IF($A1396="","",INDEX(Project_Tracker!$I$2:$I$101,INT((ROW()-6)/17)+1))</f>
        <v/>
      </c>
      <c r="Q1396" s="20" t="str">
        <f>IF($A1396="","",INDEX(Project_Tracker!$K$2:$K$101,INT((ROW()-6)/17)+1))</f>
        <v/>
      </c>
    </row>
    <row r="1397" spans="1:17" x14ac:dyDescent="0.2">
      <c r="A1397" s="20" t="str">
        <f>IF(INDEX(Project_Tracker!$AL$2:$AL$101,INT((ROW()-6)/17)+1)="","",INDEX(Project_Tracker!$AL$2:$AL$101,INT((ROW()-6)/17)+1))</f>
        <v/>
      </c>
      <c r="B1397" s="21" t="str">
        <f>IF($A1397="","",INDEX(Project_Tracker!$AM$2:$AM$101,INT((ROW()-6)/17)+1))</f>
        <v/>
      </c>
      <c r="C1397" s="20" t="str">
        <f>IF($A1397="","",INDEX(Project_Tracker!$C$2:$C$101,INT((ROW()-6)/17)+1))</f>
        <v/>
      </c>
      <c r="D1397" s="6" t="str">
        <f>IF($A1397="","",INDEX(Project_Tracker!$T$2:$T$101,INT((ROW()-6)/17)+1))</f>
        <v/>
      </c>
      <c r="E1397" s="18">
        <f t="shared" si="105"/>
        <v>15</v>
      </c>
      <c r="F1397" s="23" t="str">
        <f>IF($A1397="","",INDEX('Logic &amp; Lists'!$I$4:$I$20,$E1397))</f>
        <v/>
      </c>
      <c r="G1397" s="18" t="str">
        <f>IF($A1397="","",INDEX('Logic &amp; Lists'!$J$4:$J$20,$E1397))</f>
        <v/>
      </c>
      <c r="H1397" s="6" t="str">
        <f t="shared" si="106"/>
        <v/>
      </c>
      <c r="I1397" s="18" t="str">
        <f t="shared" ca="1" si="107"/>
        <v/>
      </c>
      <c r="J1397" s="5" t="str">
        <f t="shared" si="108"/>
        <v/>
      </c>
      <c r="K1397" s="25"/>
      <c r="L1397" s="5" t="str">
        <f t="shared" si="109"/>
        <v/>
      </c>
      <c r="M1397" s="7"/>
      <c r="N1397" s="7"/>
      <c r="O1397" s="7"/>
      <c r="P1397" s="20" t="str">
        <f>IF($A1397="","",INDEX(Project_Tracker!$I$2:$I$101,INT((ROW()-6)/17)+1))</f>
        <v/>
      </c>
      <c r="Q1397" s="20" t="str">
        <f>IF($A1397="","",INDEX(Project_Tracker!$K$2:$K$101,INT((ROW()-6)/17)+1))</f>
        <v/>
      </c>
    </row>
    <row r="1398" spans="1:17" x14ac:dyDescent="0.2">
      <c r="A1398" s="20" t="str">
        <f>IF(INDEX(Project_Tracker!$AL$2:$AL$101,INT((ROW()-6)/17)+1)="","",INDEX(Project_Tracker!$AL$2:$AL$101,INT((ROW()-6)/17)+1))</f>
        <v/>
      </c>
      <c r="B1398" s="21" t="str">
        <f>IF($A1398="","",INDEX(Project_Tracker!$AM$2:$AM$101,INT((ROW()-6)/17)+1))</f>
        <v/>
      </c>
      <c r="C1398" s="20" t="str">
        <f>IF($A1398="","",INDEX(Project_Tracker!$C$2:$C$101,INT((ROW()-6)/17)+1))</f>
        <v/>
      </c>
      <c r="D1398" s="6" t="str">
        <f>IF($A1398="","",INDEX(Project_Tracker!$T$2:$T$101,INT((ROW()-6)/17)+1))</f>
        <v/>
      </c>
      <c r="E1398" s="18">
        <f t="shared" si="105"/>
        <v>16</v>
      </c>
      <c r="F1398" s="23" t="str">
        <f>IF($A1398="","",INDEX('Logic &amp; Lists'!$I$4:$I$20,$E1398))</f>
        <v/>
      </c>
      <c r="G1398" s="18" t="str">
        <f>IF($A1398="","",INDEX('Logic &amp; Lists'!$J$4:$J$20,$E1398))</f>
        <v/>
      </c>
      <c r="H1398" s="6" t="str">
        <f t="shared" si="106"/>
        <v/>
      </c>
      <c r="I1398" s="18" t="str">
        <f t="shared" ca="1" si="107"/>
        <v/>
      </c>
      <c r="J1398" s="5" t="str">
        <f t="shared" si="108"/>
        <v/>
      </c>
      <c r="K1398" s="25"/>
      <c r="L1398" s="5" t="str">
        <f t="shared" si="109"/>
        <v/>
      </c>
      <c r="M1398" s="7"/>
      <c r="N1398" s="7"/>
      <c r="O1398" s="7"/>
      <c r="P1398" s="20" t="str">
        <f>IF($A1398="","",INDEX(Project_Tracker!$I$2:$I$101,INT((ROW()-6)/17)+1))</f>
        <v/>
      </c>
      <c r="Q1398" s="20" t="str">
        <f>IF($A1398="","",INDEX(Project_Tracker!$K$2:$K$101,INT((ROW()-6)/17)+1))</f>
        <v/>
      </c>
    </row>
    <row r="1399" spans="1:17" x14ac:dyDescent="0.2">
      <c r="A1399" s="20" t="str">
        <f>IF(INDEX(Project_Tracker!$AL$2:$AL$101,INT((ROW()-6)/17)+1)="","",INDEX(Project_Tracker!$AL$2:$AL$101,INT((ROW()-6)/17)+1))</f>
        <v/>
      </c>
      <c r="B1399" s="21" t="str">
        <f>IF($A1399="","",INDEX(Project_Tracker!$AM$2:$AM$101,INT((ROW()-6)/17)+1))</f>
        <v/>
      </c>
      <c r="C1399" s="20" t="str">
        <f>IF($A1399="","",INDEX(Project_Tracker!$C$2:$C$101,INT((ROW()-6)/17)+1))</f>
        <v/>
      </c>
      <c r="D1399" s="6" t="str">
        <f>IF($A1399="","",INDEX(Project_Tracker!$T$2:$T$101,INT((ROW()-6)/17)+1))</f>
        <v/>
      </c>
      <c r="E1399" s="18">
        <f t="shared" si="105"/>
        <v>17</v>
      </c>
      <c r="F1399" s="23" t="str">
        <f>IF($A1399="","",INDEX('Logic &amp; Lists'!$I$4:$I$20,$E1399))</f>
        <v/>
      </c>
      <c r="G1399" s="18" t="str">
        <f>IF($A1399="","",INDEX('Logic &amp; Lists'!$J$4:$J$20,$E1399))</f>
        <v/>
      </c>
      <c r="H1399" s="6" t="str">
        <f t="shared" si="106"/>
        <v/>
      </c>
      <c r="I1399" s="18" t="str">
        <f t="shared" ca="1" si="107"/>
        <v/>
      </c>
      <c r="J1399" s="5" t="str">
        <f t="shared" si="108"/>
        <v/>
      </c>
      <c r="K1399" s="25"/>
      <c r="L1399" s="5" t="str">
        <f t="shared" si="109"/>
        <v/>
      </c>
      <c r="M1399" s="7"/>
      <c r="N1399" s="7"/>
      <c r="O1399" s="7"/>
      <c r="P1399" s="20" t="str">
        <f>IF($A1399="","",INDEX(Project_Tracker!$I$2:$I$101,INT((ROW()-6)/17)+1))</f>
        <v/>
      </c>
      <c r="Q1399" s="20" t="str">
        <f>IF($A1399="","",INDEX(Project_Tracker!$K$2:$K$101,INT((ROW()-6)/17)+1))</f>
        <v/>
      </c>
    </row>
    <row r="1400" spans="1:17" x14ac:dyDescent="0.2">
      <c r="A1400" s="20" t="str">
        <f>IF(INDEX(Project_Tracker!$AL$2:$AL$101,INT((ROW()-6)/17)+1)="","",INDEX(Project_Tracker!$AL$2:$AL$101,INT((ROW()-6)/17)+1))</f>
        <v/>
      </c>
      <c r="B1400" s="21" t="str">
        <f>IF($A1400="","",INDEX(Project_Tracker!$AM$2:$AM$101,INT((ROW()-6)/17)+1))</f>
        <v/>
      </c>
      <c r="C1400" s="20" t="str">
        <f>IF($A1400="","",INDEX(Project_Tracker!$C$2:$C$101,INT((ROW()-6)/17)+1))</f>
        <v/>
      </c>
      <c r="D1400" s="6" t="str">
        <f>IF($A1400="","",INDEX(Project_Tracker!$T$2:$T$101,INT((ROW()-6)/17)+1))</f>
        <v/>
      </c>
      <c r="E1400" s="18">
        <f t="shared" si="105"/>
        <v>1</v>
      </c>
      <c r="F1400" s="23" t="str">
        <f>IF($A1400="","",INDEX('Logic &amp; Lists'!$I$4:$I$20,$E1400))</f>
        <v/>
      </c>
      <c r="G1400" s="18" t="str">
        <f>IF($A1400="","",INDEX('Logic &amp; Lists'!$J$4:$J$20,$E1400))</f>
        <v/>
      </c>
      <c r="H1400" s="6" t="str">
        <f t="shared" si="106"/>
        <v/>
      </c>
      <c r="I1400" s="18" t="str">
        <f t="shared" ca="1" si="107"/>
        <v/>
      </c>
      <c r="J1400" s="5" t="str">
        <f t="shared" si="108"/>
        <v/>
      </c>
      <c r="K1400" s="25"/>
      <c r="L1400" s="5" t="str">
        <f t="shared" si="109"/>
        <v/>
      </c>
      <c r="M1400" s="7"/>
      <c r="N1400" s="7"/>
      <c r="O1400" s="7"/>
      <c r="P1400" s="20" t="str">
        <f>IF($A1400="","",INDEX(Project_Tracker!$I$2:$I$101,INT((ROW()-6)/17)+1))</f>
        <v/>
      </c>
      <c r="Q1400" s="20" t="str">
        <f>IF($A1400="","",INDEX(Project_Tracker!$K$2:$K$101,INT((ROW()-6)/17)+1))</f>
        <v/>
      </c>
    </row>
    <row r="1401" spans="1:17" x14ac:dyDescent="0.2">
      <c r="A1401" s="20" t="str">
        <f>IF(INDEX(Project_Tracker!$AL$2:$AL$101,INT((ROW()-6)/17)+1)="","",INDEX(Project_Tracker!$AL$2:$AL$101,INT((ROW()-6)/17)+1))</f>
        <v/>
      </c>
      <c r="B1401" s="21" t="str">
        <f>IF($A1401="","",INDEX(Project_Tracker!$AM$2:$AM$101,INT((ROW()-6)/17)+1))</f>
        <v/>
      </c>
      <c r="C1401" s="20" t="str">
        <f>IF($A1401="","",INDEX(Project_Tracker!$C$2:$C$101,INT((ROW()-6)/17)+1))</f>
        <v/>
      </c>
      <c r="D1401" s="6" t="str">
        <f>IF($A1401="","",INDEX(Project_Tracker!$T$2:$T$101,INT((ROW()-6)/17)+1))</f>
        <v/>
      </c>
      <c r="E1401" s="18">
        <f t="shared" si="105"/>
        <v>2</v>
      </c>
      <c r="F1401" s="23" t="str">
        <f>IF($A1401="","",INDEX('Logic &amp; Lists'!$I$4:$I$20,$E1401))</f>
        <v/>
      </c>
      <c r="G1401" s="18" t="str">
        <f>IF($A1401="","",INDEX('Logic &amp; Lists'!$J$4:$J$20,$E1401))</f>
        <v/>
      </c>
      <c r="H1401" s="6" t="str">
        <f t="shared" si="106"/>
        <v/>
      </c>
      <c r="I1401" s="18" t="str">
        <f t="shared" ca="1" si="107"/>
        <v/>
      </c>
      <c r="J1401" s="5" t="str">
        <f t="shared" si="108"/>
        <v/>
      </c>
      <c r="K1401" s="25"/>
      <c r="L1401" s="5" t="str">
        <f t="shared" si="109"/>
        <v/>
      </c>
      <c r="M1401" s="7"/>
      <c r="N1401" s="7"/>
      <c r="O1401" s="7"/>
      <c r="P1401" s="20" t="str">
        <f>IF($A1401="","",INDEX(Project_Tracker!$I$2:$I$101,INT((ROW()-6)/17)+1))</f>
        <v/>
      </c>
      <c r="Q1401" s="20" t="str">
        <f>IF($A1401="","",INDEX(Project_Tracker!$K$2:$K$101,INT((ROW()-6)/17)+1))</f>
        <v/>
      </c>
    </row>
    <row r="1402" spans="1:17" x14ac:dyDescent="0.2">
      <c r="A1402" s="20" t="str">
        <f>IF(INDEX(Project_Tracker!$AL$2:$AL$101,INT((ROW()-6)/17)+1)="","",INDEX(Project_Tracker!$AL$2:$AL$101,INT((ROW()-6)/17)+1))</f>
        <v/>
      </c>
      <c r="B1402" s="21" t="str">
        <f>IF($A1402="","",INDEX(Project_Tracker!$AM$2:$AM$101,INT((ROW()-6)/17)+1))</f>
        <v/>
      </c>
      <c r="C1402" s="20" t="str">
        <f>IF($A1402="","",INDEX(Project_Tracker!$C$2:$C$101,INT((ROW()-6)/17)+1))</f>
        <v/>
      </c>
      <c r="D1402" s="6" t="str">
        <f>IF($A1402="","",INDEX(Project_Tracker!$T$2:$T$101,INT((ROW()-6)/17)+1))</f>
        <v/>
      </c>
      <c r="E1402" s="18">
        <f t="shared" si="105"/>
        <v>3</v>
      </c>
      <c r="F1402" s="23" t="str">
        <f>IF($A1402="","",INDEX('Logic &amp; Lists'!$I$4:$I$20,$E1402))</f>
        <v/>
      </c>
      <c r="G1402" s="18" t="str">
        <f>IF($A1402="","",INDEX('Logic &amp; Lists'!$J$4:$J$20,$E1402))</f>
        <v/>
      </c>
      <c r="H1402" s="6" t="str">
        <f t="shared" si="106"/>
        <v/>
      </c>
      <c r="I1402" s="18" t="str">
        <f t="shared" ca="1" si="107"/>
        <v/>
      </c>
      <c r="J1402" s="5" t="str">
        <f t="shared" si="108"/>
        <v/>
      </c>
      <c r="K1402" s="25"/>
      <c r="L1402" s="5" t="str">
        <f t="shared" si="109"/>
        <v/>
      </c>
      <c r="M1402" s="7"/>
      <c r="N1402" s="7"/>
      <c r="O1402" s="7"/>
      <c r="P1402" s="20" t="str">
        <f>IF($A1402="","",INDEX(Project_Tracker!$I$2:$I$101,INT((ROW()-6)/17)+1))</f>
        <v/>
      </c>
      <c r="Q1402" s="20" t="str">
        <f>IF($A1402="","",INDEX(Project_Tracker!$K$2:$K$101,INT((ROW()-6)/17)+1))</f>
        <v/>
      </c>
    </row>
    <row r="1403" spans="1:17" x14ac:dyDescent="0.2">
      <c r="A1403" s="20" t="str">
        <f>IF(INDEX(Project_Tracker!$AL$2:$AL$101,INT((ROW()-6)/17)+1)="","",INDEX(Project_Tracker!$AL$2:$AL$101,INT((ROW()-6)/17)+1))</f>
        <v/>
      </c>
      <c r="B1403" s="21" t="str">
        <f>IF($A1403="","",INDEX(Project_Tracker!$AM$2:$AM$101,INT((ROW()-6)/17)+1))</f>
        <v/>
      </c>
      <c r="C1403" s="20" t="str">
        <f>IF($A1403="","",INDEX(Project_Tracker!$C$2:$C$101,INT((ROW()-6)/17)+1))</f>
        <v/>
      </c>
      <c r="D1403" s="6" t="str">
        <f>IF($A1403="","",INDEX(Project_Tracker!$T$2:$T$101,INT((ROW()-6)/17)+1))</f>
        <v/>
      </c>
      <c r="E1403" s="18">
        <f t="shared" si="105"/>
        <v>4</v>
      </c>
      <c r="F1403" s="23" t="str">
        <f>IF($A1403="","",INDEX('Logic &amp; Lists'!$I$4:$I$20,$E1403))</f>
        <v/>
      </c>
      <c r="G1403" s="18" t="str">
        <f>IF($A1403="","",INDEX('Logic &amp; Lists'!$J$4:$J$20,$E1403))</f>
        <v/>
      </c>
      <c r="H1403" s="6" t="str">
        <f t="shared" si="106"/>
        <v/>
      </c>
      <c r="I1403" s="18" t="str">
        <f t="shared" ca="1" si="107"/>
        <v/>
      </c>
      <c r="J1403" s="5" t="str">
        <f t="shared" si="108"/>
        <v/>
      </c>
      <c r="K1403" s="25"/>
      <c r="L1403" s="5" t="str">
        <f t="shared" si="109"/>
        <v/>
      </c>
      <c r="M1403" s="7"/>
      <c r="N1403" s="7"/>
      <c r="O1403" s="7"/>
      <c r="P1403" s="20" t="str">
        <f>IF($A1403="","",INDEX(Project_Tracker!$I$2:$I$101,INT((ROW()-6)/17)+1))</f>
        <v/>
      </c>
      <c r="Q1403" s="20" t="str">
        <f>IF($A1403="","",INDEX(Project_Tracker!$K$2:$K$101,INT((ROW()-6)/17)+1))</f>
        <v/>
      </c>
    </row>
    <row r="1404" spans="1:17" x14ac:dyDescent="0.2">
      <c r="A1404" s="20" t="str">
        <f>IF(INDEX(Project_Tracker!$AL$2:$AL$101,INT((ROW()-6)/17)+1)="","",INDEX(Project_Tracker!$AL$2:$AL$101,INT((ROW()-6)/17)+1))</f>
        <v/>
      </c>
      <c r="B1404" s="21" t="str">
        <f>IF($A1404="","",INDEX(Project_Tracker!$AM$2:$AM$101,INT((ROW()-6)/17)+1))</f>
        <v/>
      </c>
      <c r="C1404" s="20" t="str">
        <f>IF($A1404="","",INDEX(Project_Tracker!$C$2:$C$101,INT((ROW()-6)/17)+1))</f>
        <v/>
      </c>
      <c r="D1404" s="6" t="str">
        <f>IF($A1404="","",INDEX(Project_Tracker!$T$2:$T$101,INT((ROW()-6)/17)+1))</f>
        <v/>
      </c>
      <c r="E1404" s="18">
        <f t="shared" si="105"/>
        <v>5</v>
      </c>
      <c r="F1404" s="23" t="str">
        <f>IF($A1404="","",INDEX('Logic &amp; Lists'!$I$4:$I$20,$E1404))</f>
        <v/>
      </c>
      <c r="G1404" s="18" t="str">
        <f>IF($A1404="","",INDEX('Logic &amp; Lists'!$J$4:$J$20,$E1404))</f>
        <v/>
      </c>
      <c r="H1404" s="6" t="str">
        <f t="shared" si="106"/>
        <v/>
      </c>
      <c r="I1404" s="18" t="str">
        <f t="shared" ca="1" si="107"/>
        <v/>
      </c>
      <c r="J1404" s="5" t="str">
        <f t="shared" si="108"/>
        <v/>
      </c>
      <c r="K1404" s="25"/>
      <c r="L1404" s="5" t="str">
        <f t="shared" si="109"/>
        <v/>
      </c>
      <c r="M1404" s="7"/>
      <c r="N1404" s="7"/>
      <c r="O1404" s="7"/>
      <c r="P1404" s="20" t="str">
        <f>IF($A1404="","",INDEX(Project_Tracker!$I$2:$I$101,INT((ROW()-6)/17)+1))</f>
        <v/>
      </c>
      <c r="Q1404" s="20" t="str">
        <f>IF($A1404="","",INDEX(Project_Tracker!$K$2:$K$101,INT((ROW()-6)/17)+1))</f>
        <v/>
      </c>
    </row>
    <row r="1405" spans="1:17" x14ac:dyDescent="0.2">
      <c r="A1405" s="20" t="str">
        <f>IF(INDEX(Project_Tracker!$AL$2:$AL$101,INT((ROW()-6)/17)+1)="","",INDEX(Project_Tracker!$AL$2:$AL$101,INT((ROW()-6)/17)+1))</f>
        <v/>
      </c>
      <c r="B1405" s="21" t="str">
        <f>IF($A1405="","",INDEX(Project_Tracker!$AM$2:$AM$101,INT((ROW()-6)/17)+1))</f>
        <v/>
      </c>
      <c r="C1405" s="20" t="str">
        <f>IF($A1405="","",INDEX(Project_Tracker!$C$2:$C$101,INT((ROW()-6)/17)+1))</f>
        <v/>
      </c>
      <c r="D1405" s="6" t="str">
        <f>IF($A1405="","",INDEX(Project_Tracker!$T$2:$T$101,INT((ROW()-6)/17)+1))</f>
        <v/>
      </c>
      <c r="E1405" s="18">
        <f t="shared" si="105"/>
        <v>6</v>
      </c>
      <c r="F1405" s="23" t="str">
        <f>IF($A1405="","",INDEX('Logic &amp; Lists'!$I$4:$I$20,$E1405))</f>
        <v/>
      </c>
      <c r="G1405" s="18" t="str">
        <f>IF($A1405="","",INDEX('Logic &amp; Lists'!$J$4:$J$20,$E1405))</f>
        <v/>
      </c>
      <c r="H1405" s="6" t="str">
        <f t="shared" si="106"/>
        <v/>
      </c>
      <c r="I1405" s="18" t="str">
        <f t="shared" ca="1" si="107"/>
        <v/>
      </c>
      <c r="J1405" s="5" t="str">
        <f t="shared" si="108"/>
        <v/>
      </c>
      <c r="K1405" s="25"/>
      <c r="L1405" s="5" t="str">
        <f t="shared" si="109"/>
        <v/>
      </c>
      <c r="M1405" s="7"/>
      <c r="N1405" s="7"/>
      <c r="O1405" s="7"/>
      <c r="P1405" s="20" t="str">
        <f>IF($A1405="","",INDEX(Project_Tracker!$I$2:$I$101,INT((ROW()-6)/17)+1))</f>
        <v/>
      </c>
      <c r="Q1405" s="20" t="str">
        <f>IF($A1405="","",INDEX(Project_Tracker!$K$2:$K$101,INT((ROW()-6)/17)+1))</f>
        <v/>
      </c>
    </row>
    <row r="1406" spans="1:17" x14ac:dyDescent="0.2">
      <c r="A1406" s="20" t="str">
        <f>IF(INDEX(Project_Tracker!$AL$2:$AL$101,INT((ROW()-6)/17)+1)="","",INDEX(Project_Tracker!$AL$2:$AL$101,INT((ROW()-6)/17)+1))</f>
        <v/>
      </c>
      <c r="B1406" s="21" t="str">
        <f>IF($A1406="","",INDEX(Project_Tracker!$AM$2:$AM$101,INT((ROW()-6)/17)+1))</f>
        <v/>
      </c>
      <c r="C1406" s="20" t="str">
        <f>IF($A1406="","",INDEX(Project_Tracker!$C$2:$C$101,INT((ROW()-6)/17)+1))</f>
        <v/>
      </c>
      <c r="D1406" s="6" t="str">
        <f>IF($A1406="","",INDEX(Project_Tracker!$T$2:$T$101,INT((ROW()-6)/17)+1))</f>
        <v/>
      </c>
      <c r="E1406" s="18">
        <f t="shared" si="105"/>
        <v>7</v>
      </c>
      <c r="F1406" s="23" t="str">
        <f>IF($A1406="","",INDEX('Logic &amp; Lists'!$I$4:$I$20,$E1406))</f>
        <v/>
      </c>
      <c r="G1406" s="18" t="str">
        <f>IF($A1406="","",INDEX('Logic &amp; Lists'!$J$4:$J$20,$E1406))</f>
        <v/>
      </c>
      <c r="H1406" s="6" t="str">
        <f t="shared" si="106"/>
        <v/>
      </c>
      <c r="I1406" s="18" t="str">
        <f t="shared" ca="1" si="107"/>
        <v/>
      </c>
      <c r="J1406" s="5" t="str">
        <f t="shared" si="108"/>
        <v/>
      </c>
      <c r="K1406" s="25"/>
      <c r="L1406" s="5" t="str">
        <f t="shared" si="109"/>
        <v/>
      </c>
      <c r="M1406" s="7"/>
      <c r="N1406" s="7"/>
      <c r="O1406" s="7"/>
      <c r="P1406" s="20" t="str">
        <f>IF($A1406="","",INDEX(Project_Tracker!$I$2:$I$101,INT((ROW()-6)/17)+1))</f>
        <v/>
      </c>
      <c r="Q1406" s="20" t="str">
        <f>IF($A1406="","",INDEX(Project_Tracker!$K$2:$K$101,INT((ROW()-6)/17)+1))</f>
        <v/>
      </c>
    </row>
    <row r="1407" spans="1:17" x14ac:dyDescent="0.2">
      <c r="A1407" s="20" t="str">
        <f>IF(INDEX(Project_Tracker!$AL$2:$AL$101,INT((ROW()-6)/17)+1)="","",INDEX(Project_Tracker!$AL$2:$AL$101,INT((ROW()-6)/17)+1))</f>
        <v/>
      </c>
      <c r="B1407" s="21" t="str">
        <f>IF($A1407="","",INDEX(Project_Tracker!$AM$2:$AM$101,INT((ROW()-6)/17)+1))</f>
        <v/>
      </c>
      <c r="C1407" s="20" t="str">
        <f>IF($A1407="","",INDEX(Project_Tracker!$C$2:$C$101,INT((ROW()-6)/17)+1))</f>
        <v/>
      </c>
      <c r="D1407" s="6" t="str">
        <f>IF($A1407="","",INDEX(Project_Tracker!$T$2:$T$101,INT((ROW()-6)/17)+1))</f>
        <v/>
      </c>
      <c r="E1407" s="18">
        <f t="shared" si="105"/>
        <v>8</v>
      </c>
      <c r="F1407" s="23" t="str">
        <f>IF($A1407="","",INDEX('Logic &amp; Lists'!$I$4:$I$20,$E1407))</f>
        <v/>
      </c>
      <c r="G1407" s="18" t="str">
        <f>IF($A1407="","",INDEX('Logic &amp; Lists'!$J$4:$J$20,$E1407))</f>
        <v/>
      </c>
      <c r="H1407" s="6" t="str">
        <f t="shared" si="106"/>
        <v/>
      </c>
      <c r="I1407" s="18" t="str">
        <f t="shared" ca="1" si="107"/>
        <v/>
      </c>
      <c r="J1407" s="5" t="str">
        <f t="shared" si="108"/>
        <v/>
      </c>
      <c r="K1407" s="25"/>
      <c r="L1407" s="5" t="str">
        <f t="shared" si="109"/>
        <v/>
      </c>
      <c r="M1407" s="7"/>
      <c r="N1407" s="7"/>
      <c r="O1407" s="7"/>
      <c r="P1407" s="20" t="str">
        <f>IF($A1407="","",INDEX(Project_Tracker!$I$2:$I$101,INT((ROW()-6)/17)+1))</f>
        <v/>
      </c>
      <c r="Q1407" s="20" t="str">
        <f>IF($A1407="","",INDEX(Project_Tracker!$K$2:$K$101,INT((ROW()-6)/17)+1))</f>
        <v/>
      </c>
    </row>
    <row r="1408" spans="1:17" x14ac:dyDescent="0.2">
      <c r="A1408" s="20" t="str">
        <f>IF(INDEX(Project_Tracker!$AL$2:$AL$101,INT((ROW()-6)/17)+1)="","",INDEX(Project_Tracker!$AL$2:$AL$101,INT((ROW()-6)/17)+1))</f>
        <v/>
      </c>
      <c r="B1408" s="21" t="str">
        <f>IF($A1408="","",INDEX(Project_Tracker!$AM$2:$AM$101,INT((ROW()-6)/17)+1))</f>
        <v/>
      </c>
      <c r="C1408" s="20" t="str">
        <f>IF($A1408="","",INDEX(Project_Tracker!$C$2:$C$101,INT((ROW()-6)/17)+1))</f>
        <v/>
      </c>
      <c r="D1408" s="6" t="str">
        <f>IF($A1408="","",INDEX(Project_Tracker!$T$2:$T$101,INT((ROW()-6)/17)+1))</f>
        <v/>
      </c>
      <c r="E1408" s="18">
        <f t="shared" si="105"/>
        <v>9</v>
      </c>
      <c r="F1408" s="23" t="str">
        <f>IF($A1408="","",INDEX('Logic &amp; Lists'!$I$4:$I$20,$E1408))</f>
        <v/>
      </c>
      <c r="G1408" s="18" t="str">
        <f>IF($A1408="","",INDEX('Logic &amp; Lists'!$J$4:$J$20,$E1408))</f>
        <v/>
      </c>
      <c r="H1408" s="6" t="str">
        <f t="shared" si="106"/>
        <v/>
      </c>
      <c r="I1408" s="18" t="str">
        <f t="shared" ca="1" si="107"/>
        <v/>
      </c>
      <c r="J1408" s="5" t="str">
        <f t="shared" si="108"/>
        <v/>
      </c>
      <c r="K1408" s="25"/>
      <c r="L1408" s="5" t="str">
        <f t="shared" si="109"/>
        <v/>
      </c>
      <c r="M1408" s="7"/>
      <c r="N1408" s="7"/>
      <c r="O1408" s="7"/>
      <c r="P1408" s="20" t="str">
        <f>IF($A1408="","",INDEX(Project_Tracker!$I$2:$I$101,INT((ROW()-6)/17)+1))</f>
        <v/>
      </c>
      <c r="Q1408" s="20" t="str">
        <f>IF($A1408="","",INDEX(Project_Tracker!$K$2:$K$101,INT((ROW()-6)/17)+1))</f>
        <v/>
      </c>
    </row>
    <row r="1409" spans="1:17" x14ac:dyDescent="0.2">
      <c r="A1409" s="20" t="str">
        <f>IF(INDEX(Project_Tracker!$AL$2:$AL$101,INT((ROW()-6)/17)+1)="","",INDEX(Project_Tracker!$AL$2:$AL$101,INT((ROW()-6)/17)+1))</f>
        <v/>
      </c>
      <c r="B1409" s="21" t="str">
        <f>IF($A1409="","",INDEX(Project_Tracker!$AM$2:$AM$101,INT((ROW()-6)/17)+1))</f>
        <v/>
      </c>
      <c r="C1409" s="20" t="str">
        <f>IF($A1409="","",INDEX(Project_Tracker!$C$2:$C$101,INT((ROW()-6)/17)+1))</f>
        <v/>
      </c>
      <c r="D1409" s="6" t="str">
        <f>IF($A1409="","",INDEX(Project_Tracker!$T$2:$T$101,INT((ROW()-6)/17)+1))</f>
        <v/>
      </c>
      <c r="E1409" s="18">
        <f t="shared" si="105"/>
        <v>10</v>
      </c>
      <c r="F1409" s="23" t="str">
        <f>IF($A1409="","",INDEX('Logic &amp; Lists'!$I$4:$I$20,$E1409))</f>
        <v/>
      </c>
      <c r="G1409" s="18" t="str">
        <f>IF($A1409="","",INDEX('Logic &amp; Lists'!$J$4:$J$20,$E1409))</f>
        <v/>
      </c>
      <c r="H1409" s="6" t="str">
        <f t="shared" si="106"/>
        <v/>
      </c>
      <c r="I1409" s="18" t="str">
        <f t="shared" ca="1" si="107"/>
        <v/>
      </c>
      <c r="J1409" s="5" t="str">
        <f t="shared" si="108"/>
        <v/>
      </c>
      <c r="K1409" s="25"/>
      <c r="L1409" s="5" t="str">
        <f t="shared" si="109"/>
        <v/>
      </c>
      <c r="M1409" s="7"/>
      <c r="N1409" s="7"/>
      <c r="O1409" s="7"/>
      <c r="P1409" s="20" t="str">
        <f>IF($A1409="","",INDEX(Project_Tracker!$I$2:$I$101,INT((ROW()-6)/17)+1))</f>
        <v/>
      </c>
      <c r="Q1409" s="20" t="str">
        <f>IF($A1409="","",INDEX(Project_Tracker!$K$2:$K$101,INT((ROW()-6)/17)+1))</f>
        <v/>
      </c>
    </row>
    <row r="1410" spans="1:17" x14ac:dyDescent="0.2">
      <c r="A1410" s="20" t="str">
        <f>IF(INDEX(Project_Tracker!$AL$2:$AL$101,INT((ROW()-6)/17)+1)="","",INDEX(Project_Tracker!$AL$2:$AL$101,INT((ROW()-6)/17)+1))</f>
        <v/>
      </c>
      <c r="B1410" s="21" t="str">
        <f>IF($A1410="","",INDEX(Project_Tracker!$AM$2:$AM$101,INT((ROW()-6)/17)+1))</f>
        <v/>
      </c>
      <c r="C1410" s="20" t="str">
        <f>IF($A1410="","",INDEX(Project_Tracker!$C$2:$C$101,INT((ROW()-6)/17)+1))</f>
        <v/>
      </c>
      <c r="D1410" s="6" t="str">
        <f>IF($A1410="","",INDEX(Project_Tracker!$T$2:$T$101,INT((ROW()-6)/17)+1))</f>
        <v/>
      </c>
      <c r="E1410" s="18">
        <f t="shared" si="105"/>
        <v>11</v>
      </c>
      <c r="F1410" s="23" t="str">
        <f>IF($A1410="","",INDEX('Logic &amp; Lists'!$I$4:$I$20,$E1410))</f>
        <v/>
      </c>
      <c r="G1410" s="18" t="str">
        <f>IF($A1410="","",INDEX('Logic &amp; Lists'!$J$4:$J$20,$E1410))</f>
        <v/>
      </c>
      <c r="H1410" s="6" t="str">
        <f t="shared" si="106"/>
        <v/>
      </c>
      <c r="I1410" s="18" t="str">
        <f t="shared" ca="1" si="107"/>
        <v/>
      </c>
      <c r="J1410" s="5" t="str">
        <f t="shared" si="108"/>
        <v/>
      </c>
      <c r="K1410" s="25"/>
      <c r="L1410" s="5" t="str">
        <f t="shared" si="109"/>
        <v/>
      </c>
      <c r="M1410" s="7"/>
      <c r="N1410" s="7"/>
      <c r="O1410" s="7"/>
      <c r="P1410" s="20" t="str">
        <f>IF($A1410="","",INDEX(Project_Tracker!$I$2:$I$101,INT((ROW()-6)/17)+1))</f>
        <v/>
      </c>
      <c r="Q1410" s="20" t="str">
        <f>IF($A1410="","",INDEX(Project_Tracker!$K$2:$K$101,INT((ROW()-6)/17)+1))</f>
        <v/>
      </c>
    </row>
    <row r="1411" spans="1:17" x14ac:dyDescent="0.2">
      <c r="A1411" s="20" t="str">
        <f>IF(INDEX(Project_Tracker!$AL$2:$AL$101,INT((ROW()-6)/17)+1)="","",INDEX(Project_Tracker!$AL$2:$AL$101,INT((ROW()-6)/17)+1))</f>
        <v/>
      </c>
      <c r="B1411" s="21" t="str">
        <f>IF($A1411="","",INDEX(Project_Tracker!$AM$2:$AM$101,INT((ROW()-6)/17)+1))</f>
        <v/>
      </c>
      <c r="C1411" s="20" t="str">
        <f>IF($A1411="","",INDEX(Project_Tracker!$C$2:$C$101,INT((ROW()-6)/17)+1))</f>
        <v/>
      </c>
      <c r="D1411" s="6" t="str">
        <f>IF($A1411="","",INDEX(Project_Tracker!$T$2:$T$101,INT((ROW()-6)/17)+1))</f>
        <v/>
      </c>
      <c r="E1411" s="18">
        <f t="shared" si="105"/>
        <v>12</v>
      </c>
      <c r="F1411" s="23" t="str">
        <f>IF($A1411="","",INDEX('Logic &amp; Lists'!$I$4:$I$20,$E1411))</f>
        <v/>
      </c>
      <c r="G1411" s="18" t="str">
        <f>IF($A1411="","",INDEX('Logic &amp; Lists'!$J$4:$J$20,$E1411))</f>
        <v/>
      </c>
      <c r="H1411" s="6" t="str">
        <f t="shared" si="106"/>
        <v/>
      </c>
      <c r="I1411" s="18" t="str">
        <f t="shared" ca="1" si="107"/>
        <v/>
      </c>
      <c r="J1411" s="5" t="str">
        <f t="shared" si="108"/>
        <v/>
      </c>
      <c r="K1411" s="25"/>
      <c r="L1411" s="5" t="str">
        <f t="shared" si="109"/>
        <v/>
      </c>
      <c r="M1411" s="7"/>
      <c r="N1411" s="7"/>
      <c r="O1411" s="7"/>
      <c r="P1411" s="20" t="str">
        <f>IF($A1411="","",INDEX(Project_Tracker!$I$2:$I$101,INT((ROW()-6)/17)+1))</f>
        <v/>
      </c>
      <c r="Q1411" s="20" t="str">
        <f>IF($A1411="","",INDEX(Project_Tracker!$K$2:$K$101,INT((ROW()-6)/17)+1))</f>
        <v/>
      </c>
    </row>
    <row r="1412" spans="1:17" x14ac:dyDescent="0.2">
      <c r="A1412" s="20" t="str">
        <f>IF(INDEX(Project_Tracker!$AL$2:$AL$101,INT((ROW()-6)/17)+1)="","",INDEX(Project_Tracker!$AL$2:$AL$101,INT((ROW()-6)/17)+1))</f>
        <v/>
      </c>
      <c r="B1412" s="21" t="str">
        <f>IF($A1412="","",INDEX(Project_Tracker!$AM$2:$AM$101,INT((ROW()-6)/17)+1))</f>
        <v/>
      </c>
      <c r="C1412" s="20" t="str">
        <f>IF($A1412="","",INDEX(Project_Tracker!$C$2:$C$101,INT((ROW()-6)/17)+1))</f>
        <v/>
      </c>
      <c r="D1412" s="6" t="str">
        <f>IF($A1412="","",INDEX(Project_Tracker!$T$2:$T$101,INT((ROW()-6)/17)+1))</f>
        <v/>
      </c>
      <c r="E1412" s="18">
        <f t="shared" si="105"/>
        <v>13</v>
      </c>
      <c r="F1412" s="23" t="str">
        <f>IF($A1412="","",INDEX('Logic &amp; Lists'!$I$4:$I$20,$E1412))</f>
        <v/>
      </c>
      <c r="G1412" s="18" t="str">
        <f>IF($A1412="","",INDEX('Logic &amp; Lists'!$J$4:$J$20,$E1412))</f>
        <v/>
      </c>
      <c r="H1412" s="6" t="str">
        <f t="shared" si="106"/>
        <v/>
      </c>
      <c r="I1412" s="18" t="str">
        <f t="shared" ca="1" si="107"/>
        <v/>
      </c>
      <c r="J1412" s="5" t="str">
        <f t="shared" si="108"/>
        <v/>
      </c>
      <c r="K1412" s="25"/>
      <c r="L1412" s="5" t="str">
        <f t="shared" si="109"/>
        <v/>
      </c>
      <c r="M1412" s="7"/>
      <c r="N1412" s="7"/>
      <c r="O1412" s="7"/>
      <c r="P1412" s="20" t="str">
        <f>IF($A1412="","",INDEX(Project_Tracker!$I$2:$I$101,INT((ROW()-6)/17)+1))</f>
        <v/>
      </c>
      <c r="Q1412" s="20" t="str">
        <f>IF($A1412="","",INDEX(Project_Tracker!$K$2:$K$101,INT((ROW()-6)/17)+1))</f>
        <v/>
      </c>
    </row>
    <row r="1413" spans="1:17" x14ac:dyDescent="0.2">
      <c r="A1413" s="20" t="str">
        <f>IF(INDEX(Project_Tracker!$AL$2:$AL$101,INT((ROW()-6)/17)+1)="","",INDEX(Project_Tracker!$AL$2:$AL$101,INT((ROW()-6)/17)+1))</f>
        <v/>
      </c>
      <c r="B1413" s="21" t="str">
        <f>IF($A1413="","",INDEX(Project_Tracker!$AM$2:$AM$101,INT((ROW()-6)/17)+1))</f>
        <v/>
      </c>
      <c r="C1413" s="20" t="str">
        <f>IF($A1413="","",INDEX(Project_Tracker!$C$2:$C$101,INT((ROW()-6)/17)+1))</f>
        <v/>
      </c>
      <c r="D1413" s="6" t="str">
        <f>IF($A1413="","",INDEX(Project_Tracker!$T$2:$T$101,INT((ROW()-6)/17)+1))</f>
        <v/>
      </c>
      <c r="E1413" s="18">
        <f t="shared" si="105"/>
        <v>14</v>
      </c>
      <c r="F1413" s="23" t="str">
        <f>IF($A1413="","",INDEX('Logic &amp; Lists'!$I$4:$I$20,$E1413))</f>
        <v/>
      </c>
      <c r="G1413" s="18" t="str">
        <f>IF($A1413="","",INDEX('Logic &amp; Lists'!$J$4:$J$20,$E1413))</f>
        <v/>
      </c>
      <c r="H1413" s="6" t="str">
        <f t="shared" si="106"/>
        <v/>
      </c>
      <c r="I1413" s="18" t="str">
        <f t="shared" ca="1" si="107"/>
        <v/>
      </c>
      <c r="J1413" s="5" t="str">
        <f t="shared" si="108"/>
        <v/>
      </c>
      <c r="K1413" s="25"/>
      <c r="L1413" s="5" t="str">
        <f t="shared" si="109"/>
        <v/>
      </c>
      <c r="M1413" s="7"/>
      <c r="N1413" s="7"/>
      <c r="O1413" s="7"/>
      <c r="P1413" s="20" t="str">
        <f>IF($A1413="","",INDEX(Project_Tracker!$I$2:$I$101,INT((ROW()-6)/17)+1))</f>
        <v/>
      </c>
      <c r="Q1413" s="20" t="str">
        <f>IF($A1413="","",INDEX(Project_Tracker!$K$2:$K$101,INT((ROW()-6)/17)+1))</f>
        <v/>
      </c>
    </row>
    <row r="1414" spans="1:17" x14ac:dyDescent="0.2">
      <c r="A1414" s="20" t="str">
        <f>IF(INDEX(Project_Tracker!$AL$2:$AL$101,INT((ROW()-6)/17)+1)="","",INDEX(Project_Tracker!$AL$2:$AL$101,INT((ROW()-6)/17)+1))</f>
        <v/>
      </c>
      <c r="B1414" s="21" t="str">
        <f>IF($A1414="","",INDEX(Project_Tracker!$AM$2:$AM$101,INT((ROW()-6)/17)+1))</f>
        <v/>
      </c>
      <c r="C1414" s="20" t="str">
        <f>IF($A1414="","",INDEX(Project_Tracker!$C$2:$C$101,INT((ROW()-6)/17)+1))</f>
        <v/>
      </c>
      <c r="D1414" s="6" t="str">
        <f>IF($A1414="","",INDEX(Project_Tracker!$T$2:$T$101,INT((ROW()-6)/17)+1))</f>
        <v/>
      </c>
      <c r="E1414" s="18">
        <f t="shared" ref="E1414:E1477" si="110">MOD(ROW()-6,17)+1</f>
        <v>15</v>
      </c>
      <c r="F1414" s="23" t="str">
        <f>IF($A1414="","",INDEX('Logic &amp; Lists'!$I$4:$I$20,$E1414))</f>
        <v/>
      </c>
      <c r="G1414" s="18" t="str">
        <f>IF($A1414="","",INDEX('Logic &amp; Lists'!$J$4:$J$20,$E1414))</f>
        <v/>
      </c>
      <c r="H1414" s="6" t="str">
        <f t="shared" ref="H1414:H1477" si="111">IF($D1414="","",$D1414-$G1414)</f>
        <v/>
      </c>
      <c r="I1414" s="18" t="str">
        <f t="shared" ref="I1414:I1477" ca="1" si="112">IF($H1414="","",$H1414-TODAY())</f>
        <v/>
      </c>
      <c r="J1414" s="5" t="str">
        <f t="shared" ref="J1414:J1477" si="113">IF($A1414="","",IF($K1414&lt;&gt;"","ORDERED",IF($I1414&lt;0,"OVERDUE",IF($I1414&lt;=7,"URGENT",IF($I1414&lt;=14,"PREPARE","OK")))))</f>
        <v/>
      </c>
      <c r="K1414" s="25"/>
      <c r="L1414" s="5" t="str">
        <f t="shared" ref="L1414:L1477" si="114">IF($A1414="","",IF($K1414="",$J1414,IF($K1414&lt;=$H1414,"Ordered On Time","Ordered Late")))</f>
        <v/>
      </c>
      <c r="M1414" s="7"/>
      <c r="N1414" s="7"/>
      <c r="O1414" s="7"/>
      <c r="P1414" s="20" t="str">
        <f>IF($A1414="","",INDEX(Project_Tracker!$I$2:$I$101,INT((ROW()-6)/17)+1))</f>
        <v/>
      </c>
      <c r="Q1414" s="20" t="str">
        <f>IF($A1414="","",INDEX(Project_Tracker!$K$2:$K$101,INT((ROW()-6)/17)+1))</f>
        <v/>
      </c>
    </row>
    <row r="1415" spans="1:17" x14ac:dyDescent="0.2">
      <c r="A1415" s="20" t="str">
        <f>IF(INDEX(Project_Tracker!$AL$2:$AL$101,INT((ROW()-6)/17)+1)="","",INDEX(Project_Tracker!$AL$2:$AL$101,INT((ROW()-6)/17)+1))</f>
        <v/>
      </c>
      <c r="B1415" s="21" t="str">
        <f>IF($A1415="","",INDEX(Project_Tracker!$AM$2:$AM$101,INT((ROW()-6)/17)+1))</f>
        <v/>
      </c>
      <c r="C1415" s="20" t="str">
        <f>IF($A1415="","",INDEX(Project_Tracker!$C$2:$C$101,INT((ROW()-6)/17)+1))</f>
        <v/>
      </c>
      <c r="D1415" s="6" t="str">
        <f>IF($A1415="","",INDEX(Project_Tracker!$T$2:$T$101,INT((ROW()-6)/17)+1))</f>
        <v/>
      </c>
      <c r="E1415" s="18">
        <f t="shared" si="110"/>
        <v>16</v>
      </c>
      <c r="F1415" s="23" t="str">
        <f>IF($A1415="","",INDEX('Logic &amp; Lists'!$I$4:$I$20,$E1415))</f>
        <v/>
      </c>
      <c r="G1415" s="18" t="str">
        <f>IF($A1415="","",INDEX('Logic &amp; Lists'!$J$4:$J$20,$E1415))</f>
        <v/>
      </c>
      <c r="H1415" s="6" t="str">
        <f t="shared" si="111"/>
        <v/>
      </c>
      <c r="I1415" s="18" t="str">
        <f t="shared" ca="1" si="112"/>
        <v/>
      </c>
      <c r="J1415" s="5" t="str">
        <f t="shared" si="113"/>
        <v/>
      </c>
      <c r="K1415" s="25"/>
      <c r="L1415" s="5" t="str">
        <f t="shared" si="114"/>
        <v/>
      </c>
      <c r="M1415" s="7"/>
      <c r="N1415" s="7"/>
      <c r="O1415" s="7"/>
      <c r="P1415" s="20" t="str">
        <f>IF($A1415="","",INDEX(Project_Tracker!$I$2:$I$101,INT((ROW()-6)/17)+1))</f>
        <v/>
      </c>
      <c r="Q1415" s="20" t="str">
        <f>IF($A1415="","",INDEX(Project_Tracker!$K$2:$K$101,INT((ROW()-6)/17)+1))</f>
        <v/>
      </c>
    </row>
    <row r="1416" spans="1:17" x14ac:dyDescent="0.2">
      <c r="A1416" s="20" t="str">
        <f>IF(INDEX(Project_Tracker!$AL$2:$AL$101,INT((ROW()-6)/17)+1)="","",INDEX(Project_Tracker!$AL$2:$AL$101,INT((ROW()-6)/17)+1))</f>
        <v/>
      </c>
      <c r="B1416" s="21" t="str">
        <f>IF($A1416="","",INDEX(Project_Tracker!$AM$2:$AM$101,INT((ROW()-6)/17)+1))</f>
        <v/>
      </c>
      <c r="C1416" s="20" t="str">
        <f>IF($A1416="","",INDEX(Project_Tracker!$C$2:$C$101,INT((ROW()-6)/17)+1))</f>
        <v/>
      </c>
      <c r="D1416" s="6" t="str">
        <f>IF($A1416="","",INDEX(Project_Tracker!$T$2:$T$101,INT((ROW()-6)/17)+1))</f>
        <v/>
      </c>
      <c r="E1416" s="18">
        <f t="shared" si="110"/>
        <v>17</v>
      </c>
      <c r="F1416" s="23" t="str">
        <f>IF($A1416="","",INDEX('Logic &amp; Lists'!$I$4:$I$20,$E1416))</f>
        <v/>
      </c>
      <c r="G1416" s="18" t="str">
        <f>IF($A1416="","",INDEX('Logic &amp; Lists'!$J$4:$J$20,$E1416))</f>
        <v/>
      </c>
      <c r="H1416" s="6" t="str">
        <f t="shared" si="111"/>
        <v/>
      </c>
      <c r="I1416" s="18" t="str">
        <f t="shared" ca="1" si="112"/>
        <v/>
      </c>
      <c r="J1416" s="5" t="str">
        <f t="shared" si="113"/>
        <v/>
      </c>
      <c r="K1416" s="25"/>
      <c r="L1416" s="5" t="str">
        <f t="shared" si="114"/>
        <v/>
      </c>
      <c r="M1416" s="7"/>
      <c r="N1416" s="7"/>
      <c r="O1416" s="7"/>
      <c r="P1416" s="20" t="str">
        <f>IF($A1416="","",INDEX(Project_Tracker!$I$2:$I$101,INT((ROW()-6)/17)+1))</f>
        <v/>
      </c>
      <c r="Q1416" s="20" t="str">
        <f>IF($A1416="","",INDEX(Project_Tracker!$K$2:$K$101,INT((ROW()-6)/17)+1))</f>
        <v/>
      </c>
    </row>
    <row r="1417" spans="1:17" x14ac:dyDescent="0.2">
      <c r="A1417" s="20" t="str">
        <f>IF(INDEX(Project_Tracker!$AL$2:$AL$101,INT((ROW()-6)/17)+1)="","",INDEX(Project_Tracker!$AL$2:$AL$101,INT((ROW()-6)/17)+1))</f>
        <v/>
      </c>
      <c r="B1417" s="21" t="str">
        <f>IF($A1417="","",INDEX(Project_Tracker!$AM$2:$AM$101,INT((ROW()-6)/17)+1))</f>
        <v/>
      </c>
      <c r="C1417" s="20" t="str">
        <f>IF($A1417="","",INDEX(Project_Tracker!$C$2:$C$101,INT((ROW()-6)/17)+1))</f>
        <v/>
      </c>
      <c r="D1417" s="6" t="str">
        <f>IF($A1417="","",INDEX(Project_Tracker!$T$2:$T$101,INT((ROW()-6)/17)+1))</f>
        <v/>
      </c>
      <c r="E1417" s="18">
        <f t="shared" si="110"/>
        <v>1</v>
      </c>
      <c r="F1417" s="23" t="str">
        <f>IF($A1417="","",INDEX('Logic &amp; Lists'!$I$4:$I$20,$E1417))</f>
        <v/>
      </c>
      <c r="G1417" s="18" t="str">
        <f>IF($A1417="","",INDEX('Logic &amp; Lists'!$J$4:$J$20,$E1417))</f>
        <v/>
      </c>
      <c r="H1417" s="6" t="str">
        <f t="shared" si="111"/>
        <v/>
      </c>
      <c r="I1417" s="18" t="str">
        <f t="shared" ca="1" si="112"/>
        <v/>
      </c>
      <c r="J1417" s="5" t="str">
        <f t="shared" si="113"/>
        <v/>
      </c>
      <c r="K1417" s="25"/>
      <c r="L1417" s="5" t="str">
        <f t="shared" si="114"/>
        <v/>
      </c>
      <c r="M1417" s="7"/>
      <c r="N1417" s="7"/>
      <c r="O1417" s="7"/>
      <c r="P1417" s="20" t="str">
        <f>IF($A1417="","",INDEX(Project_Tracker!$I$2:$I$101,INT((ROW()-6)/17)+1))</f>
        <v/>
      </c>
      <c r="Q1417" s="20" t="str">
        <f>IF($A1417="","",INDEX(Project_Tracker!$K$2:$K$101,INT((ROW()-6)/17)+1))</f>
        <v/>
      </c>
    </row>
    <row r="1418" spans="1:17" x14ac:dyDescent="0.2">
      <c r="A1418" s="20" t="str">
        <f>IF(INDEX(Project_Tracker!$AL$2:$AL$101,INT((ROW()-6)/17)+1)="","",INDEX(Project_Tracker!$AL$2:$AL$101,INT((ROW()-6)/17)+1))</f>
        <v/>
      </c>
      <c r="B1418" s="21" t="str">
        <f>IF($A1418="","",INDEX(Project_Tracker!$AM$2:$AM$101,INT((ROW()-6)/17)+1))</f>
        <v/>
      </c>
      <c r="C1418" s="20" t="str">
        <f>IF($A1418="","",INDEX(Project_Tracker!$C$2:$C$101,INT((ROW()-6)/17)+1))</f>
        <v/>
      </c>
      <c r="D1418" s="6" t="str">
        <f>IF($A1418="","",INDEX(Project_Tracker!$T$2:$T$101,INT((ROW()-6)/17)+1))</f>
        <v/>
      </c>
      <c r="E1418" s="18">
        <f t="shared" si="110"/>
        <v>2</v>
      </c>
      <c r="F1418" s="23" t="str">
        <f>IF($A1418="","",INDEX('Logic &amp; Lists'!$I$4:$I$20,$E1418))</f>
        <v/>
      </c>
      <c r="G1418" s="18" t="str">
        <f>IF($A1418="","",INDEX('Logic &amp; Lists'!$J$4:$J$20,$E1418))</f>
        <v/>
      </c>
      <c r="H1418" s="6" t="str">
        <f t="shared" si="111"/>
        <v/>
      </c>
      <c r="I1418" s="18" t="str">
        <f t="shared" ca="1" si="112"/>
        <v/>
      </c>
      <c r="J1418" s="5" t="str">
        <f t="shared" si="113"/>
        <v/>
      </c>
      <c r="K1418" s="25"/>
      <c r="L1418" s="5" t="str">
        <f t="shared" si="114"/>
        <v/>
      </c>
      <c r="M1418" s="7"/>
      <c r="N1418" s="7"/>
      <c r="O1418" s="7"/>
      <c r="P1418" s="20" t="str">
        <f>IF($A1418="","",INDEX(Project_Tracker!$I$2:$I$101,INT((ROW()-6)/17)+1))</f>
        <v/>
      </c>
      <c r="Q1418" s="20" t="str">
        <f>IF($A1418="","",INDEX(Project_Tracker!$K$2:$K$101,INT((ROW()-6)/17)+1))</f>
        <v/>
      </c>
    </row>
    <row r="1419" spans="1:17" x14ac:dyDescent="0.2">
      <c r="A1419" s="20" t="str">
        <f>IF(INDEX(Project_Tracker!$AL$2:$AL$101,INT((ROW()-6)/17)+1)="","",INDEX(Project_Tracker!$AL$2:$AL$101,INT((ROW()-6)/17)+1))</f>
        <v/>
      </c>
      <c r="B1419" s="21" t="str">
        <f>IF($A1419="","",INDEX(Project_Tracker!$AM$2:$AM$101,INT((ROW()-6)/17)+1))</f>
        <v/>
      </c>
      <c r="C1419" s="20" t="str">
        <f>IF($A1419="","",INDEX(Project_Tracker!$C$2:$C$101,INT((ROW()-6)/17)+1))</f>
        <v/>
      </c>
      <c r="D1419" s="6" t="str">
        <f>IF($A1419="","",INDEX(Project_Tracker!$T$2:$T$101,INT((ROW()-6)/17)+1))</f>
        <v/>
      </c>
      <c r="E1419" s="18">
        <f t="shared" si="110"/>
        <v>3</v>
      </c>
      <c r="F1419" s="23" t="str">
        <f>IF($A1419="","",INDEX('Logic &amp; Lists'!$I$4:$I$20,$E1419))</f>
        <v/>
      </c>
      <c r="G1419" s="18" t="str">
        <f>IF($A1419="","",INDEX('Logic &amp; Lists'!$J$4:$J$20,$E1419))</f>
        <v/>
      </c>
      <c r="H1419" s="6" t="str">
        <f t="shared" si="111"/>
        <v/>
      </c>
      <c r="I1419" s="18" t="str">
        <f t="shared" ca="1" si="112"/>
        <v/>
      </c>
      <c r="J1419" s="5" t="str">
        <f t="shared" si="113"/>
        <v/>
      </c>
      <c r="K1419" s="25"/>
      <c r="L1419" s="5" t="str">
        <f t="shared" si="114"/>
        <v/>
      </c>
      <c r="M1419" s="7"/>
      <c r="N1419" s="7"/>
      <c r="O1419" s="7"/>
      <c r="P1419" s="20" t="str">
        <f>IF($A1419="","",INDEX(Project_Tracker!$I$2:$I$101,INT((ROW()-6)/17)+1))</f>
        <v/>
      </c>
      <c r="Q1419" s="20" t="str">
        <f>IF($A1419="","",INDEX(Project_Tracker!$K$2:$K$101,INT((ROW()-6)/17)+1))</f>
        <v/>
      </c>
    </row>
    <row r="1420" spans="1:17" x14ac:dyDescent="0.2">
      <c r="A1420" s="20" t="str">
        <f>IF(INDEX(Project_Tracker!$AL$2:$AL$101,INT((ROW()-6)/17)+1)="","",INDEX(Project_Tracker!$AL$2:$AL$101,INT((ROW()-6)/17)+1))</f>
        <v/>
      </c>
      <c r="B1420" s="21" t="str">
        <f>IF($A1420="","",INDEX(Project_Tracker!$AM$2:$AM$101,INT((ROW()-6)/17)+1))</f>
        <v/>
      </c>
      <c r="C1420" s="20" t="str">
        <f>IF($A1420="","",INDEX(Project_Tracker!$C$2:$C$101,INT((ROW()-6)/17)+1))</f>
        <v/>
      </c>
      <c r="D1420" s="6" t="str">
        <f>IF($A1420="","",INDEX(Project_Tracker!$T$2:$T$101,INT((ROW()-6)/17)+1))</f>
        <v/>
      </c>
      <c r="E1420" s="18">
        <f t="shared" si="110"/>
        <v>4</v>
      </c>
      <c r="F1420" s="23" t="str">
        <f>IF($A1420="","",INDEX('Logic &amp; Lists'!$I$4:$I$20,$E1420))</f>
        <v/>
      </c>
      <c r="G1420" s="18" t="str">
        <f>IF($A1420="","",INDEX('Logic &amp; Lists'!$J$4:$J$20,$E1420))</f>
        <v/>
      </c>
      <c r="H1420" s="6" t="str">
        <f t="shared" si="111"/>
        <v/>
      </c>
      <c r="I1420" s="18" t="str">
        <f t="shared" ca="1" si="112"/>
        <v/>
      </c>
      <c r="J1420" s="5" t="str">
        <f t="shared" si="113"/>
        <v/>
      </c>
      <c r="K1420" s="25"/>
      <c r="L1420" s="5" t="str">
        <f t="shared" si="114"/>
        <v/>
      </c>
      <c r="M1420" s="7"/>
      <c r="N1420" s="7"/>
      <c r="O1420" s="7"/>
      <c r="P1420" s="20" t="str">
        <f>IF($A1420="","",INDEX(Project_Tracker!$I$2:$I$101,INT((ROW()-6)/17)+1))</f>
        <v/>
      </c>
      <c r="Q1420" s="20" t="str">
        <f>IF($A1420="","",INDEX(Project_Tracker!$K$2:$K$101,INT((ROW()-6)/17)+1))</f>
        <v/>
      </c>
    </row>
    <row r="1421" spans="1:17" x14ac:dyDescent="0.2">
      <c r="A1421" s="20" t="str">
        <f>IF(INDEX(Project_Tracker!$AL$2:$AL$101,INT((ROW()-6)/17)+1)="","",INDEX(Project_Tracker!$AL$2:$AL$101,INT((ROW()-6)/17)+1))</f>
        <v/>
      </c>
      <c r="B1421" s="21" t="str">
        <f>IF($A1421="","",INDEX(Project_Tracker!$AM$2:$AM$101,INT((ROW()-6)/17)+1))</f>
        <v/>
      </c>
      <c r="C1421" s="20" t="str">
        <f>IF($A1421="","",INDEX(Project_Tracker!$C$2:$C$101,INT((ROW()-6)/17)+1))</f>
        <v/>
      </c>
      <c r="D1421" s="6" t="str">
        <f>IF($A1421="","",INDEX(Project_Tracker!$T$2:$T$101,INT((ROW()-6)/17)+1))</f>
        <v/>
      </c>
      <c r="E1421" s="18">
        <f t="shared" si="110"/>
        <v>5</v>
      </c>
      <c r="F1421" s="23" t="str">
        <f>IF($A1421="","",INDEX('Logic &amp; Lists'!$I$4:$I$20,$E1421))</f>
        <v/>
      </c>
      <c r="G1421" s="18" t="str">
        <f>IF($A1421="","",INDEX('Logic &amp; Lists'!$J$4:$J$20,$E1421))</f>
        <v/>
      </c>
      <c r="H1421" s="6" t="str">
        <f t="shared" si="111"/>
        <v/>
      </c>
      <c r="I1421" s="18" t="str">
        <f t="shared" ca="1" si="112"/>
        <v/>
      </c>
      <c r="J1421" s="5" t="str">
        <f t="shared" si="113"/>
        <v/>
      </c>
      <c r="K1421" s="25"/>
      <c r="L1421" s="5" t="str">
        <f t="shared" si="114"/>
        <v/>
      </c>
      <c r="M1421" s="7"/>
      <c r="N1421" s="7"/>
      <c r="O1421" s="7"/>
      <c r="P1421" s="20" t="str">
        <f>IF($A1421="","",INDEX(Project_Tracker!$I$2:$I$101,INT((ROW()-6)/17)+1))</f>
        <v/>
      </c>
      <c r="Q1421" s="20" t="str">
        <f>IF($A1421="","",INDEX(Project_Tracker!$K$2:$K$101,INT((ROW()-6)/17)+1))</f>
        <v/>
      </c>
    </row>
    <row r="1422" spans="1:17" x14ac:dyDescent="0.2">
      <c r="A1422" s="20" t="str">
        <f>IF(INDEX(Project_Tracker!$AL$2:$AL$101,INT((ROW()-6)/17)+1)="","",INDEX(Project_Tracker!$AL$2:$AL$101,INT((ROW()-6)/17)+1))</f>
        <v/>
      </c>
      <c r="B1422" s="21" t="str">
        <f>IF($A1422="","",INDEX(Project_Tracker!$AM$2:$AM$101,INT((ROW()-6)/17)+1))</f>
        <v/>
      </c>
      <c r="C1422" s="20" t="str">
        <f>IF($A1422="","",INDEX(Project_Tracker!$C$2:$C$101,INT((ROW()-6)/17)+1))</f>
        <v/>
      </c>
      <c r="D1422" s="6" t="str">
        <f>IF($A1422="","",INDEX(Project_Tracker!$T$2:$T$101,INT((ROW()-6)/17)+1))</f>
        <v/>
      </c>
      <c r="E1422" s="18">
        <f t="shared" si="110"/>
        <v>6</v>
      </c>
      <c r="F1422" s="23" t="str">
        <f>IF($A1422="","",INDEX('Logic &amp; Lists'!$I$4:$I$20,$E1422))</f>
        <v/>
      </c>
      <c r="G1422" s="18" t="str">
        <f>IF($A1422="","",INDEX('Logic &amp; Lists'!$J$4:$J$20,$E1422))</f>
        <v/>
      </c>
      <c r="H1422" s="6" t="str">
        <f t="shared" si="111"/>
        <v/>
      </c>
      <c r="I1422" s="18" t="str">
        <f t="shared" ca="1" si="112"/>
        <v/>
      </c>
      <c r="J1422" s="5" t="str">
        <f t="shared" si="113"/>
        <v/>
      </c>
      <c r="K1422" s="25"/>
      <c r="L1422" s="5" t="str">
        <f t="shared" si="114"/>
        <v/>
      </c>
      <c r="M1422" s="7"/>
      <c r="N1422" s="7"/>
      <c r="O1422" s="7"/>
      <c r="P1422" s="20" t="str">
        <f>IF($A1422="","",INDEX(Project_Tracker!$I$2:$I$101,INT((ROW()-6)/17)+1))</f>
        <v/>
      </c>
      <c r="Q1422" s="20" t="str">
        <f>IF($A1422="","",INDEX(Project_Tracker!$K$2:$K$101,INT((ROW()-6)/17)+1))</f>
        <v/>
      </c>
    </row>
    <row r="1423" spans="1:17" x14ac:dyDescent="0.2">
      <c r="A1423" s="20" t="str">
        <f>IF(INDEX(Project_Tracker!$AL$2:$AL$101,INT((ROW()-6)/17)+1)="","",INDEX(Project_Tracker!$AL$2:$AL$101,INT((ROW()-6)/17)+1))</f>
        <v/>
      </c>
      <c r="B1423" s="21" t="str">
        <f>IF($A1423="","",INDEX(Project_Tracker!$AM$2:$AM$101,INT((ROW()-6)/17)+1))</f>
        <v/>
      </c>
      <c r="C1423" s="20" t="str">
        <f>IF($A1423="","",INDEX(Project_Tracker!$C$2:$C$101,INT((ROW()-6)/17)+1))</f>
        <v/>
      </c>
      <c r="D1423" s="6" t="str">
        <f>IF($A1423="","",INDEX(Project_Tracker!$T$2:$T$101,INT((ROW()-6)/17)+1))</f>
        <v/>
      </c>
      <c r="E1423" s="18">
        <f t="shared" si="110"/>
        <v>7</v>
      </c>
      <c r="F1423" s="23" t="str">
        <f>IF($A1423="","",INDEX('Logic &amp; Lists'!$I$4:$I$20,$E1423))</f>
        <v/>
      </c>
      <c r="G1423" s="18" t="str">
        <f>IF($A1423="","",INDEX('Logic &amp; Lists'!$J$4:$J$20,$E1423))</f>
        <v/>
      </c>
      <c r="H1423" s="6" t="str">
        <f t="shared" si="111"/>
        <v/>
      </c>
      <c r="I1423" s="18" t="str">
        <f t="shared" ca="1" si="112"/>
        <v/>
      </c>
      <c r="J1423" s="5" t="str">
        <f t="shared" si="113"/>
        <v/>
      </c>
      <c r="K1423" s="25"/>
      <c r="L1423" s="5" t="str">
        <f t="shared" si="114"/>
        <v/>
      </c>
      <c r="M1423" s="7"/>
      <c r="N1423" s="7"/>
      <c r="O1423" s="7"/>
      <c r="P1423" s="20" t="str">
        <f>IF($A1423="","",INDEX(Project_Tracker!$I$2:$I$101,INT((ROW()-6)/17)+1))</f>
        <v/>
      </c>
      <c r="Q1423" s="20" t="str">
        <f>IF($A1423="","",INDEX(Project_Tracker!$K$2:$K$101,INT((ROW()-6)/17)+1))</f>
        <v/>
      </c>
    </row>
    <row r="1424" spans="1:17" x14ac:dyDescent="0.2">
      <c r="A1424" s="20" t="str">
        <f>IF(INDEX(Project_Tracker!$AL$2:$AL$101,INT((ROW()-6)/17)+1)="","",INDEX(Project_Tracker!$AL$2:$AL$101,INT((ROW()-6)/17)+1))</f>
        <v/>
      </c>
      <c r="B1424" s="21" t="str">
        <f>IF($A1424="","",INDEX(Project_Tracker!$AM$2:$AM$101,INT((ROW()-6)/17)+1))</f>
        <v/>
      </c>
      <c r="C1424" s="20" t="str">
        <f>IF($A1424="","",INDEX(Project_Tracker!$C$2:$C$101,INT((ROW()-6)/17)+1))</f>
        <v/>
      </c>
      <c r="D1424" s="6" t="str">
        <f>IF($A1424="","",INDEX(Project_Tracker!$T$2:$T$101,INT((ROW()-6)/17)+1))</f>
        <v/>
      </c>
      <c r="E1424" s="18">
        <f t="shared" si="110"/>
        <v>8</v>
      </c>
      <c r="F1424" s="23" t="str">
        <f>IF($A1424="","",INDEX('Logic &amp; Lists'!$I$4:$I$20,$E1424))</f>
        <v/>
      </c>
      <c r="G1424" s="18" t="str">
        <f>IF($A1424="","",INDEX('Logic &amp; Lists'!$J$4:$J$20,$E1424))</f>
        <v/>
      </c>
      <c r="H1424" s="6" t="str">
        <f t="shared" si="111"/>
        <v/>
      </c>
      <c r="I1424" s="18" t="str">
        <f t="shared" ca="1" si="112"/>
        <v/>
      </c>
      <c r="J1424" s="5" t="str">
        <f t="shared" si="113"/>
        <v/>
      </c>
      <c r="K1424" s="25"/>
      <c r="L1424" s="5" t="str">
        <f t="shared" si="114"/>
        <v/>
      </c>
      <c r="M1424" s="7"/>
      <c r="N1424" s="7"/>
      <c r="O1424" s="7"/>
      <c r="P1424" s="20" t="str">
        <f>IF($A1424="","",INDEX(Project_Tracker!$I$2:$I$101,INT((ROW()-6)/17)+1))</f>
        <v/>
      </c>
      <c r="Q1424" s="20" t="str">
        <f>IF($A1424="","",INDEX(Project_Tracker!$K$2:$K$101,INT((ROW()-6)/17)+1))</f>
        <v/>
      </c>
    </row>
    <row r="1425" spans="1:17" x14ac:dyDescent="0.2">
      <c r="A1425" s="20" t="str">
        <f>IF(INDEX(Project_Tracker!$AL$2:$AL$101,INT((ROW()-6)/17)+1)="","",INDEX(Project_Tracker!$AL$2:$AL$101,INT((ROW()-6)/17)+1))</f>
        <v/>
      </c>
      <c r="B1425" s="21" t="str">
        <f>IF($A1425="","",INDEX(Project_Tracker!$AM$2:$AM$101,INT((ROW()-6)/17)+1))</f>
        <v/>
      </c>
      <c r="C1425" s="20" t="str">
        <f>IF($A1425="","",INDEX(Project_Tracker!$C$2:$C$101,INT((ROW()-6)/17)+1))</f>
        <v/>
      </c>
      <c r="D1425" s="6" t="str">
        <f>IF($A1425="","",INDEX(Project_Tracker!$T$2:$T$101,INT((ROW()-6)/17)+1))</f>
        <v/>
      </c>
      <c r="E1425" s="18">
        <f t="shared" si="110"/>
        <v>9</v>
      </c>
      <c r="F1425" s="23" t="str">
        <f>IF($A1425="","",INDEX('Logic &amp; Lists'!$I$4:$I$20,$E1425))</f>
        <v/>
      </c>
      <c r="G1425" s="18" t="str">
        <f>IF($A1425="","",INDEX('Logic &amp; Lists'!$J$4:$J$20,$E1425))</f>
        <v/>
      </c>
      <c r="H1425" s="6" t="str">
        <f t="shared" si="111"/>
        <v/>
      </c>
      <c r="I1425" s="18" t="str">
        <f t="shared" ca="1" si="112"/>
        <v/>
      </c>
      <c r="J1425" s="5" t="str">
        <f t="shared" si="113"/>
        <v/>
      </c>
      <c r="K1425" s="25"/>
      <c r="L1425" s="5" t="str">
        <f t="shared" si="114"/>
        <v/>
      </c>
      <c r="M1425" s="7"/>
      <c r="N1425" s="7"/>
      <c r="O1425" s="7"/>
      <c r="P1425" s="20" t="str">
        <f>IF($A1425="","",INDEX(Project_Tracker!$I$2:$I$101,INT((ROW()-6)/17)+1))</f>
        <v/>
      </c>
      <c r="Q1425" s="20" t="str">
        <f>IF($A1425="","",INDEX(Project_Tracker!$K$2:$K$101,INT((ROW()-6)/17)+1))</f>
        <v/>
      </c>
    </row>
    <row r="1426" spans="1:17" x14ac:dyDescent="0.2">
      <c r="A1426" s="20" t="str">
        <f>IF(INDEX(Project_Tracker!$AL$2:$AL$101,INT((ROW()-6)/17)+1)="","",INDEX(Project_Tracker!$AL$2:$AL$101,INT((ROW()-6)/17)+1))</f>
        <v/>
      </c>
      <c r="B1426" s="21" t="str">
        <f>IF($A1426="","",INDEX(Project_Tracker!$AM$2:$AM$101,INT((ROW()-6)/17)+1))</f>
        <v/>
      </c>
      <c r="C1426" s="20" t="str">
        <f>IF($A1426="","",INDEX(Project_Tracker!$C$2:$C$101,INT((ROW()-6)/17)+1))</f>
        <v/>
      </c>
      <c r="D1426" s="6" t="str">
        <f>IF($A1426="","",INDEX(Project_Tracker!$T$2:$T$101,INT((ROW()-6)/17)+1))</f>
        <v/>
      </c>
      <c r="E1426" s="18">
        <f t="shared" si="110"/>
        <v>10</v>
      </c>
      <c r="F1426" s="23" t="str">
        <f>IF($A1426="","",INDEX('Logic &amp; Lists'!$I$4:$I$20,$E1426))</f>
        <v/>
      </c>
      <c r="G1426" s="18" t="str">
        <f>IF($A1426="","",INDEX('Logic &amp; Lists'!$J$4:$J$20,$E1426))</f>
        <v/>
      </c>
      <c r="H1426" s="6" t="str">
        <f t="shared" si="111"/>
        <v/>
      </c>
      <c r="I1426" s="18" t="str">
        <f t="shared" ca="1" si="112"/>
        <v/>
      </c>
      <c r="J1426" s="5" t="str">
        <f t="shared" si="113"/>
        <v/>
      </c>
      <c r="K1426" s="25"/>
      <c r="L1426" s="5" t="str">
        <f t="shared" si="114"/>
        <v/>
      </c>
      <c r="M1426" s="7"/>
      <c r="N1426" s="7"/>
      <c r="O1426" s="7"/>
      <c r="P1426" s="20" t="str">
        <f>IF($A1426="","",INDEX(Project_Tracker!$I$2:$I$101,INT((ROW()-6)/17)+1))</f>
        <v/>
      </c>
      <c r="Q1426" s="20" t="str">
        <f>IF($A1426="","",INDEX(Project_Tracker!$K$2:$K$101,INT((ROW()-6)/17)+1))</f>
        <v/>
      </c>
    </row>
    <row r="1427" spans="1:17" x14ac:dyDescent="0.2">
      <c r="A1427" s="20" t="str">
        <f>IF(INDEX(Project_Tracker!$AL$2:$AL$101,INT((ROW()-6)/17)+1)="","",INDEX(Project_Tracker!$AL$2:$AL$101,INT((ROW()-6)/17)+1))</f>
        <v/>
      </c>
      <c r="B1427" s="21" t="str">
        <f>IF($A1427="","",INDEX(Project_Tracker!$AM$2:$AM$101,INT((ROW()-6)/17)+1))</f>
        <v/>
      </c>
      <c r="C1427" s="20" t="str">
        <f>IF($A1427="","",INDEX(Project_Tracker!$C$2:$C$101,INT((ROW()-6)/17)+1))</f>
        <v/>
      </c>
      <c r="D1427" s="6" t="str">
        <f>IF($A1427="","",INDEX(Project_Tracker!$T$2:$T$101,INT((ROW()-6)/17)+1))</f>
        <v/>
      </c>
      <c r="E1427" s="18">
        <f t="shared" si="110"/>
        <v>11</v>
      </c>
      <c r="F1427" s="23" t="str">
        <f>IF($A1427="","",INDEX('Logic &amp; Lists'!$I$4:$I$20,$E1427))</f>
        <v/>
      </c>
      <c r="G1427" s="18" t="str">
        <f>IF($A1427="","",INDEX('Logic &amp; Lists'!$J$4:$J$20,$E1427))</f>
        <v/>
      </c>
      <c r="H1427" s="6" t="str">
        <f t="shared" si="111"/>
        <v/>
      </c>
      <c r="I1427" s="18" t="str">
        <f t="shared" ca="1" si="112"/>
        <v/>
      </c>
      <c r="J1427" s="5" t="str">
        <f t="shared" si="113"/>
        <v/>
      </c>
      <c r="K1427" s="25"/>
      <c r="L1427" s="5" t="str">
        <f t="shared" si="114"/>
        <v/>
      </c>
      <c r="M1427" s="7"/>
      <c r="N1427" s="7"/>
      <c r="O1427" s="7"/>
      <c r="P1427" s="20" t="str">
        <f>IF($A1427="","",INDEX(Project_Tracker!$I$2:$I$101,INT((ROW()-6)/17)+1))</f>
        <v/>
      </c>
      <c r="Q1427" s="20" t="str">
        <f>IF($A1427="","",INDEX(Project_Tracker!$K$2:$K$101,INT((ROW()-6)/17)+1))</f>
        <v/>
      </c>
    </row>
    <row r="1428" spans="1:17" x14ac:dyDescent="0.2">
      <c r="A1428" s="20" t="str">
        <f>IF(INDEX(Project_Tracker!$AL$2:$AL$101,INT((ROW()-6)/17)+1)="","",INDEX(Project_Tracker!$AL$2:$AL$101,INT((ROW()-6)/17)+1))</f>
        <v/>
      </c>
      <c r="B1428" s="21" t="str">
        <f>IF($A1428="","",INDEX(Project_Tracker!$AM$2:$AM$101,INT((ROW()-6)/17)+1))</f>
        <v/>
      </c>
      <c r="C1428" s="20" t="str">
        <f>IF($A1428="","",INDEX(Project_Tracker!$C$2:$C$101,INT((ROW()-6)/17)+1))</f>
        <v/>
      </c>
      <c r="D1428" s="6" t="str">
        <f>IF($A1428="","",INDEX(Project_Tracker!$T$2:$T$101,INT((ROW()-6)/17)+1))</f>
        <v/>
      </c>
      <c r="E1428" s="18">
        <f t="shared" si="110"/>
        <v>12</v>
      </c>
      <c r="F1428" s="23" t="str">
        <f>IF($A1428="","",INDEX('Logic &amp; Lists'!$I$4:$I$20,$E1428))</f>
        <v/>
      </c>
      <c r="G1428" s="18" t="str">
        <f>IF($A1428="","",INDEX('Logic &amp; Lists'!$J$4:$J$20,$E1428))</f>
        <v/>
      </c>
      <c r="H1428" s="6" t="str">
        <f t="shared" si="111"/>
        <v/>
      </c>
      <c r="I1428" s="18" t="str">
        <f t="shared" ca="1" si="112"/>
        <v/>
      </c>
      <c r="J1428" s="5" t="str">
        <f t="shared" si="113"/>
        <v/>
      </c>
      <c r="K1428" s="25"/>
      <c r="L1428" s="5" t="str">
        <f t="shared" si="114"/>
        <v/>
      </c>
      <c r="M1428" s="7"/>
      <c r="N1428" s="7"/>
      <c r="O1428" s="7"/>
      <c r="P1428" s="20" t="str">
        <f>IF($A1428="","",INDEX(Project_Tracker!$I$2:$I$101,INT((ROW()-6)/17)+1))</f>
        <v/>
      </c>
      <c r="Q1428" s="20" t="str">
        <f>IF($A1428="","",INDEX(Project_Tracker!$K$2:$K$101,INT((ROW()-6)/17)+1))</f>
        <v/>
      </c>
    </row>
    <row r="1429" spans="1:17" x14ac:dyDescent="0.2">
      <c r="A1429" s="20" t="str">
        <f>IF(INDEX(Project_Tracker!$AL$2:$AL$101,INT((ROW()-6)/17)+1)="","",INDEX(Project_Tracker!$AL$2:$AL$101,INT((ROW()-6)/17)+1))</f>
        <v/>
      </c>
      <c r="B1429" s="21" t="str">
        <f>IF($A1429="","",INDEX(Project_Tracker!$AM$2:$AM$101,INT((ROW()-6)/17)+1))</f>
        <v/>
      </c>
      <c r="C1429" s="20" t="str">
        <f>IF($A1429="","",INDEX(Project_Tracker!$C$2:$C$101,INT((ROW()-6)/17)+1))</f>
        <v/>
      </c>
      <c r="D1429" s="6" t="str">
        <f>IF($A1429="","",INDEX(Project_Tracker!$T$2:$T$101,INT((ROW()-6)/17)+1))</f>
        <v/>
      </c>
      <c r="E1429" s="18">
        <f t="shared" si="110"/>
        <v>13</v>
      </c>
      <c r="F1429" s="23" t="str">
        <f>IF($A1429="","",INDEX('Logic &amp; Lists'!$I$4:$I$20,$E1429))</f>
        <v/>
      </c>
      <c r="G1429" s="18" t="str">
        <f>IF($A1429="","",INDEX('Logic &amp; Lists'!$J$4:$J$20,$E1429))</f>
        <v/>
      </c>
      <c r="H1429" s="6" t="str">
        <f t="shared" si="111"/>
        <v/>
      </c>
      <c r="I1429" s="18" t="str">
        <f t="shared" ca="1" si="112"/>
        <v/>
      </c>
      <c r="J1429" s="5" t="str">
        <f t="shared" si="113"/>
        <v/>
      </c>
      <c r="K1429" s="25"/>
      <c r="L1429" s="5" t="str">
        <f t="shared" si="114"/>
        <v/>
      </c>
      <c r="M1429" s="7"/>
      <c r="N1429" s="7"/>
      <c r="O1429" s="7"/>
      <c r="P1429" s="20" t="str">
        <f>IF($A1429="","",INDEX(Project_Tracker!$I$2:$I$101,INT((ROW()-6)/17)+1))</f>
        <v/>
      </c>
      <c r="Q1429" s="20" t="str">
        <f>IF($A1429="","",INDEX(Project_Tracker!$K$2:$K$101,INT((ROW()-6)/17)+1))</f>
        <v/>
      </c>
    </row>
    <row r="1430" spans="1:17" x14ac:dyDescent="0.2">
      <c r="A1430" s="20" t="str">
        <f>IF(INDEX(Project_Tracker!$AL$2:$AL$101,INT((ROW()-6)/17)+1)="","",INDEX(Project_Tracker!$AL$2:$AL$101,INT((ROW()-6)/17)+1))</f>
        <v/>
      </c>
      <c r="B1430" s="21" t="str">
        <f>IF($A1430="","",INDEX(Project_Tracker!$AM$2:$AM$101,INT((ROW()-6)/17)+1))</f>
        <v/>
      </c>
      <c r="C1430" s="20" t="str">
        <f>IF($A1430="","",INDEX(Project_Tracker!$C$2:$C$101,INT((ROW()-6)/17)+1))</f>
        <v/>
      </c>
      <c r="D1430" s="6" t="str">
        <f>IF($A1430="","",INDEX(Project_Tracker!$T$2:$T$101,INT((ROW()-6)/17)+1))</f>
        <v/>
      </c>
      <c r="E1430" s="18">
        <f t="shared" si="110"/>
        <v>14</v>
      </c>
      <c r="F1430" s="23" t="str">
        <f>IF($A1430="","",INDEX('Logic &amp; Lists'!$I$4:$I$20,$E1430))</f>
        <v/>
      </c>
      <c r="G1430" s="18" t="str">
        <f>IF($A1430="","",INDEX('Logic &amp; Lists'!$J$4:$J$20,$E1430))</f>
        <v/>
      </c>
      <c r="H1430" s="6" t="str">
        <f t="shared" si="111"/>
        <v/>
      </c>
      <c r="I1430" s="18" t="str">
        <f t="shared" ca="1" si="112"/>
        <v/>
      </c>
      <c r="J1430" s="5" t="str">
        <f t="shared" si="113"/>
        <v/>
      </c>
      <c r="K1430" s="25"/>
      <c r="L1430" s="5" t="str">
        <f t="shared" si="114"/>
        <v/>
      </c>
      <c r="M1430" s="7"/>
      <c r="N1430" s="7"/>
      <c r="O1430" s="7"/>
      <c r="P1430" s="20" t="str">
        <f>IF($A1430="","",INDEX(Project_Tracker!$I$2:$I$101,INT((ROW()-6)/17)+1))</f>
        <v/>
      </c>
      <c r="Q1430" s="20" t="str">
        <f>IF($A1430="","",INDEX(Project_Tracker!$K$2:$K$101,INT((ROW()-6)/17)+1))</f>
        <v/>
      </c>
    </row>
    <row r="1431" spans="1:17" x14ac:dyDescent="0.2">
      <c r="A1431" s="20" t="str">
        <f>IF(INDEX(Project_Tracker!$AL$2:$AL$101,INT((ROW()-6)/17)+1)="","",INDEX(Project_Tracker!$AL$2:$AL$101,INT((ROW()-6)/17)+1))</f>
        <v/>
      </c>
      <c r="B1431" s="21" t="str">
        <f>IF($A1431="","",INDEX(Project_Tracker!$AM$2:$AM$101,INT((ROW()-6)/17)+1))</f>
        <v/>
      </c>
      <c r="C1431" s="20" t="str">
        <f>IF($A1431="","",INDEX(Project_Tracker!$C$2:$C$101,INT((ROW()-6)/17)+1))</f>
        <v/>
      </c>
      <c r="D1431" s="6" t="str">
        <f>IF($A1431="","",INDEX(Project_Tracker!$T$2:$T$101,INT((ROW()-6)/17)+1))</f>
        <v/>
      </c>
      <c r="E1431" s="18">
        <f t="shared" si="110"/>
        <v>15</v>
      </c>
      <c r="F1431" s="23" t="str">
        <f>IF($A1431="","",INDEX('Logic &amp; Lists'!$I$4:$I$20,$E1431))</f>
        <v/>
      </c>
      <c r="G1431" s="18" t="str">
        <f>IF($A1431="","",INDEX('Logic &amp; Lists'!$J$4:$J$20,$E1431))</f>
        <v/>
      </c>
      <c r="H1431" s="6" t="str">
        <f t="shared" si="111"/>
        <v/>
      </c>
      <c r="I1431" s="18" t="str">
        <f t="shared" ca="1" si="112"/>
        <v/>
      </c>
      <c r="J1431" s="5" t="str">
        <f t="shared" si="113"/>
        <v/>
      </c>
      <c r="K1431" s="25"/>
      <c r="L1431" s="5" t="str">
        <f t="shared" si="114"/>
        <v/>
      </c>
      <c r="M1431" s="7"/>
      <c r="N1431" s="7"/>
      <c r="O1431" s="7"/>
      <c r="P1431" s="20" t="str">
        <f>IF($A1431="","",INDEX(Project_Tracker!$I$2:$I$101,INT((ROW()-6)/17)+1))</f>
        <v/>
      </c>
      <c r="Q1431" s="20" t="str">
        <f>IF($A1431="","",INDEX(Project_Tracker!$K$2:$K$101,INT((ROW()-6)/17)+1))</f>
        <v/>
      </c>
    </row>
    <row r="1432" spans="1:17" x14ac:dyDescent="0.2">
      <c r="A1432" s="20" t="str">
        <f>IF(INDEX(Project_Tracker!$AL$2:$AL$101,INT((ROW()-6)/17)+1)="","",INDEX(Project_Tracker!$AL$2:$AL$101,INT((ROW()-6)/17)+1))</f>
        <v/>
      </c>
      <c r="B1432" s="21" t="str">
        <f>IF($A1432="","",INDEX(Project_Tracker!$AM$2:$AM$101,INT((ROW()-6)/17)+1))</f>
        <v/>
      </c>
      <c r="C1432" s="20" t="str">
        <f>IF($A1432="","",INDEX(Project_Tracker!$C$2:$C$101,INT((ROW()-6)/17)+1))</f>
        <v/>
      </c>
      <c r="D1432" s="6" t="str">
        <f>IF($A1432="","",INDEX(Project_Tracker!$T$2:$T$101,INT((ROW()-6)/17)+1))</f>
        <v/>
      </c>
      <c r="E1432" s="18">
        <f t="shared" si="110"/>
        <v>16</v>
      </c>
      <c r="F1432" s="23" t="str">
        <f>IF($A1432="","",INDEX('Logic &amp; Lists'!$I$4:$I$20,$E1432))</f>
        <v/>
      </c>
      <c r="G1432" s="18" t="str">
        <f>IF($A1432="","",INDEX('Logic &amp; Lists'!$J$4:$J$20,$E1432))</f>
        <v/>
      </c>
      <c r="H1432" s="6" t="str">
        <f t="shared" si="111"/>
        <v/>
      </c>
      <c r="I1432" s="18" t="str">
        <f t="shared" ca="1" si="112"/>
        <v/>
      </c>
      <c r="J1432" s="5" t="str">
        <f t="shared" si="113"/>
        <v/>
      </c>
      <c r="K1432" s="25"/>
      <c r="L1432" s="5" t="str">
        <f t="shared" si="114"/>
        <v/>
      </c>
      <c r="M1432" s="7"/>
      <c r="N1432" s="7"/>
      <c r="O1432" s="7"/>
      <c r="P1432" s="20" t="str">
        <f>IF($A1432="","",INDEX(Project_Tracker!$I$2:$I$101,INT((ROW()-6)/17)+1))</f>
        <v/>
      </c>
      <c r="Q1432" s="20" t="str">
        <f>IF($A1432="","",INDEX(Project_Tracker!$K$2:$K$101,INT((ROW()-6)/17)+1))</f>
        <v/>
      </c>
    </row>
    <row r="1433" spans="1:17" x14ac:dyDescent="0.2">
      <c r="A1433" s="20" t="str">
        <f>IF(INDEX(Project_Tracker!$AL$2:$AL$101,INT((ROW()-6)/17)+1)="","",INDEX(Project_Tracker!$AL$2:$AL$101,INT((ROW()-6)/17)+1))</f>
        <v/>
      </c>
      <c r="B1433" s="21" t="str">
        <f>IF($A1433="","",INDEX(Project_Tracker!$AM$2:$AM$101,INT((ROW()-6)/17)+1))</f>
        <v/>
      </c>
      <c r="C1433" s="20" t="str">
        <f>IF($A1433="","",INDEX(Project_Tracker!$C$2:$C$101,INT((ROW()-6)/17)+1))</f>
        <v/>
      </c>
      <c r="D1433" s="6" t="str">
        <f>IF($A1433="","",INDEX(Project_Tracker!$T$2:$T$101,INT((ROW()-6)/17)+1))</f>
        <v/>
      </c>
      <c r="E1433" s="18">
        <f t="shared" si="110"/>
        <v>17</v>
      </c>
      <c r="F1433" s="23" t="str">
        <f>IF($A1433="","",INDEX('Logic &amp; Lists'!$I$4:$I$20,$E1433))</f>
        <v/>
      </c>
      <c r="G1433" s="18" t="str">
        <f>IF($A1433="","",INDEX('Logic &amp; Lists'!$J$4:$J$20,$E1433))</f>
        <v/>
      </c>
      <c r="H1433" s="6" t="str">
        <f t="shared" si="111"/>
        <v/>
      </c>
      <c r="I1433" s="18" t="str">
        <f t="shared" ca="1" si="112"/>
        <v/>
      </c>
      <c r="J1433" s="5" t="str">
        <f t="shared" si="113"/>
        <v/>
      </c>
      <c r="K1433" s="25"/>
      <c r="L1433" s="5" t="str">
        <f t="shared" si="114"/>
        <v/>
      </c>
      <c r="M1433" s="7"/>
      <c r="N1433" s="7"/>
      <c r="O1433" s="7"/>
      <c r="P1433" s="20" t="str">
        <f>IF($A1433="","",INDEX(Project_Tracker!$I$2:$I$101,INT((ROW()-6)/17)+1))</f>
        <v/>
      </c>
      <c r="Q1433" s="20" t="str">
        <f>IF($A1433="","",INDEX(Project_Tracker!$K$2:$K$101,INT((ROW()-6)/17)+1))</f>
        <v/>
      </c>
    </row>
    <row r="1434" spans="1:17" x14ac:dyDescent="0.2">
      <c r="A1434" s="20" t="str">
        <f>IF(INDEX(Project_Tracker!$AL$2:$AL$101,INT((ROW()-6)/17)+1)="","",INDEX(Project_Tracker!$AL$2:$AL$101,INT((ROW()-6)/17)+1))</f>
        <v/>
      </c>
      <c r="B1434" s="21" t="str">
        <f>IF($A1434="","",INDEX(Project_Tracker!$AM$2:$AM$101,INT((ROW()-6)/17)+1))</f>
        <v/>
      </c>
      <c r="C1434" s="20" t="str">
        <f>IF($A1434="","",INDEX(Project_Tracker!$C$2:$C$101,INT((ROW()-6)/17)+1))</f>
        <v/>
      </c>
      <c r="D1434" s="6" t="str">
        <f>IF($A1434="","",INDEX(Project_Tracker!$T$2:$T$101,INT((ROW()-6)/17)+1))</f>
        <v/>
      </c>
      <c r="E1434" s="18">
        <f t="shared" si="110"/>
        <v>1</v>
      </c>
      <c r="F1434" s="23" t="str">
        <f>IF($A1434="","",INDEX('Logic &amp; Lists'!$I$4:$I$20,$E1434))</f>
        <v/>
      </c>
      <c r="G1434" s="18" t="str">
        <f>IF($A1434="","",INDEX('Logic &amp; Lists'!$J$4:$J$20,$E1434))</f>
        <v/>
      </c>
      <c r="H1434" s="6" t="str">
        <f t="shared" si="111"/>
        <v/>
      </c>
      <c r="I1434" s="18" t="str">
        <f t="shared" ca="1" si="112"/>
        <v/>
      </c>
      <c r="J1434" s="5" t="str">
        <f t="shared" si="113"/>
        <v/>
      </c>
      <c r="K1434" s="25"/>
      <c r="L1434" s="5" t="str">
        <f t="shared" si="114"/>
        <v/>
      </c>
      <c r="M1434" s="7"/>
      <c r="N1434" s="7"/>
      <c r="O1434" s="7"/>
      <c r="P1434" s="20" t="str">
        <f>IF($A1434="","",INDEX(Project_Tracker!$I$2:$I$101,INT((ROW()-6)/17)+1))</f>
        <v/>
      </c>
      <c r="Q1434" s="20" t="str">
        <f>IF($A1434="","",INDEX(Project_Tracker!$K$2:$K$101,INT((ROW()-6)/17)+1))</f>
        <v/>
      </c>
    </row>
    <row r="1435" spans="1:17" x14ac:dyDescent="0.2">
      <c r="A1435" s="20" t="str">
        <f>IF(INDEX(Project_Tracker!$AL$2:$AL$101,INT((ROW()-6)/17)+1)="","",INDEX(Project_Tracker!$AL$2:$AL$101,INT((ROW()-6)/17)+1))</f>
        <v/>
      </c>
      <c r="B1435" s="21" t="str">
        <f>IF($A1435="","",INDEX(Project_Tracker!$AM$2:$AM$101,INT((ROW()-6)/17)+1))</f>
        <v/>
      </c>
      <c r="C1435" s="20" t="str">
        <f>IF($A1435="","",INDEX(Project_Tracker!$C$2:$C$101,INT((ROW()-6)/17)+1))</f>
        <v/>
      </c>
      <c r="D1435" s="6" t="str">
        <f>IF($A1435="","",INDEX(Project_Tracker!$T$2:$T$101,INT((ROW()-6)/17)+1))</f>
        <v/>
      </c>
      <c r="E1435" s="18">
        <f t="shared" si="110"/>
        <v>2</v>
      </c>
      <c r="F1435" s="23" t="str">
        <f>IF($A1435="","",INDEX('Logic &amp; Lists'!$I$4:$I$20,$E1435))</f>
        <v/>
      </c>
      <c r="G1435" s="18" t="str">
        <f>IF($A1435="","",INDEX('Logic &amp; Lists'!$J$4:$J$20,$E1435))</f>
        <v/>
      </c>
      <c r="H1435" s="6" t="str">
        <f t="shared" si="111"/>
        <v/>
      </c>
      <c r="I1435" s="18" t="str">
        <f t="shared" ca="1" si="112"/>
        <v/>
      </c>
      <c r="J1435" s="5" t="str">
        <f t="shared" si="113"/>
        <v/>
      </c>
      <c r="K1435" s="25"/>
      <c r="L1435" s="5" t="str">
        <f t="shared" si="114"/>
        <v/>
      </c>
      <c r="M1435" s="7"/>
      <c r="N1435" s="7"/>
      <c r="O1435" s="7"/>
      <c r="P1435" s="20" t="str">
        <f>IF($A1435="","",INDEX(Project_Tracker!$I$2:$I$101,INT((ROW()-6)/17)+1))</f>
        <v/>
      </c>
      <c r="Q1435" s="20" t="str">
        <f>IF($A1435="","",INDEX(Project_Tracker!$K$2:$K$101,INT((ROW()-6)/17)+1))</f>
        <v/>
      </c>
    </row>
    <row r="1436" spans="1:17" x14ac:dyDescent="0.2">
      <c r="A1436" s="20" t="str">
        <f>IF(INDEX(Project_Tracker!$AL$2:$AL$101,INT((ROW()-6)/17)+1)="","",INDEX(Project_Tracker!$AL$2:$AL$101,INT((ROW()-6)/17)+1))</f>
        <v/>
      </c>
      <c r="B1436" s="21" t="str">
        <f>IF($A1436="","",INDEX(Project_Tracker!$AM$2:$AM$101,INT((ROW()-6)/17)+1))</f>
        <v/>
      </c>
      <c r="C1436" s="20" t="str">
        <f>IF($A1436="","",INDEX(Project_Tracker!$C$2:$C$101,INT((ROW()-6)/17)+1))</f>
        <v/>
      </c>
      <c r="D1436" s="6" t="str">
        <f>IF($A1436="","",INDEX(Project_Tracker!$T$2:$T$101,INT((ROW()-6)/17)+1))</f>
        <v/>
      </c>
      <c r="E1436" s="18">
        <f t="shared" si="110"/>
        <v>3</v>
      </c>
      <c r="F1436" s="23" t="str">
        <f>IF($A1436="","",INDEX('Logic &amp; Lists'!$I$4:$I$20,$E1436))</f>
        <v/>
      </c>
      <c r="G1436" s="18" t="str">
        <f>IF($A1436="","",INDEX('Logic &amp; Lists'!$J$4:$J$20,$E1436))</f>
        <v/>
      </c>
      <c r="H1436" s="6" t="str">
        <f t="shared" si="111"/>
        <v/>
      </c>
      <c r="I1436" s="18" t="str">
        <f t="shared" ca="1" si="112"/>
        <v/>
      </c>
      <c r="J1436" s="5" t="str">
        <f t="shared" si="113"/>
        <v/>
      </c>
      <c r="K1436" s="25"/>
      <c r="L1436" s="5" t="str">
        <f t="shared" si="114"/>
        <v/>
      </c>
      <c r="M1436" s="7"/>
      <c r="N1436" s="7"/>
      <c r="O1436" s="7"/>
      <c r="P1436" s="20" t="str">
        <f>IF($A1436="","",INDEX(Project_Tracker!$I$2:$I$101,INT((ROW()-6)/17)+1))</f>
        <v/>
      </c>
      <c r="Q1436" s="20" t="str">
        <f>IF($A1436="","",INDEX(Project_Tracker!$K$2:$K$101,INT((ROW()-6)/17)+1))</f>
        <v/>
      </c>
    </row>
    <row r="1437" spans="1:17" x14ac:dyDescent="0.2">
      <c r="A1437" s="20" t="str">
        <f>IF(INDEX(Project_Tracker!$AL$2:$AL$101,INT((ROW()-6)/17)+1)="","",INDEX(Project_Tracker!$AL$2:$AL$101,INT((ROW()-6)/17)+1))</f>
        <v/>
      </c>
      <c r="B1437" s="21" t="str">
        <f>IF($A1437="","",INDEX(Project_Tracker!$AM$2:$AM$101,INT((ROW()-6)/17)+1))</f>
        <v/>
      </c>
      <c r="C1437" s="20" t="str">
        <f>IF($A1437="","",INDEX(Project_Tracker!$C$2:$C$101,INT((ROW()-6)/17)+1))</f>
        <v/>
      </c>
      <c r="D1437" s="6" t="str">
        <f>IF($A1437="","",INDEX(Project_Tracker!$T$2:$T$101,INT((ROW()-6)/17)+1))</f>
        <v/>
      </c>
      <c r="E1437" s="18">
        <f t="shared" si="110"/>
        <v>4</v>
      </c>
      <c r="F1437" s="23" t="str">
        <f>IF($A1437="","",INDEX('Logic &amp; Lists'!$I$4:$I$20,$E1437))</f>
        <v/>
      </c>
      <c r="G1437" s="18" t="str">
        <f>IF($A1437="","",INDEX('Logic &amp; Lists'!$J$4:$J$20,$E1437))</f>
        <v/>
      </c>
      <c r="H1437" s="6" t="str">
        <f t="shared" si="111"/>
        <v/>
      </c>
      <c r="I1437" s="18" t="str">
        <f t="shared" ca="1" si="112"/>
        <v/>
      </c>
      <c r="J1437" s="5" t="str">
        <f t="shared" si="113"/>
        <v/>
      </c>
      <c r="K1437" s="25"/>
      <c r="L1437" s="5" t="str">
        <f t="shared" si="114"/>
        <v/>
      </c>
      <c r="M1437" s="7"/>
      <c r="N1437" s="7"/>
      <c r="O1437" s="7"/>
      <c r="P1437" s="20" t="str">
        <f>IF($A1437="","",INDEX(Project_Tracker!$I$2:$I$101,INT((ROW()-6)/17)+1))</f>
        <v/>
      </c>
      <c r="Q1437" s="20" t="str">
        <f>IF($A1437="","",INDEX(Project_Tracker!$K$2:$K$101,INT((ROW()-6)/17)+1))</f>
        <v/>
      </c>
    </row>
    <row r="1438" spans="1:17" x14ac:dyDescent="0.2">
      <c r="A1438" s="20" t="str">
        <f>IF(INDEX(Project_Tracker!$AL$2:$AL$101,INT((ROW()-6)/17)+1)="","",INDEX(Project_Tracker!$AL$2:$AL$101,INT((ROW()-6)/17)+1))</f>
        <v/>
      </c>
      <c r="B1438" s="21" t="str">
        <f>IF($A1438="","",INDEX(Project_Tracker!$AM$2:$AM$101,INT((ROW()-6)/17)+1))</f>
        <v/>
      </c>
      <c r="C1438" s="20" t="str">
        <f>IF($A1438="","",INDEX(Project_Tracker!$C$2:$C$101,INT((ROW()-6)/17)+1))</f>
        <v/>
      </c>
      <c r="D1438" s="6" t="str">
        <f>IF($A1438="","",INDEX(Project_Tracker!$T$2:$T$101,INT((ROW()-6)/17)+1))</f>
        <v/>
      </c>
      <c r="E1438" s="18">
        <f t="shared" si="110"/>
        <v>5</v>
      </c>
      <c r="F1438" s="23" t="str">
        <f>IF($A1438="","",INDEX('Logic &amp; Lists'!$I$4:$I$20,$E1438))</f>
        <v/>
      </c>
      <c r="G1438" s="18" t="str">
        <f>IF($A1438="","",INDEX('Logic &amp; Lists'!$J$4:$J$20,$E1438))</f>
        <v/>
      </c>
      <c r="H1438" s="6" t="str">
        <f t="shared" si="111"/>
        <v/>
      </c>
      <c r="I1438" s="18" t="str">
        <f t="shared" ca="1" si="112"/>
        <v/>
      </c>
      <c r="J1438" s="5" t="str">
        <f t="shared" si="113"/>
        <v/>
      </c>
      <c r="K1438" s="25"/>
      <c r="L1438" s="5" t="str">
        <f t="shared" si="114"/>
        <v/>
      </c>
      <c r="M1438" s="7"/>
      <c r="N1438" s="7"/>
      <c r="O1438" s="7"/>
      <c r="P1438" s="20" t="str">
        <f>IF($A1438="","",INDEX(Project_Tracker!$I$2:$I$101,INT((ROW()-6)/17)+1))</f>
        <v/>
      </c>
      <c r="Q1438" s="20" t="str">
        <f>IF($A1438="","",INDEX(Project_Tracker!$K$2:$K$101,INT((ROW()-6)/17)+1))</f>
        <v/>
      </c>
    </row>
    <row r="1439" spans="1:17" x14ac:dyDescent="0.2">
      <c r="A1439" s="20" t="str">
        <f>IF(INDEX(Project_Tracker!$AL$2:$AL$101,INT((ROW()-6)/17)+1)="","",INDEX(Project_Tracker!$AL$2:$AL$101,INT((ROW()-6)/17)+1))</f>
        <v/>
      </c>
      <c r="B1439" s="21" t="str">
        <f>IF($A1439="","",INDEX(Project_Tracker!$AM$2:$AM$101,INT((ROW()-6)/17)+1))</f>
        <v/>
      </c>
      <c r="C1439" s="20" t="str">
        <f>IF($A1439="","",INDEX(Project_Tracker!$C$2:$C$101,INT((ROW()-6)/17)+1))</f>
        <v/>
      </c>
      <c r="D1439" s="6" t="str">
        <f>IF($A1439="","",INDEX(Project_Tracker!$T$2:$T$101,INT((ROW()-6)/17)+1))</f>
        <v/>
      </c>
      <c r="E1439" s="18">
        <f t="shared" si="110"/>
        <v>6</v>
      </c>
      <c r="F1439" s="23" t="str">
        <f>IF($A1439="","",INDEX('Logic &amp; Lists'!$I$4:$I$20,$E1439))</f>
        <v/>
      </c>
      <c r="G1439" s="18" t="str">
        <f>IF($A1439="","",INDEX('Logic &amp; Lists'!$J$4:$J$20,$E1439))</f>
        <v/>
      </c>
      <c r="H1439" s="6" t="str">
        <f t="shared" si="111"/>
        <v/>
      </c>
      <c r="I1439" s="18" t="str">
        <f t="shared" ca="1" si="112"/>
        <v/>
      </c>
      <c r="J1439" s="5" t="str">
        <f t="shared" si="113"/>
        <v/>
      </c>
      <c r="K1439" s="25"/>
      <c r="L1439" s="5" t="str">
        <f t="shared" si="114"/>
        <v/>
      </c>
      <c r="M1439" s="7"/>
      <c r="N1439" s="7"/>
      <c r="O1439" s="7"/>
      <c r="P1439" s="20" t="str">
        <f>IF($A1439="","",INDEX(Project_Tracker!$I$2:$I$101,INT((ROW()-6)/17)+1))</f>
        <v/>
      </c>
      <c r="Q1439" s="20" t="str">
        <f>IF($A1439="","",INDEX(Project_Tracker!$K$2:$K$101,INT((ROW()-6)/17)+1))</f>
        <v/>
      </c>
    </row>
    <row r="1440" spans="1:17" x14ac:dyDescent="0.2">
      <c r="A1440" s="20" t="str">
        <f>IF(INDEX(Project_Tracker!$AL$2:$AL$101,INT((ROW()-6)/17)+1)="","",INDEX(Project_Tracker!$AL$2:$AL$101,INT((ROW()-6)/17)+1))</f>
        <v/>
      </c>
      <c r="B1440" s="21" t="str">
        <f>IF($A1440="","",INDEX(Project_Tracker!$AM$2:$AM$101,INT((ROW()-6)/17)+1))</f>
        <v/>
      </c>
      <c r="C1440" s="20" t="str">
        <f>IF($A1440="","",INDEX(Project_Tracker!$C$2:$C$101,INT((ROW()-6)/17)+1))</f>
        <v/>
      </c>
      <c r="D1440" s="6" t="str">
        <f>IF($A1440="","",INDEX(Project_Tracker!$T$2:$T$101,INT((ROW()-6)/17)+1))</f>
        <v/>
      </c>
      <c r="E1440" s="18">
        <f t="shared" si="110"/>
        <v>7</v>
      </c>
      <c r="F1440" s="23" t="str">
        <f>IF($A1440="","",INDEX('Logic &amp; Lists'!$I$4:$I$20,$E1440))</f>
        <v/>
      </c>
      <c r="G1440" s="18" t="str">
        <f>IF($A1440="","",INDEX('Logic &amp; Lists'!$J$4:$J$20,$E1440))</f>
        <v/>
      </c>
      <c r="H1440" s="6" t="str">
        <f t="shared" si="111"/>
        <v/>
      </c>
      <c r="I1440" s="18" t="str">
        <f t="shared" ca="1" si="112"/>
        <v/>
      </c>
      <c r="J1440" s="5" t="str">
        <f t="shared" si="113"/>
        <v/>
      </c>
      <c r="K1440" s="25"/>
      <c r="L1440" s="5" t="str">
        <f t="shared" si="114"/>
        <v/>
      </c>
      <c r="M1440" s="7"/>
      <c r="N1440" s="7"/>
      <c r="O1440" s="7"/>
      <c r="P1440" s="20" t="str">
        <f>IF($A1440="","",INDEX(Project_Tracker!$I$2:$I$101,INT((ROW()-6)/17)+1))</f>
        <v/>
      </c>
      <c r="Q1440" s="20" t="str">
        <f>IF($A1440="","",INDEX(Project_Tracker!$K$2:$K$101,INT((ROW()-6)/17)+1))</f>
        <v/>
      </c>
    </row>
    <row r="1441" spans="1:17" x14ac:dyDescent="0.2">
      <c r="A1441" s="20" t="str">
        <f>IF(INDEX(Project_Tracker!$AL$2:$AL$101,INT((ROW()-6)/17)+1)="","",INDEX(Project_Tracker!$AL$2:$AL$101,INT((ROW()-6)/17)+1))</f>
        <v/>
      </c>
      <c r="B1441" s="21" t="str">
        <f>IF($A1441="","",INDEX(Project_Tracker!$AM$2:$AM$101,INT((ROW()-6)/17)+1))</f>
        <v/>
      </c>
      <c r="C1441" s="20" t="str">
        <f>IF($A1441="","",INDEX(Project_Tracker!$C$2:$C$101,INT((ROW()-6)/17)+1))</f>
        <v/>
      </c>
      <c r="D1441" s="6" t="str">
        <f>IF($A1441="","",INDEX(Project_Tracker!$T$2:$T$101,INT((ROW()-6)/17)+1))</f>
        <v/>
      </c>
      <c r="E1441" s="18">
        <f t="shared" si="110"/>
        <v>8</v>
      </c>
      <c r="F1441" s="23" t="str">
        <f>IF($A1441="","",INDEX('Logic &amp; Lists'!$I$4:$I$20,$E1441))</f>
        <v/>
      </c>
      <c r="G1441" s="18" t="str">
        <f>IF($A1441="","",INDEX('Logic &amp; Lists'!$J$4:$J$20,$E1441))</f>
        <v/>
      </c>
      <c r="H1441" s="6" t="str">
        <f t="shared" si="111"/>
        <v/>
      </c>
      <c r="I1441" s="18" t="str">
        <f t="shared" ca="1" si="112"/>
        <v/>
      </c>
      <c r="J1441" s="5" t="str">
        <f t="shared" si="113"/>
        <v/>
      </c>
      <c r="K1441" s="25"/>
      <c r="L1441" s="5" t="str">
        <f t="shared" si="114"/>
        <v/>
      </c>
      <c r="M1441" s="7"/>
      <c r="N1441" s="7"/>
      <c r="O1441" s="7"/>
      <c r="P1441" s="20" t="str">
        <f>IF($A1441="","",INDEX(Project_Tracker!$I$2:$I$101,INT((ROW()-6)/17)+1))</f>
        <v/>
      </c>
      <c r="Q1441" s="20" t="str">
        <f>IF($A1441="","",INDEX(Project_Tracker!$K$2:$K$101,INT((ROW()-6)/17)+1))</f>
        <v/>
      </c>
    </row>
    <row r="1442" spans="1:17" x14ac:dyDescent="0.2">
      <c r="A1442" s="20" t="str">
        <f>IF(INDEX(Project_Tracker!$AL$2:$AL$101,INT((ROW()-6)/17)+1)="","",INDEX(Project_Tracker!$AL$2:$AL$101,INT((ROW()-6)/17)+1))</f>
        <v/>
      </c>
      <c r="B1442" s="21" t="str">
        <f>IF($A1442="","",INDEX(Project_Tracker!$AM$2:$AM$101,INT((ROW()-6)/17)+1))</f>
        <v/>
      </c>
      <c r="C1442" s="20" t="str">
        <f>IF($A1442="","",INDEX(Project_Tracker!$C$2:$C$101,INT((ROW()-6)/17)+1))</f>
        <v/>
      </c>
      <c r="D1442" s="6" t="str">
        <f>IF($A1442="","",INDEX(Project_Tracker!$T$2:$T$101,INT((ROW()-6)/17)+1))</f>
        <v/>
      </c>
      <c r="E1442" s="18">
        <f t="shared" si="110"/>
        <v>9</v>
      </c>
      <c r="F1442" s="23" t="str">
        <f>IF($A1442="","",INDEX('Logic &amp; Lists'!$I$4:$I$20,$E1442))</f>
        <v/>
      </c>
      <c r="G1442" s="18" t="str">
        <f>IF($A1442="","",INDEX('Logic &amp; Lists'!$J$4:$J$20,$E1442))</f>
        <v/>
      </c>
      <c r="H1442" s="6" t="str">
        <f t="shared" si="111"/>
        <v/>
      </c>
      <c r="I1442" s="18" t="str">
        <f t="shared" ca="1" si="112"/>
        <v/>
      </c>
      <c r="J1442" s="5" t="str">
        <f t="shared" si="113"/>
        <v/>
      </c>
      <c r="K1442" s="25"/>
      <c r="L1442" s="5" t="str">
        <f t="shared" si="114"/>
        <v/>
      </c>
      <c r="M1442" s="7"/>
      <c r="N1442" s="7"/>
      <c r="O1442" s="7"/>
      <c r="P1442" s="20" t="str">
        <f>IF($A1442="","",INDEX(Project_Tracker!$I$2:$I$101,INT((ROW()-6)/17)+1))</f>
        <v/>
      </c>
      <c r="Q1442" s="20" t="str">
        <f>IF($A1442="","",INDEX(Project_Tracker!$K$2:$K$101,INT((ROW()-6)/17)+1))</f>
        <v/>
      </c>
    </row>
    <row r="1443" spans="1:17" x14ac:dyDescent="0.2">
      <c r="A1443" s="20" t="str">
        <f>IF(INDEX(Project_Tracker!$AL$2:$AL$101,INT((ROW()-6)/17)+1)="","",INDEX(Project_Tracker!$AL$2:$AL$101,INT((ROW()-6)/17)+1))</f>
        <v/>
      </c>
      <c r="B1443" s="21" t="str">
        <f>IF($A1443="","",INDEX(Project_Tracker!$AM$2:$AM$101,INT((ROW()-6)/17)+1))</f>
        <v/>
      </c>
      <c r="C1443" s="20" t="str">
        <f>IF($A1443="","",INDEX(Project_Tracker!$C$2:$C$101,INT((ROW()-6)/17)+1))</f>
        <v/>
      </c>
      <c r="D1443" s="6" t="str">
        <f>IF($A1443="","",INDEX(Project_Tracker!$T$2:$T$101,INT((ROW()-6)/17)+1))</f>
        <v/>
      </c>
      <c r="E1443" s="18">
        <f t="shared" si="110"/>
        <v>10</v>
      </c>
      <c r="F1443" s="23" t="str">
        <f>IF($A1443="","",INDEX('Logic &amp; Lists'!$I$4:$I$20,$E1443))</f>
        <v/>
      </c>
      <c r="G1443" s="18" t="str">
        <f>IF($A1443="","",INDEX('Logic &amp; Lists'!$J$4:$J$20,$E1443))</f>
        <v/>
      </c>
      <c r="H1443" s="6" t="str">
        <f t="shared" si="111"/>
        <v/>
      </c>
      <c r="I1443" s="18" t="str">
        <f t="shared" ca="1" si="112"/>
        <v/>
      </c>
      <c r="J1443" s="5" t="str">
        <f t="shared" si="113"/>
        <v/>
      </c>
      <c r="K1443" s="25"/>
      <c r="L1443" s="5" t="str">
        <f t="shared" si="114"/>
        <v/>
      </c>
      <c r="M1443" s="7"/>
      <c r="N1443" s="7"/>
      <c r="O1443" s="7"/>
      <c r="P1443" s="20" t="str">
        <f>IF($A1443="","",INDEX(Project_Tracker!$I$2:$I$101,INT((ROW()-6)/17)+1))</f>
        <v/>
      </c>
      <c r="Q1443" s="20" t="str">
        <f>IF($A1443="","",INDEX(Project_Tracker!$K$2:$K$101,INT((ROW()-6)/17)+1))</f>
        <v/>
      </c>
    </row>
    <row r="1444" spans="1:17" x14ac:dyDescent="0.2">
      <c r="A1444" s="20" t="str">
        <f>IF(INDEX(Project_Tracker!$AL$2:$AL$101,INT((ROW()-6)/17)+1)="","",INDEX(Project_Tracker!$AL$2:$AL$101,INT((ROW()-6)/17)+1))</f>
        <v/>
      </c>
      <c r="B1444" s="21" t="str">
        <f>IF($A1444="","",INDEX(Project_Tracker!$AM$2:$AM$101,INT((ROW()-6)/17)+1))</f>
        <v/>
      </c>
      <c r="C1444" s="20" t="str">
        <f>IF($A1444="","",INDEX(Project_Tracker!$C$2:$C$101,INT((ROW()-6)/17)+1))</f>
        <v/>
      </c>
      <c r="D1444" s="6" t="str">
        <f>IF($A1444="","",INDEX(Project_Tracker!$T$2:$T$101,INT((ROW()-6)/17)+1))</f>
        <v/>
      </c>
      <c r="E1444" s="18">
        <f t="shared" si="110"/>
        <v>11</v>
      </c>
      <c r="F1444" s="23" t="str">
        <f>IF($A1444="","",INDEX('Logic &amp; Lists'!$I$4:$I$20,$E1444))</f>
        <v/>
      </c>
      <c r="G1444" s="18" t="str">
        <f>IF($A1444="","",INDEX('Logic &amp; Lists'!$J$4:$J$20,$E1444))</f>
        <v/>
      </c>
      <c r="H1444" s="6" t="str">
        <f t="shared" si="111"/>
        <v/>
      </c>
      <c r="I1444" s="18" t="str">
        <f t="shared" ca="1" si="112"/>
        <v/>
      </c>
      <c r="J1444" s="5" t="str">
        <f t="shared" si="113"/>
        <v/>
      </c>
      <c r="K1444" s="25"/>
      <c r="L1444" s="5" t="str">
        <f t="shared" si="114"/>
        <v/>
      </c>
      <c r="M1444" s="7"/>
      <c r="N1444" s="7"/>
      <c r="O1444" s="7"/>
      <c r="P1444" s="20" t="str">
        <f>IF($A1444="","",INDEX(Project_Tracker!$I$2:$I$101,INT((ROW()-6)/17)+1))</f>
        <v/>
      </c>
      <c r="Q1444" s="20" t="str">
        <f>IF($A1444="","",INDEX(Project_Tracker!$K$2:$K$101,INT((ROW()-6)/17)+1))</f>
        <v/>
      </c>
    </row>
    <row r="1445" spans="1:17" x14ac:dyDescent="0.2">
      <c r="A1445" s="20" t="str">
        <f>IF(INDEX(Project_Tracker!$AL$2:$AL$101,INT((ROW()-6)/17)+1)="","",INDEX(Project_Tracker!$AL$2:$AL$101,INT((ROW()-6)/17)+1))</f>
        <v/>
      </c>
      <c r="B1445" s="21" t="str">
        <f>IF($A1445="","",INDEX(Project_Tracker!$AM$2:$AM$101,INT((ROW()-6)/17)+1))</f>
        <v/>
      </c>
      <c r="C1445" s="20" t="str">
        <f>IF($A1445="","",INDEX(Project_Tracker!$C$2:$C$101,INT((ROW()-6)/17)+1))</f>
        <v/>
      </c>
      <c r="D1445" s="6" t="str">
        <f>IF($A1445="","",INDEX(Project_Tracker!$T$2:$T$101,INT((ROW()-6)/17)+1))</f>
        <v/>
      </c>
      <c r="E1445" s="18">
        <f t="shared" si="110"/>
        <v>12</v>
      </c>
      <c r="F1445" s="23" t="str">
        <f>IF($A1445="","",INDEX('Logic &amp; Lists'!$I$4:$I$20,$E1445))</f>
        <v/>
      </c>
      <c r="G1445" s="18" t="str">
        <f>IF($A1445="","",INDEX('Logic &amp; Lists'!$J$4:$J$20,$E1445))</f>
        <v/>
      </c>
      <c r="H1445" s="6" t="str">
        <f t="shared" si="111"/>
        <v/>
      </c>
      <c r="I1445" s="18" t="str">
        <f t="shared" ca="1" si="112"/>
        <v/>
      </c>
      <c r="J1445" s="5" t="str">
        <f t="shared" si="113"/>
        <v/>
      </c>
      <c r="K1445" s="25"/>
      <c r="L1445" s="5" t="str">
        <f t="shared" si="114"/>
        <v/>
      </c>
      <c r="M1445" s="7"/>
      <c r="N1445" s="7"/>
      <c r="O1445" s="7"/>
      <c r="P1445" s="20" t="str">
        <f>IF($A1445="","",INDEX(Project_Tracker!$I$2:$I$101,INT((ROW()-6)/17)+1))</f>
        <v/>
      </c>
      <c r="Q1445" s="20" t="str">
        <f>IF($A1445="","",INDEX(Project_Tracker!$K$2:$K$101,INT((ROW()-6)/17)+1))</f>
        <v/>
      </c>
    </row>
    <row r="1446" spans="1:17" x14ac:dyDescent="0.2">
      <c r="A1446" s="20" t="str">
        <f>IF(INDEX(Project_Tracker!$AL$2:$AL$101,INT((ROW()-6)/17)+1)="","",INDEX(Project_Tracker!$AL$2:$AL$101,INT((ROW()-6)/17)+1))</f>
        <v/>
      </c>
      <c r="B1446" s="21" t="str">
        <f>IF($A1446="","",INDEX(Project_Tracker!$AM$2:$AM$101,INT((ROW()-6)/17)+1))</f>
        <v/>
      </c>
      <c r="C1446" s="20" t="str">
        <f>IF($A1446="","",INDEX(Project_Tracker!$C$2:$C$101,INT((ROW()-6)/17)+1))</f>
        <v/>
      </c>
      <c r="D1446" s="6" t="str">
        <f>IF($A1446="","",INDEX(Project_Tracker!$T$2:$T$101,INT((ROW()-6)/17)+1))</f>
        <v/>
      </c>
      <c r="E1446" s="18">
        <f t="shared" si="110"/>
        <v>13</v>
      </c>
      <c r="F1446" s="23" t="str">
        <f>IF($A1446="","",INDEX('Logic &amp; Lists'!$I$4:$I$20,$E1446))</f>
        <v/>
      </c>
      <c r="G1446" s="18" t="str">
        <f>IF($A1446="","",INDEX('Logic &amp; Lists'!$J$4:$J$20,$E1446))</f>
        <v/>
      </c>
      <c r="H1446" s="6" t="str">
        <f t="shared" si="111"/>
        <v/>
      </c>
      <c r="I1446" s="18" t="str">
        <f t="shared" ca="1" si="112"/>
        <v/>
      </c>
      <c r="J1446" s="5" t="str">
        <f t="shared" si="113"/>
        <v/>
      </c>
      <c r="K1446" s="25"/>
      <c r="L1446" s="5" t="str">
        <f t="shared" si="114"/>
        <v/>
      </c>
      <c r="M1446" s="7"/>
      <c r="N1446" s="7"/>
      <c r="O1446" s="7"/>
      <c r="P1446" s="20" t="str">
        <f>IF($A1446="","",INDEX(Project_Tracker!$I$2:$I$101,INT((ROW()-6)/17)+1))</f>
        <v/>
      </c>
      <c r="Q1446" s="20" t="str">
        <f>IF($A1446="","",INDEX(Project_Tracker!$K$2:$K$101,INT((ROW()-6)/17)+1))</f>
        <v/>
      </c>
    </row>
    <row r="1447" spans="1:17" x14ac:dyDescent="0.2">
      <c r="A1447" s="20" t="str">
        <f>IF(INDEX(Project_Tracker!$AL$2:$AL$101,INT((ROW()-6)/17)+1)="","",INDEX(Project_Tracker!$AL$2:$AL$101,INT((ROW()-6)/17)+1))</f>
        <v/>
      </c>
      <c r="B1447" s="21" t="str">
        <f>IF($A1447="","",INDEX(Project_Tracker!$AM$2:$AM$101,INT((ROW()-6)/17)+1))</f>
        <v/>
      </c>
      <c r="C1447" s="20" t="str">
        <f>IF($A1447="","",INDEX(Project_Tracker!$C$2:$C$101,INT((ROW()-6)/17)+1))</f>
        <v/>
      </c>
      <c r="D1447" s="6" t="str">
        <f>IF($A1447="","",INDEX(Project_Tracker!$T$2:$T$101,INT((ROW()-6)/17)+1))</f>
        <v/>
      </c>
      <c r="E1447" s="18">
        <f t="shared" si="110"/>
        <v>14</v>
      </c>
      <c r="F1447" s="23" t="str">
        <f>IF($A1447="","",INDEX('Logic &amp; Lists'!$I$4:$I$20,$E1447))</f>
        <v/>
      </c>
      <c r="G1447" s="18" t="str">
        <f>IF($A1447="","",INDEX('Logic &amp; Lists'!$J$4:$J$20,$E1447))</f>
        <v/>
      </c>
      <c r="H1447" s="6" t="str">
        <f t="shared" si="111"/>
        <v/>
      </c>
      <c r="I1447" s="18" t="str">
        <f t="shared" ca="1" si="112"/>
        <v/>
      </c>
      <c r="J1447" s="5" t="str">
        <f t="shared" si="113"/>
        <v/>
      </c>
      <c r="K1447" s="25"/>
      <c r="L1447" s="5" t="str">
        <f t="shared" si="114"/>
        <v/>
      </c>
      <c r="M1447" s="7"/>
      <c r="N1447" s="7"/>
      <c r="O1447" s="7"/>
      <c r="P1447" s="20" t="str">
        <f>IF($A1447="","",INDEX(Project_Tracker!$I$2:$I$101,INT((ROW()-6)/17)+1))</f>
        <v/>
      </c>
      <c r="Q1447" s="20" t="str">
        <f>IF($A1447="","",INDEX(Project_Tracker!$K$2:$K$101,INT((ROW()-6)/17)+1))</f>
        <v/>
      </c>
    </row>
    <row r="1448" spans="1:17" x14ac:dyDescent="0.2">
      <c r="A1448" s="20" t="str">
        <f>IF(INDEX(Project_Tracker!$AL$2:$AL$101,INT((ROW()-6)/17)+1)="","",INDEX(Project_Tracker!$AL$2:$AL$101,INT((ROW()-6)/17)+1))</f>
        <v/>
      </c>
      <c r="B1448" s="21" t="str">
        <f>IF($A1448="","",INDEX(Project_Tracker!$AM$2:$AM$101,INT((ROW()-6)/17)+1))</f>
        <v/>
      </c>
      <c r="C1448" s="20" t="str">
        <f>IF($A1448="","",INDEX(Project_Tracker!$C$2:$C$101,INT((ROW()-6)/17)+1))</f>
        <v/>
      </c>
      <c r="D1448" s="6" t="str">
        <f>IF($A1448="","",INDEX(Project_Tracker!$T$2:$T$101,INT((ROW()-6)/17)+1))</f>
        <v/>
      </c>
      <c r="E1448" s="18">
        <f t="shared" si="110"/>
        <v>15</v>
      </c>
      <c r="F1448" s="23" t="str">
        <f>IF($A1448="","",INDEX('Logic &amp; Lists'!$I$4:$I$20,$E1448))</f>
        <v/>
      </c>
      <c r="G1448" s="18" t="str">
        <f>IF($A1448="","",INDEX('Logic &amp; Lists'!$J$4:$J$20,$E1448))</f>
        <v/>
      </c>
      <c r="H1448" s="6" t="str">
        <f t="shared" si="111"/>
        <v/>
      </c>
      <c r="I1448" s="18" t="str">
        <f t="shared" ca="1" si="112"/>
        <v/>
      </c>
      <c r="J1448" s="5" t="str">
        <f t="shared" si="113"/>
        <v/>
      </c>
      <c r="K1448" s="25"/>
      <c r="L1448" s="5" t="str">
        <f t="shared" si="114"/>
        <v/>
      </c>
      <c r="M1448" s="7"/>
      <c r="N1448" s="7"/>
      <c r="O1448" s="7"/>
      <c r="P1448" s="20" t="str">
        <f>IF($A1448="","",INDEX(Project_Tracker!$I$2:$I$101,INT((ROW()-6)/17)+1))</f>
        <v/>
      </c>
      <c r="Q1448" s="20" t="str">
        <f>IF($A1448="","",INDEX(Project_Tracker!$K$2:$K$101,INT((ROW()-6)/17)+1))</f>
        <v/>
      </c>
    </row>
    <row r="1449" spans="1:17" x14ac:dyDescent="0.2">
      <c r="A1449" s="20" t="str">
        <f>IF(INDEX(Project_Tracker!$AL$2:$AL$101,INT((ROW()-6)/17)+1)="","",INDEX(Project_Tracker!$AL$2:$AL$101,INT((ROW()-6)/17)+1))</f>
        <v/>
      </c>
      <c r="B1449" s="21" t="str">
        <f>IF($A1449="","",INDEX(Project_Tracker!$AM$2:$AM$101,INT((ROW()-6)/17)+1))</f>
        <v/>
      </c>
      <c r="C1449" s="20" t="str">
        <f>IF($A1449="","",INDEX(Project_Tracker!$C$2:$C$101,INT((ROW()-6)/17)+1))</f>
        <v/>
      </c>
      <c r="D1449" s="6" t="str">
        <f>IF($A1449="","",INDEX(Project_Tracker!$T$2:$T$101,INT((ROW()-6)/17)+1))</f>
        <v/>
      </c>
      <c r="E1449" s="18">
        <f t="shared" si="110"/>
        <v>16</v>
      </c>
      <c r="F1449" s="23" t="str">
        <f>IF($A1449="","",INDEX('Logic &amp; Lists'!$I$4:$I$20,$E1449))</f>
        <v/>
      </c>
      <c r="G1449" s="18" t="str">
        <f>IF($A1449="","",INDEX('Logic &amp; Lists'!$J$4:$J$20,$E1449))</f>
        <v/>
      </c>
      <c r="H1449" s="6" t="str">
        <f t="shared" si="111"/>
        <v/>
      </c>
      <c r="I1449" s="18" t="str">
        <f t="shared" ca="1" si="112"/>
        <v/>
      </c>
      <c r="J1449" s="5" t="str">
        <f t="shared" si="113"/>
        <v/>
      </c>
      <c r="K1449" s="25"/>
      <c r="L1449" s="5" t="str">
        <f t="shared" si="114"/>
        <v/>
      </c>
      <c r="M1449" s="7"/>
      <c r="N1449" s="7"/>
      <c r="O1449" s="7"/>
      <c r="P1449" s="20" t="str">
        <f>IF($A1449="","",INDEX(Project_Tracker!$I$2:$I$101,INT((ROW()-6)/17)+1))</f>
        <v/>
      </c>
      <c r="Q1449" s="20" t="str">
        <f>IF($A1449="","",INDEX(Project_Tracker!$K$2:$K$101,INT((ROW()-6)/17)+1))</f>
        <v/>
      </c>
    </row>
    <row r="1450" spans="1:17" x14ac:dyDescent="0.2">
      <c r="A1450" s="20" t="str">
        <f>IF(INDEX(Project_Tracker!$AL$2:$AL$101,INT((ROW()-6)/17)+1)="","",INDEX(Project_Tracker!$AL$2:$AL$101,INT((ROW()-6)/17)+1))</f>
        <v/>
      </c>
      <c r="B1450" s="21" t="str">
        <f>IF($A1450="","",INDEX(Project_Tracker!$AM$2:$AM$101,INT((ROW()-6)/17)+1))</f>
        <v/>
      </c>
      <c r="C1450" s="20" t="str">
        <f>IF($A1450="","",INDEX(Project_Tracker!$C$2:$C$101,INT((ROW()-6)/17)+1))</f>
        <v/>
      </c>
      <c r="D1450" s="6" t="str">
        <f>IF($A1450="","",INDEX(Project_Tracker!$T$2:$T$101,INT((ROW()-6)/17)+1))</f>
        <v/>
      </c>
      <c r="E1450" s="18">
        <f t="shared" si="110"/>
        <v>17</v>
      </c>
      <c r="F1450" s="23" t="str">
        <f>IF($A1450="","",INDEX('Logic &amp; Lists'!$I$4:$I$20,$E1450))</f>
        <v/>
      </c>
      <c r="G1450" s="18" t="str">
        <f>IF($A1450="","",INDEX('Logic &amp; Lists'!$J$4:$J$20,$E1450))</f>
        <v/>
      </c>
      <c r="H1450" s="6" t="str">
        <f t="shared" si="111"/>
        <v/>
      </c>
      <c r="I1450" s="18" t="str">
        <f t="shared" ca="1" si="112"/>
        <v/>
      </c>
      <c r="J1450" s="5" t="str">
        <f t="shared" si="113"/>
        <v/>
      </c>
      <c r="K1450" s="25"/>
      <c r="L1450" s="5" t="str">
        <f t="shared" si="114"/>
        <v/>
      </c>
      <c r="M1450" s="7"/>
      <c r="N1450" s="7"/>
      <c r="O1450" s="7"/>
      <c r="P1450" s="20" t="str">
        <f>IF($A1450="","",INDEX(Project_Tracker!$I$2:$I$101,INT((ROW()-6)/17)+1))</f>
        <v/>
      </c>
      <c r="Q1450" s="20" t="str">
        <f>IF($A1450="","",INDEX(Project_Tracker!$K$2:$K$101,INT((ROW()-6)/17)+1))</f>
        <v/>
      </c>
    </row>
    <row r="1451" spans="1:17" x14ac:dyDescent="0.2">
      <c r="A1451" s="20" t="str">
        <f>IF(INDEX(Project_Tracker!$AL$2:$AL$101,INT((ROW()-6)/17)+1)="","",INDEX(Project_Tracker!$AL$2:$AL$101,INT((ROW()-6)/17)+1))</f>
        <v/>
      </c>
      <c r="B1451" s="21" t="str">
        <f>IF($A1451="","",INDEX(Project_Tracker!$AM$2:$AM$101,INT((ROW()-6)/17)+1))</f>
        <v/>
      </c>
      <c r="C1451" s="20" t="str">
        <f>IF($A1451="","",INDEX(Project_Tracker!$C$2:$C$101,INT((ROW()-6)/17)+1))</f>
        <v/>
      </c>
      <c r="D1451" s="6" t="str">
        <f>IF($A1451="","",INDEX(Project_Tracker!$T$2:$T$101,INT((ROW()-6)/17)+1))</f>
        <v/>
      </c>
      <c r="E1451" s="18">
        <f t="shared" si="110"/>
        <v>1</v>
      </c>
      <c r="F1451" s="23" t="str">
        <f>IF($A1451="","",INDEX('Logic &amp; Lists'!$I$4:$I$20,$E1451))</f>
        <v/>
      </c>
      <c r="G1451" s="18" t="str">
        <f>IF($A1451="","",INDEX('Logic &amp; Lists'!$J$4:$J$20,$E1451))</f>
        <v/>
      </c>
      <c r="H1451" s="6" t="str">
        <f t="shared" si="111"/>
        <v/>
      </c>
      <c r="I1451" s="18" t="str">
        <f t="shared" ca="1" si="112"/>
        <v/>
      </c>
      <c r="J1451" s="5" t="str">
        <f t="shared" si="113"/>
        <v/>
      </c>
      <c r="K1451" s="25"/>
      <c r="L1451" s="5" t="str">
        <f t="shared" si="114"/>
        <v/>
      </c>
      <c r="M1451" s="7"/>
      <c r="N1451" s="7"/>
      <c r="O1451" s="7"/>
      <c r="P1451" s="20" t="str">
        <f>IF($A1451="","",INDEX(Project_Tracker!$I$2:$I$101,INT((ROW()-6)/17)+1))</f>
        <v/>
      </c>
      <c r="Q1451" s="20" t="str">
        <f>IF($A1451="","",INDEX(Project_Tracker!$K$2:$K$101,INT((ROW()-6)/17)+1))</f>
        <v/>
      </c>
    </row>
    <row r="1452" spans="1:17" x14ac:dyDescent="0.2">
      <c r="A1452" s="20" t="str">
        <f>IF(INDEX(Project_Tracker!$AL$2:$AL$101,INT((ROW()-6)/17)+1)="","",INDEX(Project_Tracker!$AL$2:$AL$101,INT((ROW()-6)/17)+1))</f>
        <v/>
      </c>
      <c r="B1452" s="21" t="str">
        <f>IF($A1452="","",INDEX(Project_Tracker!$AM$2:$AM$101,INT((ROW()-6)/17)+1))</f>
        <v/>
      </c>
      <c r="C1452" s="20" t="str">
        <f>IF($A1452="","",INDEX(Project_Tracker!$C$2:$C$101,INT((ROW()-6)/17)+1))</f>
        <v/>
      </c>
      <c r="D1452" s="6" t="str">
        <f>IF($A1452="","",INDEX(Project_Tracker!$T$2:$T$101,INT((ROW()-6)/17)+1))</f>
        <v/>
      </c>
      <c r="E1452" s="18">
        <f t="shared" si="110"/>
        <v>2</v>
      </c>
      <c r="F1452" s="23" t="str">
        <f>IF($A1452="","",INDEX('Logic &amp; Lists'!$I$4:$I$20,$E1452))</f>
        <v/>
      </c>
      <c r="G1452" s="18" t="str">
        <f>IF($A1452="","",INDEX('Logic &amp; Lists'!$J$4:$J$20,$E1452))</f>
        <v/>
      </c>
      <c r="H1452" s="6" t="str">
        <f t="shared" si="111"/>
        <v/>
      </c>
      <c r="I1452" s="18" t="str">
        <f t="shared" ca="1" si="112"/>
        <v/>
      </c>
      <c r="J1452" s="5" t="str">
        <f t="shared" si="113"/>
        <v/>
      </c>
      <c r="K1452" s="25"/>
      <c r="L1452" s="5" t="str">
        <f t="shared" si="114"/>
        <v/>
      </c>
      <c r="M1452" s="7"/>
      <c r="N1452" s="7"/>
      <c r="O1452" s="7"/>
      <c r="P1452" s="20" t="str">
        <f>IF($A1452="","",INDEX(Project_Tracker!$I$2:$I$101,INT((ROW()-6)/17)+1))</f>
        <v/>
      </c>
      <c r="Q1452" s="20" t="str">
        <f>IF($A1452="","",INDEX(Project_Tracker!$K$2:$K$101,INT((ROW()-6)/17)+1))</f>
        <v/>
      </c>
    </row>
    <row r="1453" spans="1:17" x14ac:dyDescent="0.2">
      <c r="A1453" s="20" t="str">
        <f>IF(INDEX(Project_Tracker!$AL$2:$AL$101,INT((ROW()-6)/17)+1)="","",INDEX(Project_Tracker!$AL$2:$AL$101,INT((ROW()-6)/17)+1))</f>
        <v/>
      </c>
      <c r="B1453" s="21" t="str">
        <f>IF($A1453="","",INDEX(Project_Tracker!$AM$2:$AM$101,INT((ROW()-6)/17)+1))</f>
        <v/>
      </c>
      <c r="C1453" s="20" t="str">
        <f>IF($A1453="","",INDEX(Project_Tracker!$C$2:$C$101,INT((ROW()-6)/17)+1))</f>
        <v/>
      </c>
      <c r="D1453" s="6" t="str">
        <f>IF($A1453="","",INDEX(Project_Tracker!$T$2:$T$101,INT((ROW()-6)/17)+1))</f>
        <v/>
      </c>
      <c r="E1453" s="18">
        <f t="shared" si="110"/>
        <v>3</v>
      </c>
      <c r="F1453" s="23" t="str">
        <f>IF($A1453="","",INDEX('Logic &amp; Lists'!$I$4:$I$20,$E1453))</f>
        <v/>
      </c>
      <c r="G1453" s="18" t="str">
        <f>IF($A1453="","",INDEX('Logic &amp; Lists'!$J$4:$J$20,$E1453))</f>
        <v/>
      </c>
      <c r="H1453" s="6" t="str">
        <f t="shared" si="111"/>
        <v/>
      </c>
      <c r="I1453" s="18" t="str">
        <f t="shared" ca="1" si="112"/>
        <v/>
      </c>
      <c r="J1453" s="5" t="str">
        <f t="shared" si="113"/>
        <v/>
      </c>
      <c r="K1453" s="25"/>
      <c r="L1453" s="5" t="str">
        <f t="shared" si="114"/>
        <v/>
      </c>
      <c r="M1453" s="7"/>
      <c r="N1453" s="7"/>
      <c r="O1453" s="7"/>
      <c r="P1453" s="20" t="str">
        <f>IF($A1453="","",INDEX(Project_Tracker!$I$2:$I$101,INT((ROW()-6)/17)+1))</f>
        <v/>
      </c>
      <c r="Q1453" s="20" t="str">
        <f>IF($A1453="","",INDEX(Project_Tracker!$K$2:$K$101,INT((ROW()-6)/17)+1))</f>
        <v/>
      </c>
    </row>
    <row r="1454" spans="1:17" x14ac:dyDescent="0.2">
      <c r="A1454" s="20" t="str">
        <f>IF(INDEX(Project_Tracker!$AL$2:$AL$101,INT((ROW()-6)/17)+1)="","",INDEX(Project_Tracker!$AL$2:$AL$101,INT((ROW()-6)/17)+1))</f>
        <v/>
      </c>
      <c r="B1454" s="21" t="str">
        <f>IF($A1454="","",INDEX(Project_Tracker!$AM$2:$AM$101,INT((ROW()-6)/17)+1))</f>
        <v/>
      </c>
      <c r="C1454" s="20" t="str">
        <f>IF($A1454="","",INDEX(Project_Tracker!$C$2:$C$101,INT((ROW()-6)/17)+1))</f>
        <v/>
      </c>
      <c r="D1454" s="6" t="str">
        <f>IF($A1454="","",INDEX(Project_Tracker!$T$2:$T$101,INT((ROW()-6)/17)+1))</f>
        <v/>
      </c>
      <c r="E1454" s="18">
        <f t="shared" si="110"/>
        <v>4</v>
      </c>
      <c r="F1454" s="23" t="str">
        <f>IF($A1454="","",INDEX('Logic &amp; Lists'!$I$4:$I$20,$E1454))</f>
        <v/>
      </c>
      <c r="G1454" s="18" t="str">
        <f>IF($A1454="","",INDEX('Logic &amp; Lists'!$J$4:$J$20,$E1454))</f>
        <v/>
      </c>
      <c r="H1454" s="6" t="str">
        <f t="shared" si="111"/>
        <v/>
      </c>
      <c r="I1454" s="18" t="str">
        <f t="shared" ca="1" si="112"/>
        <v/>
      </c>
      <c r="J1454" s="5" t="str">
        <f t="shared" si="113"/>
        <v/>
      </c>
      <c r="K1454" s="25"/>
      <c r="L1454" s="5" t="str">
        <f t="shared" si="114"/>
        <v/>
      </c>
      <c r="M1454" s="7"/>
      <c r="N1454" s="7"/>
      <c r="O1454" s="7"/>
      <c r="P1454" s="20" t="str">
        <f>IF($A1454="","",INDEX(Project_Tracker!$I$2:$I$101,INT((ROW()-6)/17)+1))</f>
        <v/>
      </c>
      <c r="Q1454" s="20" t="str">
        <f>IF($A1454="","",INDEX(Project_Tracker!$K$2:$K$101,INT((ROW()-6)/17)+1))</f>
        <v/>
      </c>
    </row>
    <row r="1455" spans="1:17" x14ac:dyDescent="0.2">
      <c r="A1455" s="20" t="str">
        <f>IF(INDEX(Project_Tracker!$AL$2:$AL$101,INT((ROW()-6)/17)+1)="","",INDEX(Project_Tracker!$AL$2:$AL$101,INT((ROW()-6)/17)+1))</f>
        <v/>
      </c>
      <c r="B1455" s="21" t="str">
        <f>IF($A1455="","",INDEX(Project_Tracker!$AM$2:$AM$101,INT((ROW()-6)/17)+1))</f>
        <v/>
      </c>
      <c r="C1455" s="20" t="str">
        <f>IF($A1455="","",INDEX(Project_Tracker!$C$2:$C$101,INT((ROW()-6)/17)+1))</f>
        <v/>
      </c>
      <c r="D1455" s="6" t="str">
        <f>IF($A1455="","",INDEX(Project_Tracker!$T$2:$T$101,INT((ROW()-6)/17)+1))</f>
        <v/>
      </c>
      <c r="E1455" s="18">
        <f t="shared" si="110"/>
        <v>5</v>
      </c>
      <c r="F1455" s="23" t="str">
        <f>IF($A1455="","",INDEX('Logic &amp; Lists'!$I$4:$I$20,$E1455))</f>
        <v/>
      </c>
      <c r="G1455" s="18" t="str">
        <f>IF($A1455="","",INDEX('Logic &amp; Lists'!$J$4:$J$20,$E1455))</f>
        <v/>
      </c>
      <c r="H1455" s="6" t="str">
        <f t="shared" si="111"/>
        <v/>
      </c>
      <c r="I1455" s="18" t="str">
        <f t="shared" ca="1" si="112"/>
        <v/>
      </c>
      <c r="J1455" s="5" t="str">
        <f t="shared" si="113"/>
        <v/>
      </c>
      <c r="K1455" s="25"/>
      <c r="L1455" s="5" t="str">
        <f t="shared" si="114"/>
        <v/>
      </c>
      <c r="M1455" s="7"/>
      <c r="N1455" s="7"/>
      <c r="O1455" s="7"/>
      <c r="P1455" s="20" t="str">
        <f>IF($A1455="","",INDEX(Project_Tracker!$I$2:$I$101,INT((ROW()-6)/17)+1))</f>
        <v/>
      </c>
      <c r="Q1455" s="20" t="str">
        <f>IF($A1455="","",INDEX(Project_Tracker!$K$2:$K$101,INT((ROW()-6)/17)+1))</f>
        <v/>
      </c>
    </row>
    <row r="1456" spans="1:17" x14ac:dyDescent="0.2">
      <c r="A1456" s="20" t="str">
        <f>IF(INDEX(Project_Tracker!$AL$2:$AL$101,INT((ROW()-6)/17)+1)="","",INDEX(Project_Tracker!$AL$2:$AL$101,INT((ROW()-6)/17)+1))</f>
        <v/>
      </c>
      <c r="B1456" s="21" t="str">
        <f>IF($A1456="","",INDEX(Project_Tracker!$AM$2:$AM$101,INT((ROW()-6)/17)+1))</f>
        <v/>
      </c>
      <c r="C1456" s="20" t="str">
        <f>IF($A1456="","",INDEX(Project_Tracker!$C$2:$C$101,INT((ROW()-6)/17)+1))</f>
        <v/>
      </c>
      <c r="D1456" s="6" t="str">
        <f>IF($A1456="","",INDEX(Project_Tracker!$T$2:$T$101,INT((ROW()-6)/17)+1))</f>
        <v/>
      </c>
      <c r="E1456" s="18">
        <f t="shared" si="110"/>
        <v>6</v>
      </c>
      <c r="F1456" s="23" t="str">
        <f>IF($A1456="","",INDEX('Logic &amp; Lists'!$I$4:$I$20,$E1456))</f>
        <v/>
      </c>
      <c r="G1456" s="18" t="str">
        <f>IF($A1456="","",INDEX('Logic &amp; Lists'!$J$4:$J$20,$E1456))</f>
        <v/>
      </c>
      <c r="H1456" s="6" t="str">
        <f t="shared" si="111"/>
        <v/>
      </c>
      <c r="I1456" s="18" t="str">
        <f t="shared" ca="1" si="112"/>
        <v/>
      </c>
      <c r="J1456" s="5" t="str">
        <f t="shared" si="113"/>
        <v/>
      </c>
      <c r="K1456" s="25"/>
      <c r="L1456" s="5" t="str">
        <f t="shared" si="114"/>
        <v/>
      </c>
      <c r="M1456" s="7"/>
      <c r="N1456" s="7"/>
      <c r="O1456" s="7"/>
      <c r="P1456" s="20" t="str">
        <f>IF($A1456="","",INDEX(Project_Tracker!$I$2:$I$101,INT((ROW()-6)/17)+1))</f>
        <v/>
      </c>
      <c r="Q1456" s="20" t="str">
        <f>IF($A1456="","",INDEX(Project_Tracker!$K$2:$K$101,INT((ROW()-6)/17)+1))</f>
        <v/>
      </c>
    </row>
    <row r="1457" spans="1:17" x14ac:dyDescent="0.2">
      <c r="A1457" s="20" t="str">
        <f>IF(INDEX(Project_Tracker!$AL$2:$AL$101,INT((ROW()-6)/17)+1)="","",INDEX(Project_Tracker!$AL$2:$AL$101,INT((ROW()-6)/17)+1))</f>
        <v/>
      </c>
      <c r="B1457" s="21" t="str">
        <f>IF($A1457="","",INDEX(Project_Tracker!$AM$2:$AM$101,INT((ROW()-6)/17)+1))</f>
        <v/>
      </c>
      <c r="C1457" s="20" t="str">
        <f>IF($A1457="","",INDEX(Project_Tracker!$C$2:$C$101,INT((ROW()-6)/17)+1))</f>
        <v/>
      </c>
      <c r="D1457" s="6" t="str">
        <f>IF($A1457="","",INDEX(Project_Tracker!$T$2:$T$101,INT((ROW()-6)/17)+1))</f>
        <v/>
      </c>
      <c r="E1457" s="18">
        <f t="shared" si="110"/>
        <v>7</v>
      </c>
      <c r="F1457" s="23" t="str">
        <f>IF($A1457="","",INDEX('Logic &amp; Lists'!$I$4:$I$20,$E1457))</f>
        <v/>
      </c>
      <c r="G1457" s="18" t="str">
        <f>IF($A1457="","",INDEX('Logic &amp; Lists'!$J$4:$J$20,$E1457))</f>
        <v/>
      </c>
      <c r="H1457" s="6" t="str">
        <f t="shared" si="111"/>
        <v/>
      </c>
      <c r="I1457" s="18" t="str">
        <f t="shared" ca="1" si="112"/>
        <v/>
      </c>
      <c r="J1457" s="5" t="str">
        <f t="shared" si="113"/>
        <v/>
      </c>
      <c r="K1457" s="25"/>
      <c r="L1457" s="5" t="str">
        <f t="shared" si="114"/>
        <v/>
      </c>
      <c r="M1457" s="7"/>
      <c r="N1457" s="7"/>
      <c r="O1457" s="7"/>
      <c r="P1457" s="20" t="str">
        <f>IF($A1457="","",INDEX(Project_Tracker!$I$2:$I$101,INT((ROW()-6)/17)+1))</f>
        <v/>
      </c>
      <c r="Q1457" s="20" t="str">
        <f>IF($A1457="","",INDEX(Project_Tracker!$K$2:$K$101,INT((ROW()-6)/17)+1))</f>
        <v/>
      </c>
    </row>
    <row r="1458" spans="1:17" x14ac:dyDescent="0.2">
      <c r="A1458" s="20" t="str">
        <f>IF(INDEX(Project_Tracker!$AL$2:$AL$101,INT((ROW()-6)/17)+1)="","",INDEX(Project_Tracker!$AL$2:$AL$101,INT((ROW()-6)/17)+1))</f>
        <v/>
      </c>
      <c r="B1458" s="21" t="str">
        <f>IF($A1458="","",INDEX(Project_Tracker!$AM$2:$AM$101,INT((ROW()-6)/17)+1))</f>
        <v/>
      </c>
      <c r="C1458" s="20" t="str">
        <f>IF($A1458="","",INDEX(Project_Tracker!$C$2:$C$101,INT((ROW()-6)/17)+1))</f>
        <v/>
      </c>
      <c r="D1458" s="6" t="str">
        <f>IF($A1458="","",INDEX(Project_Tracker!$T$2:$T$101,INT((ROW()-6)/17)+1))</f>
        <v/>
      </c>
      <c r="E1458" s="18">
        <f t="shared" si="110"/>
        <v>8</v>
      </c>
      <c r="F1458" s="23" t="str">
        <f>IF($A1458="","",INDEX('Logic &amp; Lists'!$I$4:$I$20,$E1458))</f>
        <v/>
      </c>
      <c r="G1458" s="18" t="str">
        <f>IF($A1458="","",INDEX('Logic &amp; Lists'!$J$4:$J$20,$E1458))</f>
        <v/>
      </c>
      <c r="H1458" s="6" t="str">
        <f t="shared" si="111"/>
        <v/>
      </c>
      <c r="I1458" s="18" t="str">
        <f t="shared" ca="1" si="112"/>
        <v/>
      </c>
      <c r="J1458" s="5" t="str">
        <f t="shared" si="113"/>
        <v/>
      </c>
      <c r="K1458" s="25"/>
      <c r="L1458" s="5" t="str">
        <f t="shared" si="114"/>
        <v/>
      </c>
      <c r="M1458" s="7"/>
      <c r="N1458" s="7"/>
      <c r="O1458" s="7"/>
      <c r="P1458" s="20" t="str">
        <f>IF($A1458="","",INDEX(Project_Tracker!$I$2:$I$101,INT((ROW()-6)/17)+1))</f>
        <v/>
      </c>
      <c r="Q1458" s="20" t="str">
        <f>IF($A1458="","",INDEX(Project_Tracker!$K$2:$K$101,INT((ROW()-6)/17)+1))</f>
        <v/>
      </c>
    </row>
    <row r="1459" spans="1:17" x14ac:dyDescent="0.2">
      <c r="A1459" s="20" t="str">
        <f>IF(INDEX(Project_Tracker!$AL$2:$AL$101,INT((ROW()-6)/17)+1)="","",INDEX(Project_Tracker!$AL$2:$AL$101,INT((ROW()-6)/17)+1))</f>
        <v/>
      </c>
      <c r="B1459" s="21" t="str">
        <f>IF($A1459="","",INDEX(Project_Tracker!$AM$2:$AM$101,INT((ROW()-6)/17)+1))</f>
        <v/>
      </c>
      <c r="C1459" s="20" t="str">
        <f>IF($A1459="","",INDEX(Project_Tracker!$C$2:$C$101,INT((ROW()-6)/17)+1))</f>
        <v/>
      </c>
      <c r="D1459" s="6" t="str">
        <f>IF($A1459="","",INDEX(Project_Tracker!$T$2:$T$101,INT((ROW()-6)/17)+1))</f>
        <v/>
      </c>
      <c r="E1459" s="18">
        <f t="shared" si="110"/>
        <v>9</v>
      </c>
      <c r="F1459" s="23" t="str">
        <f>IF($A1459="","",INDEX('Logic &amp; Lists'!$I$4:$I$20,$E1459))</f>
        <v/>
      </c>
      <c r="G1459" s="18" t="str">
        <f>IF($A1459="","",INDEX('Logic &amp; Lists'!$J$4:$J$20,$E1459))</f>
        <v/>
      </c>
      <c r="H1459" s="6" t="str">
        <f t="shared" si="111"/>
        <v/>
      </c>
      <c r="I1459" s="18" t="str">
        <f t="shared" ca="1" si="112"/>
        <v/>
      </c>
      <c r="J1459" s="5" t="str">
        <f t="shared" si="113"/>
        <v/>
      </c>
      <c r="K1459" s="25"/>
      <c r="L1459" s="5" t="str">
        <f t="shared" si="114"/>
        <v/>
      </c>
      <c r="M1459" s="7"/>
      <c r="N1459" s="7"/>
      <c r="O1459" s="7"/>
      <c r="P1459" s="20" t="str">
        <f>IF($A1459="","",INDEX(Project_Tracker!$I$2:$I$101,INT((ROW()-6)/17)+1))</f>
        <v/>
      </c>
      <c r="Q1459" s="20" t="str">
        <f>IF($A1459="","",INDEX(Project_Tracker!$K$2:$K$101,INT((ROW()-6)/17)+1))</f>
        <v/>
      </c>
    </row>
    <row r="1460" spans="1:17" x14ac:dyDescent="0.2">
      <c r="A1460" s="20" t="str">
        <f>IF(INDEX(Project_Tracker!$AL$2:$AL$101,INT((ROW()-6)/17)+1)="","",INDEX(Project_Tracker!$AL$2:$AL$101,INT((ROW()-6)/17)+1))</f>
        <v/>
      </c>
      <c r="B1460" s="21" t="str">
        <f>IF($A1460="","",INDEX(Project_Tracker!$AM$2:$AM$101,INT((ROW()-6)/17)+1))</f>
        <v/>
      </c>
      <c r="C1460" s="20" t="str">
        <f>IF($A1460="","",INDEX(Project_Tracker!$C$2:$C$101,INT((ROW()-6)/17)+1))</f>
        <v/>
      </c>
      <c r="D1460" s="6" t="str">
        <f>IF($A1460="","",INDEX(Project_Tracker!$T$2:$T$101,INT((ROW()-6)/17)+1))</f>
        <v/>
      </c>
      <c r="E1460" s="18">
        <f t="shared" si="110"/>
        <v>10</v>
      </c>
      <c r="F1460" s="23" t="str">
        <f>IF($A1460="","",INDEX('Logic &amp; Lists'!$I$4:$I$20,$E1460))</f>
        <v/>
      </c>
      <c r="G1460" s="18" t="str">
        <f>IF($A1460="","",INDEX('Logic &amp; Lists'!$J$4:$J$20,$E1460))</f>
        <v/>
      </c>
      <c r="H1460" s="6" t="str">
        <f t="shared" si="111"/>
        <v/>
      </c>
      <c r="I1460" s="18" t="str">
        <f t="shared" ca="1" si="112"/>
        <v/>
      </c>
      <c r="J1460" s="5" t="str">
        <f t="shared" si="113"/>
        <v/>
      </c>
      <c r="K1460" s="25"/>
      <c r="L1460" s="5" t="str">
        <f t="shared" si="114"/>
        <v/>
      </c>
      <c r="M1460" s="7"/>
      <c r="N1460" s="7"/>
      <c r="O1460" s="7"/>
      <c r="P1460" s="20" t="str">
        <f>IF($A1460="","",INDEX(Project_Tracker!$I$2:$I$101,INT((ROW()-6)/17)+1))</f>
        <v/>
      </c>
      <c r="Q1460" s="20" t="str">
        <f>IF($A1460="","",INDEX(Project_Tracker!$K$2:$K$101,INT((ROW()-6)/17)+1))</f>
        <v/>
      </c>
    </row>
    <row r="1461" spans="1:17" x14ac:dyDescent="0.2">
      <c r="A1461" s="20" t="str">
        <f>IF(INDEX(Project_Tracker!$AL$2:$AL$101,INT((ROW()-6)/17)+1)="","",INDEX(Project_Tracker!$AL$2:$AL$101,INT((ROW()-6)/17)+1))</f>
        <v/>
      </c>
      <c r="B1461" s="21" t="str">
        <f>IF($A1461="","",INDEX(Project_Tracker!$AM$2:$AM$101,INT((ROW()-6)/17)+1))</f>
        <v/>
      </c>
      <c r="C1461" s="20" t="str">
        <f>IF($A1461="","",INDEX(Project_Tracker!$C$2:$C$101,INT((ROW()-6)/17)+1))</f>
        <v/>
      </c>
      <c r="D1461" s="6" t="str">
        <f>IF($A1461="","",INDEX(Project_Tracker!$T$2:$T$101,INT((ROW()-6)/17)+1))</f>
        <v/>
      </c>
      <c r="E1461" s="18">
        <f t="shared" si="110"/>
        <v>11</v>
      </c>
      <c r="F1461" s="23" t="str">
        <f>IF($A1461="","",INDEX('Logic &amp; Lists'!$I$4:$I$20,$E1461))</f>
        <v/>
      </c>
      <c r="G1461" s="18" t="str">
        <f>IF($A1461="","",INDEX('Logic &amp; Lists'!$J$4:$J$20,$E1461))</f>
        <v/>
      </c>
      <c r="H1461" s="6" t="str">
        <f t="shared" si="111"/>
        <v/>
      </c>
      <c r="I1461" s="18" t="str">
        <f t="shared" ca="1" si="112"/>
        <v/>
      </c>
      <c r="J1461" s="5" t="str">
        <f t="shared" si="113"/>
        <v/>
      </c>
      <c r="K1461" s="25"/>
      <c r="L1461" s="5" t="str">
        <f t="shared" si="114"/>
        <v/>
      </c>
      <c r="M1461" s="7"/>
      <c r="N1461" s="7"/>
      <c r="O1461" s="7"/>
      <c r="P1461" s="20" t="str">
        <f>IF($A1461="","",INDEX(Project_Tracker!$I$2:$I$101,INT((ROW()-6)/17)+1))</f>
        <v/>
      </c>
      <c r="Q1461" s="20" t="str">
        <f>IF($A1461="","",INDEX(Project_Tracker!$K$2:$K$101,INT((ROW()-6)/17)+1))</f>
        <v/>
      </c>
    </row>
    <row r="1462" spans="1:17" x14ac:dyDescent="0.2">
      <c r="A1462" s="20" t="str">
        <f>IF(INDEX(Project_Tracker!$AL$2:$AL$101,INT((ROW()-6)/17)+1)="","",INDEX(Project_Tracker!$AL$2:$AL$101,INT((ROW()-6)/17)+1))</f>
        <v/>
      </c>
      <c r="B1462" s="21" t="str">
        <f>IF($A1462="","",INDEX(Project_Tracker!$AM$2:$AM$101,INT((ROW()-6)/17)+1))</f>
        <v/>
      </c>
      <c r="C1462" s="20" t="str">
        <f>IF($A1462="","",INDEX(Project_Tracker!$C$2:$C$101,INT((ROW()-6)/17)+1))</f>
        <v/>
      </c>
      <c r="D1462" s="6" t="str">
        <f>IF($A1462="","",INDEX(Project_Tracker!$T$2:$T$101,INT((ROW()-6)/17)+1))</f>
        <v/>
      </c>
      <c r="E1462" s="18">
        <f t="shared" si="110"/>
        <v>12</v>
      </c>
      <c r="F1462" s="23" t="str">
        <f>IF($A1462="","",INDEX('Logic &amp; Lists'!$I$4:$I$20,$E1462))</f>
        <v/>
      </c>
      <c r="G1462" s="18" t="str">
        <f>IF($A1462="","",INDEX('Logic &amp; Lists'!$J$4:$J$20,$E1462))</f>
        <v/>
      </c>
      <c r="H1462" s="6" t="str">
        <f t="shared" si="111"/>
        <v/>
      </c>
      <c r="I1462" s="18" t="str">
        <f t="shared" ca="1" si="112"/>
        <v/>
      </c>
      <c r="J1462" s="5" t="str">
        <f t="shared" si="113"/>
        <v/>
      </c>
      <c r="K1462" s="25"/>
      <c r="L1462" s="5" t="str">
        <f t="shared" si="114"/>
        <v/>
      </c>
      <c r="M1462" s="7"/>
      <c r="N1462" s="7"/>
      <c r="O1462" s="7"/>
      <c r="P1462" s="20" t="str">
        <f>IF($A1462="","",INDEX(Project_Tracker!$I$2:$I$101,INT((ROW()-6)/17)+1))</f>
        <v/>
      </c>
      <c r="Q1462" s="20" t="str">
        <f>IF($A1462="","",INDEX(Project_Tracker!$K$2:$K$101,INT((ROW()-6)/17)+1))</f>
        <v/>
      </c>
    </row>
    <row r="1463" spans="1:17" x14ac:dyDescent="0.2">
      <c r="A1463" s="20" t="str">
        <f>IF(INDEX(Project_Tracker!$AL$2:$AL$101,INT((ROW()-6)/17)+1)="","",INDEX(Project_Tracker!$AL$2:$AL$101,INT((ROW()-6)/17)+1))</f>
        <v/>
      </c>
      <c r="B1463" s="21" t="str">
        <f>IF($A1463="","",INDEX(Project_Tracker!$AM$2:$AM$101,INT((ROW()-6)/17)+1))</f>
        <v/>
      </c>
      <c r="C1463" s="20" t="str">
        <f>IF($A1463="","",INDEX(Project_Tracker!$C$2:$C$101,INT((ROW()-6)/17)+1))</f>
        <v/>
      </c>
      <c r="D1463" s="6" t="str">
        <f>IF($A1463="","",INDEX(Project_Tracker!$T$2:$T$101,INT((ROW()-6)/17)+1))</f>
        <v/>
      </c>
      <c r="E1463" s="18">
        <f t="shared" si="110"/>
        <v>13</v>
      </c>
      <c r="F1463" s="23" t="str">
        <f>IF($A1463="","",INDEX('Logic &amp; Lists'!$I$4:$I$20,$E1463))</f>
        <v/>
      </c>
      <c r="G1463" s="18" t="str">
        <f>IF($A1463="","",INDEX('Logic &amp; Lists'!$J$4:$J$20,$E1463))</f>
        <v/>
      </c>
      <c r="H1463" s="6" t="str">
        <f t="shared" si="111"/>
        <v/>
      </c>
      <c r="I1463" s="18" t="str">
        <f t="shared" ca="1" si="112"/>
        <v/>
      </c>
      <c r="J1463" s="5" t="str">
        <f t="shared" si="113"/>
        <v/>
      </c>
      <c r="K1463" s="25"/>
      <c r="L1463" s="5" t="str">
        <f t="shared" si="114"/>
        <v/>
      </c>
      <c r="M1463" s="7"/>
      <c r="N1463" s="7"/>
      <c r="O1463" s="7"/>
      <c r="P1463" s="20" t="str">
        <f>IF($A1463="","",INDEX(Project_Tracker!$I$2:$I$101,INT((ROW()-6)/17)+1))</f>
        <v/>
      </c>
      <c r="Q1463" s="20" t="str">
        <f>IF($A1463="","",INDEX(Project_Tracker!$K$2:$K$101,INT((ROW()-6)/17)+1))</f>
        <v/>
      </c>
    </row>
    <row r="1464" spans="1:17" x14ac:dyDescent="0.2">
      <c r="A1464" s="20" t="str">
        <f>IF(INDEX(Project_Tracker!$AL$2:$AL$101,INT((ROW()-6)/17)+1)="","",INDEX(Project_Tracker!$AL$2:$AL$101,INT((ROW()-6)/17)+1))</f>
        <v/>
      </c>
      <c r="B1464" s="21" t="str">
        <f>IF($A1464="","",INDEX(Project_Tracker!$AM$2:$AM$101,INT((ROW()-6)/17)+1))</f>
        <v/>
      </c>
      <c r="C1464" s="20" t="str">
        <f>IF($A1464="","",INDEX(Project_Tracker!$C$2:$C$101,INT((ROW()-6)/17)+1))</f>
        <v/>
      </c>
      <c r="D1464" s="6" t="str">
        <f>IF($A1464="","",INDEX(Project_Tracker!$T$2:$T$101,INT((ROW()-6)/17)+1))</f>
        <v/>
      </c>
      <c r="E1464" s="18">
        <f t="shared" si="110"/>
        <v>14</v>
      </c>
      <c r="F1464" s="23" t="str">
        <f>IF($A1464="","",INDEX('Logic &amp; Lists'!$I$4:$I$20,$E1464))</f>
        <v/>
      </c>
      <c r="G1464" s="18" t="str">
        <f>IF($A1464="","",INDEX('Logic &amp; Lists'!$J$4:$J$20,$E1464))</f>
        <v/>
      </c>
      <c r="H1464" s="6" t="str">
        <f t="shared" si="111"/>
        <v/>
      </c>
      <c r="I1464" s="18" t="str">
        <f t="shared" ca="1" si="112"/>
        <v/>
      </c>
      <c r="J1464" s="5" t="str">
        <f t="shared" si="113"/>
        <v/>
      </c>
      <c r="K1464" s="25"/>
      <c r="L1464" s="5" t="str">
        <f t="shared" si="114"/>
        <v/>
      </c>
      <c r="M1464" s="7"/>
      <c r="N1464" s="7"/>
      <c r="O1464" s="7"/>
      <c r="P1464" s="20" t="str">
        <f>IF($A1464="","",INDEX(Project_Tracker!$I$2:$I$101,INT((ROW()-6)/17)+1))</f>
        <v/>
      </c>
      <c r="Q1464" s="20" t="str">
        <f>IF($A1464="","",INDEX(Project_Tracker!$K$2:$K$101,INT((ROW()-6)/17)+1))</f>
        <v/>
      </c>
    </row>
    <row r="1465" spans="1:17" x14ac:dyDescent="0.2">
      <c r="A1465" s="20" t="str">
        <f>IF(INDEX(Project_Tracker!$AL$2:$AL$101,INT((ROW()-6)/17)+1)="","",INDEX(Project_Tracker!$AL$2:$AL$101,INT((ROW()-6)/17)+1))</f>
        <v/>
      </c>
      <c r="B1465" s="21" t="str">
        <f>IF($A1465="","",INDEX(Project_Tracker!$AM$2:$AM$101,INT((ROW()-6)/17)+1))</f>
        <v/>
      </c>
      <c r="C1465" s="20" t="str">
        <f>IF($A1465="","",INDEX(Project_Tracker!$C$2:$C$101,INT((ROW()-6)/17)+1))</f>
        <v/>
      </c>
      <c r="D1465" s="6" t="str">
        <f>IF($A1465="","",INDEX(Project_Tracker!$T$2:$T$101,INT((ROW()-6)/17)+1))</f>
        <v/>
      </c>
      <c r="E1465" s="18">
        <f t="shared" si="110"/>
        <v>15</v>
      </c>
      <c r="F1465" s="23" t="str">
        <f>IF($A1465="","",INDEX('Logic &amp; Lists'!$I$4:$I$20,$E1465))</f>
        <v/>
      </c>
      <c r="G1465" s="18" t="str">
        <f>IF($A1465="","",INDEX('Logic &amp; Lists'!$J$4:$J$20,$E1465))</f>
        <v/>
      </c>
      <c r="H1465" s="6" t="str">
        <f t="shared" si="111"/>
        <v/>
      </c>
      <c r="I1465" s="18" t="str">
        <f t="shared" ca="1" si="112"/>
        <v/>
      </c>
      <c r="J1465" s="5" t="str">
        <f t="shared" si="113"/>
        <v/>
      </c>
      <c r="K1465" s="25"/>
      <c r="L1465" s="5" t="str">
        <f t="shared" si="114"/>
        <v/>
      </c>
      <c r="M1465" s="7"/>
      <c r="N1465" s="7"/>
      <c r="O1465" s="7"/>
      <c r="P1465" s="20" t="str">
        <f>IF($A1465="","",INDEX(Project_Tracker!$I$2:$I$101,INT((ROW()-6)/17)+1))</f>
        <v/>
      </c>
      <c r="Q1465" s="20" t="str">
        <f>IF($A1465="","",INDEX(Project_Tracker!$K$2:$K$101,INT((ROW()-6)/17)+1))</f>
        <v/>
      </c>
    </row>
    <row r="1466" spans="1:17" x14ac:dyDescent="0.2">
      <c r="A1466" s="20" t="str">
        <f>IF(INDEX(Project_Tracker!$AL$2:$AL$101,INT((ROW()-6)/17)+1)="","",INDEX(Project_Tracker!$AL$2:$AL$101,INT((ROW()-6)/17)+1))</f>
        <v/>
      </c>
      <c r="B1466" s="21" t="str">
        <f>IF($A1466="","",INDEX(Project_Tracker!$AM$2:$AM$101,INT((ROW()-6)/17)+1))</f>
        <v/>
      </c>
      <c r="C1466" s="20" t="str">
        <f>IF($A1466="","",INDEX(Project_Tracker!$C$2:$C$101,INT((ROW()-6)/17)+1))</f>
        <v/>
      </c>
      <c r="D1466" s="6" t="str">
        <f>IF($A1466="","",INDEX(Project_Tracker!$T$2:$T$101,INT((ROW()-6)/17)+1))</f>
        <v/>
      </c>
      <c r="E1466" s="18">
        <f t="shared" si="110"/>
        <v>16</v>
      </c>
      <c r="F1466" s="23" t="str">
        <f>IF($A1466="","",INDEX('Logic &amp; Lists'!$I$4:$I$20,$E1466))</f>
        <v/>
      </c>
      <c r="G1466" s="18" t="str">
        <f>IF($A1466="","",INDEX('Logic &amp; Lists'!$J$4:$J$20,$E1466))</f>
        <v/>
      </c>
      <c r="H1466" s="6" t="str">
        <f t="shared" si="111"/>
        <v/>
      </c>
      <c r="I1466" s="18" t="str">
        <f t="shared" ca="1" si="112"/>
        <v/>
      </c>
      <c r="J1466" s="5" t="str">
        <f t="shared" si="113"/>
        <v/>
      </c>
      <c r="K1466" s="25"/>
      <c r="L1466" s="5" t="str">
        <f t="shared" si="114"/>
        <v/>
      </c>
      <c r="M1466" s="7"/>
      <c r="N1466" s="7"/>
      <c r="O1466" s="7"/>
      <c r="P1466" s="20" t="str">
        <f>IF($A1466="","",INDEX(Project_Tracker!$I$2:$I$101,INT((ROW()-6)/17)+1))</f>
        <v/>
      </c>
      <c r="Q1466" s="20" t="str">
        <f>IF($A1466="","",INDEX(Project_Tracker!$K$2:$K$101,INT((ROW()-6)/17)+1))</f>
        <v/>
      </c>
    </row>
    <row r="1467" spans="1:17" x14ac:dyDescent="0.2">
      <c r="A1467" s="20" t="str">
        <f>IF(INDEX(Project_Tracker!$AL$2:$AL$101,INT((ROW()-6)/17)+1)="","",INDEX(Project_Tracker!$AL$2:$AL$101,INT((ROW()-6)/17)+1))</f>
        <v/>
      </c>
      <c r="B1467" s="21" t="str">
        <f>IF($A1467="","",INDEX(Project_Tracker!$AM$2:$AM$101,INT((ROW()-6)/17)+1))</f>
        <v/>
      </c>
      <c r="C1467" s="20" t="str">
        <f>IF($A1467="","",INDEX(Project_Tracker!$C$2:$C$101,INT((ROW()-6)/17)+1))</f>
        <v/>
      </c>
      <c r="D1467" s="6" t="str">
        <f>IF($A1467="","",INDEX(Project_Tracker!$T$2:$T$101,INT((ROW()-6)/17)+1))</f>
        <v/>
      </c>
      <c r="E1467" s="18">
        <f t="shared" si="110"/>
        <v>17</v>
      </c>
      <c r="F1467" s="23" t="str">
        <f>IF($A1467="","",INDEX('Logic &amp; Lists'!$I$4:$I$20,$E1467))</f>
        <v/>
      </c>
      <c r="G1467" s="18" t="str">
        <f>IF($A1467="","",INDEX('Logic &amp; Lists'!$J$4:$J$20,$E1467))</f>
        <v/>
      </c>
      <c r="H1467" s="6" t="str">
        <f t="shared" si="111"/>
        <v/>
      </c>
      <c r="I1467" s="18" t="str">
        <f t="shared" ca="1" si="112"/>
        <v/>
      </c>
      <c r="J1467" s="5" t="str">
        <f t="shared" si="113"/>
        <v/>
      </c>
      <c r="K1467" s="25"/>
      <c r="L1467" s="5" t="str">
        <f t="shared" si="114"/>
        <v/>
      </c>
      <c r="M1467" s="7"/>
      <c r="N1467" s="7"/>
      <c r="O1467" s="7"/>
      <c r="P1467" s="20" t="str">
        <f>IF($A1467="","",INDEX(Project_Tracker!$I$2:$I$101,INT((ROW()-6)/17)+1))</f>
        <v/>
      </c>
      <c r="Q1467" s="20" t="str">
        <f>IF($A1467="","",INDEX(Project_Tracker!$K$2:$K$101,INT((ROW()-6)/17)+1))</f>
        <v/>
      </c>
    </row>
    <row r="1468" spans="1:17" x14ac:dyDescent="0.2">
      <c r="A1468" s="20" t="str">
        <f>IF(INDEX(Project_Tracker!$AL$2:$AL$101,INT((ROW()-6)/17)+1)="","",INDEX(Project_Tracker!$AL$2:$AL$101,INT((ROW()-6)/17)+1))</f>
        <v/>
      </c>
      <c r="B1468" s="21" t="str">
        <f>IF($A1468="","",INDEX(Project_Tracker!$AM$2:$AM$101,INT((ROW()-6)/17)+1))</f>
        <v/>
      </c>
      <c r="C1468" s="20" t="str">
        <f>IF($A1468="","",INDEX(Project_Tracker!$C$2:$C$101,INT((ROW()-6)/17)+1))</f>
        <v/>
      </c>
      <c r="D1468" s="6" t="str">
        <f>IF($A1468="","",INDEX(Project_Tracker!$T$2:$T$101,INT((ROW()-6)/17)+1))</f>
        <v/>
      </c>
      <c r="E1468" s="18">
        <f t="shared" si="110"/>
        <v>1</v>
      </c>
      <c r="F1468" s="23" t="str">
        <f>IF($A1468="","",INDEX('Logic &amp; Lists'!$I$4:$I$20,$E1468))</f>
        <v/>
      </c>
      <c r="G1468" s="18" t="str">
        <f>IF($A1468="","",INDEX('Logic &amp; Lists'!$J$4:$J$20,$E1468))</f>
        <v/>
      </c>
      <c r="H1468" s="6" t="str">
        <f t="shared" si="111"/>
        <v/>
      </c>
      <c r="I1468" s="18" t="str">
        <f t="shared" ca="1" si="112"/>
        <v/>
      </c>
      <c r="J1468" s="5" t="str">
        <f t="shared" si="113"/>
        <v/>
      </c>
      <c r="K1468" s="25"/>
      <c r="L1468" s="5" t="str">
        <f t="shared" si="114"/>
        <v/>
      </c>
      <c r="M1468" s="7"/>
      <c r="N1468" s="7"/>
      <c r="O1468" s="7"/>
      <c r="P1468" s="20" t="str">
        <f>IF($A1468="","",INDEX(Project_Tracker!$I$2:$I$101,INT((ROW()-6)/17)+1))</f>
        <v/>
      </c>
      <c r="Q1468" s="20" t="str">
        <f>IF($A1468="","",INDEX(Project_Tracker!$K$2:$K$101,INT((ROW()-6)/17)+1))</f>
        <v/>
      </c>
    </row>
    <row r="1469" spans="1:17" x14ac:dyDescent="0.2">
      <c r="A1469" s="20" t="str">
        <f>IF(INDEX(Project_Tracker!$AL$2:$AL$101,INT((ROW()-6)/17)+1)="","",INDEX(Project_Tracker!$AL$2:$AL$101,INT((ROW()-6)/17)+1))</f>
        <v/>
      </c>
      <c r="B1469" s="21" t="str">
        <f>IF($A1469="","",INDEX(Project_Tracker!$AM$2:$AM$101,INT((ROW()-6)/17)+1))</f>
        <v/>
      </c>
      <c r="C1469" s="20" t="str">
        <f>IF($A1469="","",INDEX(Project_Tracker!$C$2:$C$101,INT((ROW()-6)/17)+1))</f>
        <v/>
      </c>
      <c r="D1469" s="6" t="str">
        <f>IF($A1469="","",INDEX(Project_Tracker!$T$2:$T$101,INT((ROW()-6)/17)+1))</f>
        <v/>
      </c>
      <c r="E1469" s="18">
        <f t="shared" si="110"/>
        <v>2</v>
      </c>
      <c r="F1469" s="23" t="str">
        <f>IF($A1469="","",INDEX('Logic &amp; Lists'!$I$4:$I$20,$E1469))</f>
        <v/>
      </c>
      <c r="G1469" s="18" t="str">
        <f>IF($A1469="","",INDEX('Logic &amp; Lists'!$J$4:$J$20,$E1469))</f>
        <v/>
      </c>
      <c r="H1469" s="6" t="str">
        <f t="shared" si="111"/>
        <v/>
      </c>
      <c r="I1469" s="18" t="str">
        <f t="shared" ca="1" si="112"/>
        <v/>
      </c>
      <c r="J1469" s="5" t="str">
        <f t="shared" si="113"/>
        <v/>
      </c>
      <c r="K1469" s="25"/>
      <c r="L1469" s="5" t="str">
        <f t="shared" si="114"/>
        <v/>
      </c>
      <c r="M1469" s="7"/>
      <c r="N1469" s="7"/>
      <c r="O1469" s="7"/>
      <c r="P1469" s="20" t="str">
        <f>IF($A1469="","",INDEX(Project_Tracker!$I$2:$I$101,INT((ROW()-6)/17)+1))</f>
        <v/>
      </c>
      <c r="Q1469" s="20" t="str">
        <f>IF($A1469="","",INDEX(Project_Tracker!$K$2:$K$101,INT((ROW()-6)/17)+1))</f>
        <v/>
      </c>
    </row>
    <row r="1470" spans="1:17" x14ac:dyDescent="0.2">
      <c r="A1470" s="20" t="str">
        <f>IF(INDEX(Project_Tracker!$AL$2:$AL$101,INT((ROW()-6)/17)+1)="","",INDEX(Project_Tracker!$AL$2:$AL$101,INT((ROW()-6)/17)+1))</f>
        <v/>
      </c>
      <c r="B1470" s="21" t="str">
        <f>IF($A1470="","",INDEX(Project_Tracker!$AM$2:$AM$101,INT((ROW()-6)/17)+1))</f>
        <v/>
      </c>
      <c r="C1470" s="20" t="str">
        <f>IF($A1470="","",INDEX(Project_Tracker!$C$2:$C$101,INT((ROW()-6)/17)+1))</f>
        <v/>
      </c>
      <c r="D1470" s="6" t="str">
        <f>IF($A1470="","",INDEX(Project_Tracker!$T$2:$T$101,INT((ROW()-6)/17)+1))</f>
        <v/>
      </c>
      <c r="E1470" s="18">
        <f t="shared" si="110"/>
        <v>3</v>
      </c>
      <c r="F1470" s="23" t="str">
        <f>IF($A1470="","",INDEX('Logic &amp; Lists'!$I$4:$I$20,$E1470))</f>
        <v/>
      </c>
      <c r="G1470" s="18" t="str">
        <f>IF($A1470="","",INDEX('Logic &amp; Lists'!$J$4:$J$20,$E1470))</f>
        <v/>
      </c>
      <c r="H1470" s="6" t="str">
        <f t="shared" si="111"/>
        <v/>
      </c>
      <c r="I1470" s="18" t="str">
        <f t="shared" ca="1" si="112"/>
        <v/>
      </c>
      <c r="J1470" s="5" t="str">
        <f t="shared" si="113"/>
        <v/>
      </c>
      <c r="K1470" s="25"/>
      <c r="L1470" s="5" t="str">
        <f t="shared" si="114"/>
        <v/>
      </c>
      <c r="M1470" s="7"/>
      <c r="N1470" s="7"/>
      <c r="O1470" s="7"/>
      <c r="P1470" s="20" t="str">
        <f>IF($A1470="","",INDEX(Project_Tracker!$I$2:$I$101,INT((ROW()-6)/17)+1))</f>
        <v/>
      </c>
      <c r="Q1470" s="20" t="str">
        <f>IF($A1470="","",INDEX(Project_Tracker!$K$2:$K$101,INT((ROW()-6)/17)+1))</f>
        <v/>
      </c>
    </row>
    <row r="1471" spans="1:17" x14ac:dyDescent="0.2">
      <c r="A1471" s="20" t="str">
        <f>IF(INDEX(Project_Tracker!$AL$2:$AL$101,INT((ROW()-6)/17)+1)="","",INDEX(Project_Tracker!$AL$2:$AL$101,INT((ROW()-6)/17)+1))</f>
        <v/>
      </c>
      <c r="B1471" s="21" t="str">
        <f>IF($A1471="","",INDEX(Project_Tracker!$AM$2:$AM$101,INT((ROW()-6)/17)+1))</f>
        <v/>
      </c>
      <c r="C1471" s="20" t="str">
        <f>IF($A1471="","",INDEX(Project_Tracker!$C$2:$C$101,INT((ROW()-6)/17)+1))</f>
        <v/>
      </c>
      <c r="D1471" s="6" t="str">
        <f>IF($A1471="","",INDEX(Project_Tracker!$T$2:$T$101,INT((ROW()-6)/17)+1))</f>
        <v/>
      </c>
      <c r="E1471" s="18">
        <f t="shared" si="110"/>
        <v>4</v>
      </c>
      <c r="F1471" s="23" t="str">
        <f>IF($A1471="","",INDEX('Logic &amp; Lists'!$I$4:$I$20,$E1471))</f>
        <v/>
      </c>
      <c r="G1471" s="18" t="str">
        <f>IF($A1471="","",INDEX('Logic &amp; Lists'!$J$4:$J$20,$E1471))</f>
        <v/>
      </c>
      <c r="H1471" s="6" t="str">
        <f t="shared" si="111"/>
        <v/>
      </c>
      <c r="I1471" s="18" t="str">
        <f t="shared" ca="1" si="112"/>
        <v/>
      </c>
      <c r="J1471" s="5" t="str">
        <f t="shared" si="113"/>
        <v/>
      </c>
      <c r="K1471" s="25"/>
      <c r="L1471" s="5" t="str">
        <f t="shared" si="114"/>
        <v/>
      </c>
      <c r="M1471" s="7"/>
      <c r="N1471" s="7"/>
      <c r="O1471" s="7"/>
      <c r="P1471" s="20" t="str">
        <f>IF($A1471="","",INDEX(Project_Tracker!$I$2:$I$101,INT((ROW()-6)/17)+1))</f>
        <v/>
      </c>
      <c r="Q1471" s="20" t="str">
        <f>IF($A1471="","",INDEX(Project_Tracker!$K$2:$K$101,INT((ROW()-6)/17)+1))</f>
        <v/>
      </c>
    </row>
    <row r="1472" spans="1:17" x14ac:dyDescent="0.2">
      <c r="A1472" s="20" t="str">
        <f>IF(INDEX(Project_Tracker!$AL$2:$AL$101,INT((ROW()-6)/17)+1)="","",INDEX(Project_Tracker!$AL$2:$AL$101,INT((ROW()-6)/17)+1))</f>
        <v/>
      </c>
      <c r="B1472" s="21" t="str">
        <f>IF($A1472="","",INDEX(Project_Tracker!$AM$2:$AM$101,INT((ROW()-6)/17)+1))</f>
        <v/>
      </c>
      <c r="C1472" s="20" t="str">
        <f>IF($A1472="","",INDEX(Project_Tracker!$C$2:$C$101,INT((ROW()-6)/17)+1))</f>
        <v/>
      </c>
      <c r="D1472" s="6" t="str">
        <f>IF($A1472="","",INDEX(Project_Tracker!$T$2:$T$101,INT((ROW()-6)/17)+1))</f>
        <v/>
      </c>
      <c r="E1472" s="18">
        <f t="shared" si="110"/>
        <v>5</v>
      </c>
      <c r="F1472" s="23" t="str">
        <f>IF($A1472="","",INDEX('Logic &amp; Lists'!$I$4:$I$20,$E1472))</f>
        <v/>
      </c>
      <c r="G1472" s="18" t="str">
        <f>IF($A1472="","",INDEX('Logic &amp; Lists'!$J$4:$J$20,$E1472))</f>
        <v/>
      </c>
      <c r="H1472" s="6" t="str">
        <f t="shared" si="111"/>
        <v/>
      </c>
      <c r="I1472" s="18" t="str">
        <f t="shared" ca="1" si="112"/>
        <v/>
      </c>
      <c r="J1472" s="5" t="str">
        <f t="shared" si="113"/>
        <v/>
      </c>
      <c r="K1472" s="25"/>
      <c r="L1472" s="5" t="str">
        <f t="shared" si="114"/>
        <v/>
      </c>
      <c r="M1472" s="7"/>
      <c r="N1472" s="7"/>
      <c r="O1472" s="7"/>
      <c r="P1472" s="20" t="str">
        <f>IF($A1472="","",INDEX(Project_Tracker!$I$2:$I$101,INT((ROW()-6)/17)+1))</f>
        <v/>
      </c>
      <c r="Q1472" s="20" t="str">
        <f>IF($A1472="","",INDEX(Project_Tracker!$K$2:$K$101,INT((ROW()-6)/17)+1))</f>
        <v/>
      </c>
    </row>
    <row r="1473" spans="1:17" x14ac:dyDescent="0.2">
      <c r="A1473" s="20" t="str">
        <f>IF(INDEX(Project_Tracker!$AL$2:$AL$101,INT((ROW()-6)/17)+1)="","",INDEX(Project_Tracker!$AL$2:$AL$101,INT((ROW()-6)/17)+1))</f>
        <v/>
      </c>
      <c r="B1473" s="21" t="str">
        <f>IF($A1473="","",INDEX(Project_Tracker!$AM$2:$AM$101,INT((ROW()-6)/17)+1))</f>
        <v/>
      </c>
      <c r="C1473" s="20" t="str">
        <f>IF($A1473="","",INDEX(Project_Tracker!$C$2:$C$101,INT((ROW()-6)/17)+1))</f>
        <v/>
      </c>
      <c r="D1473" s="6" t="str">
        <f>IF($A1473="","",INDEX(Project_Tracker!$T$2:$T$101,INT((ROW()-6)/17)+1))</f>
        <v/>
      </c>
      <c r="E1473" s="18">
        <f t="shared" si="110"/>
        <v>6</v>
      </c>
      <c r="F1473" s="23" t="str">
        <f>IF($A1473="","",INDEX('Logic &amp; Lists'!$I$4:$I$20,$E1473))</f>
        <v/>
      </c>
      <c r="G1473" s="18" t="str">
        <f>IF($A1473="","",INDEX('Logic &amp; Lists'!$J$4:$J$20,$E1473))</f>
        <v/>
      </c>
      <c r="H1473" s="6" t="str">
        <f t="shared" si="111"/>
        <v/>
      </c>
      <c r="I1473" s="18" t="str">
        <f t="shared" ca="1" si="112"/>
        <v/>
      </c>
      <c r="J1473" s="5" t="str">
        <f t="shared" si="113"/>
        <v/>
      </c>
      <c r="K1473" s="25"/>
      <c r="L1473" s="5" t="str">
        <f t="shared" si="114"/>
        <v/>
      </c>
      <c r="M1473" s="7"/>
      <c r="N1473" s="7"/>
      <c r="O1473" s="7"/>
      <c r="P1473" s="20" t="str">
        <f>IF($A1473="","",INDEX(Project_Tracker!$I$2:$I$101,INT((ROW()-6)/17)+1))</f>
        <v/>
      </c>
      <c r="Q1473" s="20" t="str">
        <f>IF($A1473="","",INDEX(Project_Tracker!$K$2:$K$101,INT((ROW()-6)/17)+1))</f>
        <v/>
      </c>
    </row>
    <row r="1474" spans="1:17" x14ac:dyDescent="0.2">
      <c r="A1474" s="20" t="str">
        <f>IF(INDEX(Project_Tracker!$AL$2:$AL$101,INT((ROW()-6)/17)+1)="","",INDEX(Project_Tracker!$AL$2:$AL$101,INT((ROW()-6)/17)+1))</f>
        <v/>
      </c>
      <c r="B1474" s="21" t="str">
        <f>IF($A1474="","",INDEX(Project_Tracker!$AM$2:$AM$101,INT((ROW()-6)/17)+1))</f>
        <v/>
      </c>
      <c r="C1474" s="20" t="str">
        <f>IF($A1474="","",INDEX(Project_Tracker!$C$2:$C$101,INT((ROW()-6)/17)+1))</f>
        <v/>
      </c>
      <c r="D1474" s="6" t="str">
        <f>IF($A1474="","",INDEX(Project_Tracker!$T$2:$T$101,INT((ROW()-6)/17)+1))</f>
        <v/>
      </c>
      <c r="E1474" s="18">
        <f t="shared" si="110"/>
        <v>7</v>
      </c>
      <c r="F1474" s="23" t="str">
        <f>IF($A1474="","",INDEX('Logic &amp; Lists'!$I$4:$I$20,$E1474))</f>
        <v/>
      </c>
      <c r="G1474" s="18" t="str">
        <f>IF($A1474="","",INDEX('Logic &amp; Lists'!$J$4:$J$20,$E1474))</f>
        <v/>
      </c>
      <c r="H1474" s="6" t="str">
        <f t="shared" si="111"/>
        <v/>
      </c>
      <c r="I1474" s="18" t="str">
        <f t="shared" ca="1" si="112"/>
        <v/>
      </c>
      <c r="J1474" s="5" t="str">
        <f t="shared" si="113"/>
        <v/>
      </c>
      <c r="K1474" s="25"/>
      <c r="L1474" s="5" t="str">
        <f t="shared" si="114"/>
        <v/>
      </c>
      <c r="M1474" s="7"/>
      <c r="N1474" s="7"/>
      <c r="O1474" s="7"/>
      <c r="P1474" s="20" t="str">
        <f>IF($A1474="","",INDEX(Project_Tracker!$I$2:$I$101,INT((ROW()-6)/17)+1))</f>
        <v/>
      </c>
      <c r="Q1474" s="20" t="str">
        <f>IF($A1474="","",INDEX(Project_Tracker!$K$2:$K$101,INT((ROW()-6)/17)+1))</f>
        <v/>
      </c>
    </row>
    <row r="1475" spans="1:17" x14ac:dyDescent="0.2">
      <c r="A1475" s="20" t="str">
        <f>IF(INDEX(Project_Tracker!$AL$2:$AL$101,INT((ROW()-6)/17)+1)="","",INDEX(Project_Tracker!$AL$2:$AL$101,INT((ROW()-6)/17)+1))</f>
        <v/>
      </c>
      <c r="B1475" s="21" t="str">
        <f>IF($A1475="","",INDEX(Project_Tracker!$AM$2:$AM$101,INT((ROW()-6)/17)+1))</f>
        <v/>
      </c>
      <c r="C1475" s="20" t="str">
        <f>IF($A1475="","",INDEX(Project_Tracker!$C$2:$C$101,INT((ROW()-6)/17)+1))</f>
        <v/>
      </c>
      <c r="D1475" s="6" t="str">
        <f>IF($A1475="","",INDEX(Project_Tracker!$T$2:$T$101,INT((ROW()-6)/17)+1))</f>
        <v/>
      </c>
      <c r="E1475" s="18">
        <f t="shared" si="110"/>
        <v>8</v>
      </c>
      <c r="F1475" s="23" t="str">
        <f>IF($A1475="","",INDEX('Logic &amp; Lists'!$I$4:$I$20,$E1475))</f>
        <v/>
      </c>
      <c r="G1475" s="18" t="str">
        <f>IF($A1475="","",INDEX('Logic &amp; Lists'!$J$4:$J$20,$E1475))</f>
        <v/>
      </c>
      <c r="H1475" s="6" t="str">
        <f t="shared" si="111"/>
        <v/>
      </c>
      <c r="I1475" s="18" t="str">
        <f t="shared" ca="1" si="112"/>
        <v/>
      </c>
      <c r="J1475" s="5" t="str">
        <f t="shared" si="113"/>
        <v/>
      </c>
      <c r="K1475" s="25"/>
      <c r="L1475" s="5" t="str">
        <f t="shared" si="114"/>
        <v/>
      </c>
      <c r="M1475" s="7"/>
      <c r="N1475" s="7"/>
      <c r="O1475" s="7"/>
      <c r="P1475" s="20" t="str">
        <f>IF($A1475="","",INDEX(Project_Tracker!$I$2:$I$101,INT((ROW()-6)/17)+1))</f>
        <v/>
      </c>
      <c r="Q1475" s="20" t="str">
        <f>IF($A1475="","",INDEX(Project_Tracker!$K$2:$K$101,INT((ROW()-6)/17)+1))</f>
        <v/>
      </c>
    </row>
    <row r="1476" spans="1:17" x14ac:dyDescent="0.2">
      <c r="A1476" s="20" t="str">
        <f>IF(INDEX(Project_Tracker!$AL$2:$AL$101,INT((ROW()-6)/17)+1)="","",INDEX(Project_Tracker!$AL$2:$AL$101,INT((ROW()-6)/17)+1))</f>
        <v/>
      </c>
      <c r="B1476" s="21" t="str">
        <f>IF($A1476="","",INDEX(Project_Tracker!$AM$2:$AM$101,INT((ROW()-6)/17)+1))</f>
        <v/>
      </c>
      <c r="C1476" s="20" t="str">
        <f>IF($A1476="","",INDEX(Project_Tracker!$C$2:$C$101,INT((ROW()-6)/17)+1))</f>
        <v/>
      </c>
      <c r="D1476" s="6" t="str">
        <f>IF($A1476="","",INDEX(Project_Tracker!$T$2:$T$101,INT((ROW()-6)/17)+1))</f>
        <v/>
      </c>
      <c r="E1476" s="18">
        <f t="shared" si="110"/>
        <v>9</v>
      </c>
      <c r="F1476" s="23" t="str">
        <f>IF($A1476="","",INDEX('Logic &amp; Lists'!$I$4:$I$20,$E1476))</f>
        <v/>
      </c>
      <c r="G1476" s="18" t="str">
        <f>IF($A1476="","",INDEX('Logic &amp; Lists'!$J$4:$J$20,$E1476))</f>
        <v/>
      </c>
      <c r="H1476" s="6" t="str">
        <f t="shared" si="111"/>
        <v/>
      </c>
      <c r="I1476" s="18" t="str">
        <f t="shared" ca="1" si="112"/>
        <v/>
      </c>
      <c r="J1476" s="5" t="str">
        <f t="shared" si="113"/>
        <v/>
      </c>
      <c r="K1476" s="25"/>
      <c r="L1476" s="5" t="str">
        <f t="shared" si="114"/>
        <v/>
      </c>
      <c r="M1476" s="7"/>
      <c r="N1476" s="7"/>
      <c r="O1476" s="7"/>
      <c r="P1476" s="20" t="str">
        <f>IF($A1476="","",INDEX(Project_Tracker!$I$2:$I$101,INT((ROW()-6)/17)+1))</f>
        <v/>
      </c>
      <c r="Q1476" s="20" t="str">
        <f>IF($A1476="","",INDEX(Project_Tracker!$K$2:$K$101,INT((ROW()-6)/17)+1))</f>
        <v/>
      </c>
    </row>
    <row r="1477" spans="1:17" x14ac:dyDescent="0.2">
      <c r="A1477" s="20" t="str">
        <f>IF(INDEX(Project_Tracker!$AL$2:$AL$101,INT((ROW()-6)/17)+1)="","",INDEX(Project_Tracker!$AL$2:$AL$101,INT((ROW()-6)/17)+1))</f>
        <v/>
      </c>
      <c r="B1477" s="21" t="str">
        <f>IF($A1477="","",INDEX(Project_Tracker!$AM$2:$AM$101,INT((ROW()-6)/17)+1))</f>
        <v/>
      </c>
      <c r="C1477" s="20" t="str">
        <f>IF($A1477="","",INDEX(Project_Tracker!$C$2:$C$101,INT((ROW()-6)/17)+1))</f>
        <v/>
      </c>
      <c r="D1477" s="6" t="str">
        <f>IF($A1477="","",INDEX(Project_Tracker!$T$2:$T$101,INT((ROW()-6)/17)+1))</f>
        <v/>
      </c>
      <c r="E1477" s="18">
        <f t="shared" si="110"/>
        <v>10</v>
      </c>
      <c r="F1477" s="23" t="str">
        <f>IF($A1477="","",INDEX('Logic &amp; Lists'!$I$4:$I$20,$E1477))</f>
        <v/>
      </c>
      <c r="G1477" s="18" t="str">
        <f>IF($A1477="","",INDEX('Logic &amp; Lists'!$J$4:$J$20,$E1477))</f>
        <v/>
      </c>
      <c r="H1477" s="6" t="str">
        <f t="shared" si="111"/>
        <v/>
      </c>
      <c r="I1477" s="18" t="str">
        <f t="shared" ca="1" si="112"/>
        <v/>
      </c>
      <c r="J1477" s="5" t="str">
        <f t="shared" si="113"/>
        <v/>
      </c>
      <c r="K1477" s="25"/>
      <c r="L1477" s="5" t="str">
        <f t="shared" si="114"/>
        <v/>
      </c>
      <c r="M1477" s="7"/>
      <c r="N1477" s="7"/>
      <c r="O1477" s="7"/>
      <c r="P1477" s="20" t="str">
        <f>IF($A1477="","",INDEX(Project_Tracker!$I$2:$I$101,INT((ROW()-6)/17)+1))</f>
        <v/>
      </c>
      <c r="Q1477" s="20" t="str">
        <f>IF($A1477="","",INDEX(Project_Tracker!$K$2:$K$101,INT((ROW()-6)/17)+1))</f>
        <v/>
      </c>
    </row>
    <row r="1478" spans="1:17" x14ac:dyDescent="0.2">
      <c r="A1478" s="20" t="str">
        <f>IF(INDEX(Project_Tracker!$AL$2:$AL$101,INT((ROW()-6)/17)+1)="","",INDEX(Project_Tracker!$AL$2:$AL$101,INT((ROW()-6)/17)+1))</f>
        <v/>
      </c>
      <c r="B1478" s="21" t="str">
        <f>IF($A1478="","",INDEX(Project_Tracker!$AM$2:$AM$101,INT((ROW()-6)/17)+1))</f>
        <v/>
      </c>
      <c r="C1478" s="20" t="str">
        <f>IF($A1478="","",INDEX(Project_Tracker!$C$2:$C$101,INT((ROW()-6)/17)+1))</f>
        <v/>
      </c>
      <c r="D1478" s="6" t="str">
        <f>IF($A1478="","",INDEX(Project_Tracker!$T$2:$T$101,INT((ROW()-6)/17)+1))</f>
        <v/>
      </c>
      <c r="E1478" s="18">
        <f t="shared" ref="E1478:E1541" si="115">MOD(ROW()-6,17)+1</f>
        <v>11</v>
      </c>
      <c r="F1478" s="23" t="str">
        <f>IF($A1478="","",INDEX('Logic &amp; Lists'!$I$4:$I$20,$E1478))</f>
        <v/>
      </c>
      <c r="G1478" s="18" t="str">
        <f>IF($A1478="","",INDEX('Logic &amp; Lists'!$J$4:$J$20,$E1478))</f>
        <v/>
      </c>
      <c r="H1478" s="6" t="str">
        <f t="shared" ref="H1478:H1541" si="116">IF($D1478="","",$D1478-$G1478)</f>
        <v/>
      </c>
      <c r="I1478" s="18" t="str">
        <f t="shared" ref="I1478:I1541" ca="1" si="117">IF($H1478="","",$H1478-TODAY())</f>
        <v/>
      </c>
      <c r="J1478" s="5" t="str">
        <f t="shared" ref="J1478:J1541" si="118">IF($A1478="","",IF($K1478&lt;&gt;"","ORDERED",IF($I1478&lt;0,"OVERDUE",IF($I1478&lt;=7,"URGENT",IF($I1478&lt;=14,"PREPARE","OK")))))</f>
        <v/>
      </c>
      <c r="K1478" s="25"/>
      <c r="L1478" s="5" t="str">
        <f t="shared" ref="L1478:L1541" si="119">IF($A1478="","",IF($K1478="",$J1478,IF($K1478&lt;=$H1478,"Ordered On Time","Ordered Late")))</f>
        <v/>
      </c>
      <c r="M1478" s="7"/>
      <c r="N1478" s="7"/>
      <c r="O1478" s="7"/>
      <c r="P1478" s="20" t="str">
        <f>IF($A1478="","",INDEX(Project_Tracker!$I$2:$I$101,INT((ROW()-6)/17)+1))</f>
        <v/>
      </c>
      <c r="Q1478" s="20" t="str">
        <f>IF($A1478="","",INDEX(Project_Tracker!$K$2:$K$101,INT((ROW()-6)/17)+1))</f>
        <v/>
      </c>
    </row>
    <row r="1479" spans="1:17" x14ac:dyDescent="0.2">
      <c r="A1479" s="20" t="str">
        <f>IF(INDEX(Project_Tracker!$AL$2:$AL$101,INT((ROW()-6)/17)+1)="","",INDEX(Project_Tracker!$AL$2:$AL$101,INT((ROW()-6)/17)+1))</f>
        <v/>
      </c>
      <c r="B1479" s="21" t="str">
        <f>IF($A1479="","",INDEX(Project_Tracker!$AM$2:$AM$101,INT((ROW()-6)/17)+1))</f>
        <v/>
      </c>
      <c r="C1479" s="20" t="str">
        <f>IF($A1479="","",INDEX(Project_Tracker!$C$2:$C$101,INT((ROW()-6)/17)+1))</f>
        <v/>
      </c>
      <c r="D1479" s="6" t="str">
        <f>IF($A1479="","",INDEX(Project_Tracker!$T$2:$T$101,INT((ROW()-6)/17)+1))</f>
        <v/>
      </c>
      <c r="E1479" s="18">
        <f t="shared" si="115"/>
        <v>12</v>
      </c>
      <c r="F1479" s="23" t="str">
        <f>IF($A1479="","",INDEX('Logic &amp; Lists'!$I$4:$I$20,$E1479))</f>
        <v/>
      </c>
      <c r="G1479" s="18" t="str">
        <f>IF($A1479="","",INDEX('Logic &amp; Lists'!$J$4:$J$20,$E1479))</f>
        <v/>
      </c>
      <c r="H1479" s="6" t="str">
        <f t="shared" si="116"/>
        <v/>
      </c>
      <c r="I1479" s="18" t="str">
        <f t="shared" ca="1" si="117"/>
        <v/>
      </c>
      <c r="J1479" s="5" t="str">
        <f t="shared" si="118"/>
        <v/>
      </c>
      <c r="K1479" s="25"/>
      <c r="L1479" s="5" t="str">
        <f t="shared" si="119"/>
        <v/>
      </c>
      <c r="M1479" s="7"/>
      <c r="N1479" s="7"/>
      <c r="O1479" s="7"/>
      <c r="P1479" s="20" t="str">
        <f>IF($A1479="","",INDEX(Project_Tracker!$I$2:$I$101,INT((ROW()-6)/17)+1))</f>
        <v/>
      </c>
      <c r="Q1479" s="20" t="str">
        <f>IF($A1479="","",INDEX(Project_Tracker!$K$2:$K$101,INT((ROW()-6)/17)+1))</f>
        <v/>
      </c>
    </row>
    <row r="1480" spans="1:17" x14ac:dyDescent="0.2">
      <c r="A1480" s="20" t="str">
        <f>IF(INDEX(Project_Tracker!$AL$2:$AL$101,INT((ROW()-6)/17)+1)="","",INDEX(Project_Tracker!$AL$2:$AL$101,INT((ROW()-6)/17)+1))</f>
        <v/>
      </c>
      <c r="B1480" s="21" t="str">
        <f>IF($A1480="","",INDEX(Project_Tracker!$AM$2:$AM$101,INT((ROW()-6)/17)+1))</f>
        <v/>
      </c>
      <c r="C1480" s="20" t="str">
        <f>IF($A1480="","",INDEX(Project_Tracker!$C$2:$C$101,INT((ROW()-6)/17)+1))</f>
        <v/>
      </c>
      <c r="D1480" s="6" t="str">
        <f>IF($A1480="","",INDEX(Project_Tracker!$T$2:$T$101,INT((ROW()-6)/17)+1))</f>
        <v/>
      </c>
      <c r="E1480" s="18">
        <f t="shared" si="115"/>
        <v>13</v>
      </c>
      <c r="F1480" s="23" t="str">
        <f>IF($A1480="","",INDEX('Logic &amp; Lists'!$I$4:$I$20,$E1480))</f>
        <v/>
      </c>
      <c r="G1480" s="18" t="str">
        <f>IF($A1480="","",INDEX('Logic &amp; Lists'!$J$4:$J$20,$E1480))</f>
        <v/>
      </c>
      <c r="H1480" s="6" t="str">
        <f t="shared" si="116"/>
        <v/>
      </c>
      <c r="I1480" s="18" t="str">
        <f t="shared" ca="1" si="117"/>
        <v/>
      </c>
      <c r="J1480" s="5" t="str">
        <f t="shared" si="118"/>
        <v/>
      </c>
      <c r="K1480" s="25"/>
      <c r="L1480" s="5" t="str">
        <f t="shared" si="119"/>
        <v/>
      </c>
      <c r="M1480" s="7"/>
      <c r="N1480" s="7"/>
      <c r="O1480" s="7"/>
      <c r="P1480" s="20" t="str">
        <f>IF($A1480="","",INDEX(Project_Tracker!$I$2:$I$101,INT((ROW()-6)/17)+1))</f>
        <v/>
      </c>
      <c r="Q1480" s="20" t="str">
        <f>IF($A1480="","",INDEX(Project_Tracker!$K$2:$K$101,INT((ROW()-6)/17)+1))</f>
        <v/>
      </c>
    </row>
    <row r="1481" spans="1:17" x14ac:dyDescent="0.2">
      <c r="A1481" s="20" t="str">
        <f>IF(INDEX(Project_Tracker!$AL$2:$AL$101,INT((ROW()-6)/17)+1)="","",INDEX(Project_Tracker!$AL$2:$AL$101,INT((ROW()-6)/17)+1))</f>
        <v/>
      </c>
      <c r="B1481" s="21" t="str">
        <f>IF($A1481="","",INDEX(Project_Tracker!$AM$2:$AM$101,INT((ROW()-6)/17)+1))</f>
        <v/>
      </c>
      <c r="C1481" s="20" t="str">
        <f>IF($A1481="","",INDEX(Project_Tracker!$C$2:$C$101,INT((ROW()-6)/17)+1))</f>
        <v/>
      </c>
      <c r="D1481" s="6" t="str">
        <f>IF($A1481="","",INDEX(Project_Tracker!$T$2:$T$101,INT((ROW()-6)/17)+1))</f>
        <v/>
      </c>
      <c r="E1481" s="18">
        <f t="shared" si="115"/>
        <v>14</v>
      </c>
      <c r="F1481" s="23" t="str">
        <f>IF($A1481="","",INDEX('Logic &amp; Lists'!$I$4:$I$20,$E1481))</f>
        <v/>
      </c>
      <c r="G1481" s="18" t="str">
        <f>IF($A1481="","",INDEX('Logic &amp; Lists'!$J$4:$J$20,$E1481))</f>
        <v/>
      </c>
      <c r="H1481" s="6" t="str">
        <f t="shared" si="116"/>
        <v/>
      </c>
      <c r="I1481" s="18" t="str">
        <f t="shared" ca="1" si="117"/>
        <v/>
      </c>
      <c r="J1481" s="5" t="str">
        <f t="shared" si="118"/>
        <v/>
      </c>
      <c r="K1481" s="25"/>
      <c r="L1481" s="5" t="str">
        <f t="shared" si="119"/>
        <v/>
      </c>
      <c r="M1481" s="7"/>
      <c r="N1481" s="7"/>
      <c r="O1481" s="7"/>
      <c r="P1481" s="20" t="str">
        <f>IF($A1481="","",INDEX(Project_Tracker!$I$2:$I$101,INT((ROW()-6)/17)+1))</f>
        <v/>
      </c>
      <c r="Q1481" s="20" t="str">
        <f>IF($A1481="","",INDEX(Project_Tracker!$K$2:$K$101,INT((ROW()-6)/17)+1))</f>
        <v/>
      </c>
    </row>
    <row r="1482" spans="1:17" x14ac:dyDescent="0.2">
      <c r="A1482" s="20" t="str">
        <f>IF(INDEX(Project_Tracker!$AL$2:$AL$101,INT((ROW()-6)/17)+1)="","",INDEX(Project_Tracker!$AL$2:$AL$101,INT((ROW()-6)/17)+1))</f>
        <v/>
      </c>
      <c r="B1482" s="21" t="str">
        <f>IF($A1482="","",INDEX(Project_Tracker!$AM$2:$AM$101,INT((ROW()-6)/17)+1))</f>
        <v/>
      </c>
      <c r="C1482" s="20" t="str">
        <f>IF($A1482="","",INDEX(Project_Tracker!$C$2:$C$101,INT((ROW()-6)/17)+1))</f>
        <v/>
      </c>
      <c r="D1482" s="6" t="str">
        <f>IF($A1482="","",INDEX(Project_Tracker!$T$2:$T$101,INT((ROW()-6)/17)+1))</f>
        <v/>
      </c>
      <c r="E1482" s="18">
        <f t="shared" si="115"/>
        <v>15</v>
      </c>
      <c r="F1482" s="23" t="str">
        <f>IF($A1482="","",INDEX('Logic &amp; Lists'!$I$4:$I$20,$E1482))</f>
        <v/>
      </c>
      <c r="G1482" s="18" t="str">
        <f>IF($A1482="","",INDEX('Logic &amp; Lists'!$J$4:$J$20,$E1482))</f>
        <v/>
      </c>
      <c r="H1482" s="6" t="str">
        <f t="shared" si="116"/>
        <v/>
      </c>
      <c r="I1482" s="18" t="str">
        <f t="shared" ca="1" si="117"/>
        <v/>
      </c>
      <c r="J1482" s="5" t="str">
        <f t="shared" si="118"/>
        <v/>
      </c>
      <c r="K1482" s="25"/>
      <c r="L1482" s="5" t="str">
        <f t="shared" si="119"/>
        <v/>
      </c>
      <c r="M1482" s="7"/>
      <c r="N1482" s="7"/>
      <c r="O1482" s="7"/>
      <c r="P1482" s="20" t="str">
        <f>IF($A1482="","",INDEX(Project_Tracker!$I$2:$I$101,INT((ROW()-6)/17)+1))</f>
        <v/>
      </c>
      <c r="Q1482" s="20" t="str">
        <f>IF($A1482="","",INDEX(Project_Tracker!$K$2:$K$101,INT((ROW()-6)/17)+1))</f>
        <v/>
      </c>
    </row>
    <row r="1483" spans="1:17" x14ac:dyDescent="0.2">
      <c r="A1483" s="20" t="str">
        <f>IF(INDEX(Project_Tracker!$AL$2:$AL$101,INT((ROW()-6)/17)+1)="","",INDEX(Project_Tracker!$AL$2:$AL$101,INT((ROW()-6)/17)+1))</f>
        <v/>
      </c>
      <c r="B1483" s="21" t="str">
        <f>IF($A1483="","",INDEX(Project_Tracker!$AM$2:$AM$101,INT((ROW()-6)/17)+1))</f>
        <v/>
      </c>
      <c r="C1483" s="20" t="str">
        <f>IF($A1483="","",INDEX(Project_Tracker!$C$2:$C$101,INT((ROW()-6)/17)+1))</f>
        <v/>
      </c>
      <c r="D1483" s="6" t="str">
        <f>IF($A1483="","",INDEX(Project_Tracker!$T$2:$T$101,INT((ROW()-6)/17)+1))</f>
        <v/>
      </c>
      <c r="E1483" s="18">
        <f t="shared" si="115"/>
        <v>16</v>
      </c>
      <c r="F1483" s="23" t="str">
        <f>IF($A1483="","",INDEX('Logic &amp; Lists'!$I$4:$I$20,$E1483))</f>
        <v/>
      </c>
      <c r="G1483" s="18" t="str">
        <f>IF($A1483="","",INDEX('Logic &amp; Lists'!$J$4:$J$20,$E1483))</f>
        <v/>
      </c>
      <c r="H1483" s="6" t="str">
        <f t="shared" si="116"/>
        <v/>
      </c>
      <c r="I1483" s="18" t="str">
        <f t="shared" ca="1" si="117"/>
        <v/>
      </c>
      <c r="J1483" s="5" t="str">
        <f t="shared" si="118"/>
        <v/>
      </c>
      <c r="K1483" s="25"/>
      <c r="L1483" s="5" t="str">
        <f t="shared" si="119"/>
        <v/>
      </c>
      <c r="M1483" s="7"/>
      <c r="N1483" s="7"/>
      <c r="O1483" s="7"/>
      <c r="P1483" s="20" t="str">
        <f>IF($A1483="","",INDEX(Project_Tracker!$I$2:$I$101,INT((ROW()-6)/17)+1))</f>
        <v/>
      </c>
      <c r="Q1483" s="20" t="str">
        <f>IF($A1483="","",INDEX(Project_Tracker!$K$2:$K$101,INT((ROW()-6)/17)+1))</f>
        <v/>
      </c>
    </row>
    <row r="1484" spans="1:17" x14ac:dyDescent="0.2">
      <c r="A1484" s="20" t="str">
        <f>IF(INDEX(Project_Tracker!$AL$2:$AL$101,INT((ROW()-6)/17)+1)="","",INDEX(Project_Tracker!$AL$2:$AL$101,INT((ROW()-6)/17)+1))</f>
        <v/>
      </c>
      <c r="B1484" s="21" t="str">
        <f>IF($A1484="","",INDEX(Project_Tracker!$AM$2:$AM$101,INT((ROW()-6)/17)+1))</f>
        <v/>
      </c>
      <c r="C1484" s="20" t="str">
        <f>IF($A1484="","",INDEX(Project_Tracker!$C$2:$C$101,INT((ROW()-6)/17)+1))</f>
        <v/>
      </c>
      <c r="D1484" s="6" t="str">
        <f>IF($A1484="","",INDEX(Project_Tracker!$T$2:$T$101,INT((ROW()-6)/17)+1))</f>
        <v/>
      </c>
      <c r="E1484" s="18">
        <f t="shared" si="115"/>
        <v>17</v>
      </c>
      <c r="F1484" s="23" t="str">
        <f>IF($A1484="","",INDEX('Logic &amp; Lists'!$I$4:$I$20,$E1484))</f>
        <v/>
      </c>
      <c r="G1484" s="18" t="str">
        <f>IF($A1484="","",INDEX('Logic &amp; Lists'!$J$4:$J$20,$E1484))</f>
        <v/>
      </c>
      <c r="H1484" s="6" t="str">
        <f t="shared" si="116"/>
        <v/>
      </c>
      <c r="I1484" s="18" t="str">
        <f t="shared" ca="1" si="117"/>
        <v/>
      </c>
      <c r="J1484" s="5" t="str">
        <f t="shared" si="118"/>
        <v/>
      </c>
      <c r="K1484" s="25"/>
      <c r="L1484" s="5" t="str">
        <f t="shared" si="119"/>
        <v/>
      </c>
      <c r="M1484" s="7"/>
      <c r="N1484" s="7"/>
      <c r="O1484" s="7"/>
      <c r="P1484" s="20" t="str">
        <f>IF($A1484="","",INDEX(Project_Tracker!$I$2:$I$101,INT((ROW()-6)/17)+1))</f>
        <v/>
      </c>
      <c r="Q1484" s="20" t="str">
        <f>IF($A1484="","",INDEX(Project_Tracker!$K$2:$K$101,INT((ROW()-6)/17)+1))</f>
        <v/>
      </c>
    </row>
    <row r="1485" spans="1:17" x14ac:dyDescent="0.2">
      <c r="A1485" s="20" t="str">
        <f>IF(INDEX(Project_Tracker!$AL$2:$AL$101,INT((ROW()-6)/17)+1)="","",INDEX(Project_Tracker!$AL$2:$AL$101,INT((ROW()-6)/17)+1))</f>
        <v/>
      </c>
      <c r="B1485" s="21" t="str">
        <f>IF($A1485="","",INDEX(Project_Tracker!$AM$2:$AM$101,INT((ROW()-6)/17)+1))</f>
        <v/>
      </c>
      <c r="C1485" s="20" t="str">
        <f>IF($A1485="","",INDEX(Project_Tracker!$C$2:$C$101,INT((ROW()-6)/17)+1))</f>
        <v/>
      </c>
      <c r="D1485" s="6" t="str">
        <f>IF($A1485="","",INDEX(Project_Tracker!$T$2:$T$101,INT((ROW()-6)/17)+1))</f>
        <v/>
      </c>
      <c r="E1485" s="18">
        <f t="shared" si="115"/>
        <v>1</v>
      </c>
      <c r="F1485" s="23" t="str">
        <f>IF($A1485="","",INDEX('Logic &amp; Lists'!$I$4:$I$20,$E1485))</f>
        <v/>
      </c>
      <c r="G1485" s="18" t="str">
        <f>IF($A1485="","",INDEX('Logic &amp; Lists'!$J$4:$J$20,$E1485))</f>
        <v/>
      </c>
      <c r="H1485" s="6" t="str">
        <f t="shared" si="116"/>
        <v/>
      </c>
      <c r="I1485" s="18" t="str">
        <f t="shared" ca="1" si="117"/>
        <v/>
      </c>
      <c r="J1485" s="5" t="str">
        <f t="shared" si="118"/>
        <v/>
      </c>
      <c r="K1485" s="25"/>
      <c r="L1485" s="5" t="str">
        <f t="shared" si="119"/>
        <v/>
      </c>
      <c r="M1485" s="7"/>
      <c r="N1485" s="7"/>
      <c r="O1485" s="7"/>
      <c r="P1485" s="20" t="str">
        <f>IF($A1485="","",INDEX(Project_Tracker!$I$2:$I$101,INT((ROW()-6)/17)+1))</f>
        <v/>
      </c>
      <c r="Q1485" s="20" t="str">
        <f>IF($A1485="","",INDEX(Project_Tracker!$K$2:$K$101,INT((ROW()-6)/17)+1))</f>
        <v/>
      </c>
    </row>
    <row r="1486" spans="1:17" x14ac:dyDescent="0.2">
      <c r="A1486" s="20" t="str">
        <f>IF(INDEX(Project_Tracker!$AL$2:$AL$101,INT((ROW()-6)/17)+1)="","",INDEX(Project_Tracker!$AL$2:$AL$101,INT((ROW()-6)/17)+1))</f>
        <v/>
      </c>
      <c r="B1486" s="21" t="str">
        <f>IF($A1486="","",INDEX(Project_Tracker!$AM$2:$AM$101,INT((ROW()-6)/17)+1))</f>
        <v/>
      </c>
      <c r="C1486" s="20" t="str">
        <f>IF($A1486="","",INDEX(Project_Tracker!$C$2:$C$101,INT((ROW()-6)/17)+1))</f>
        <v/>
      </c>
      <c r="D1486" s="6" t="str">
        <f>IF($A1486="","",INDEX(Project_Tracker!$T$2:$T$101,INT((ROW()-6)/17)+1))</f>
        <v/>
      </c>
      <c r="E1486" s="18">
        <f t="shared" si="115"/>
        <v>2</v>
      </c>
      <c r="F1486" s="23" t="str">
        <f>IF($A1486="","",INDEX('Logic &amp; Lists'!$I$4:$I$20,$E1486))</f>
        <v/>
      </c>
      <c r="G1486" s="18" t="str">
        <f>IF($A1486="","",INDEX('Logic &amp; Lists'!$J$4:$J$20,$E1486))</f>
        <v/>
      </c>
      <c r="H1486" s="6" t="str">
        <f t="shared" si="116"/>
        <v/>
      </c>
      <c r="I1486" s="18" t="str">
        <f t="shared" ca="1" si="117"/>
        <v/>
      </c>
      <c r="J1486" s="5" t="str">
        <f t="shared" si="118"/>
        <v/>
      </c>
      <c r="K1486" s="25"/>
      <c r="L1486" s="5" t="str">
        <f t="shared" si="119"/>
        <v/>
      </c>
      <c r="M1486" s="7"/>
      <c r="N1486" s="7"/>
      <c r="O1486" s="7"/>
      <c r="P1486" s="20" t="str">
        <f>IF($A1486="","",INDEX(Project_Tracker!$I$2:$I$101,INT((ROW()-6)/17)+1))</f>
        <v/>
      </c>
      <c r="Q1486" s="20" t="str">
        <f>IF($A1486="","",INDEX(Project_Tracker!$K$2:$K$101,INT((ROW()-6)/17)+1))</f>
        <v/>
      </c>
    </row>
    <row r="1487" spans="1:17" x14ac:dyDescent="0.2">
      <c r="A1487" s="20" t="str">
        <f>IF(INDEX(Project_Tracker!$AL$2:$AL$101,INT((ROW()-6)/17)+1)="","",INDEX(Project_Tracker!$AL$2:$AL$101,INT((ROW()-6)/17)+1))</f>
        <v/>
      </c>
      <c r="B1487" s="21" t="str">
        <f>IF($A1487="","",INDEX(Project_Tracker!$AM$2:$AM$101,INT((ROW()-6)/17)+1))</f>
        <v/>
      </c>
      <c r="C1487" s="20" t="str">
        <f>IF($A1487="","",INDEX(Project_Tracker!$C$2:$C$101,INT((ROW()-6)/17)+1))</f>
        <v/>
      </c>
      <c r="D1487" s="6" t="str">
        <f>IF($A1487="","",INDEX(Project_Tracker!$T$2:$T$101,INT((ROW()-6)/17)+1))</f>
        <v/>
      </c>
      <c r="E1487" s="18">
        <f t="shared" si="115"/>
        <v>3</v>
      </c>
      <c r="F1487" s="23" t="str">
        <f>IF($A1487="","",INDEX('Logic &amp; Lists'!$I$4:$I$20,$E1487))</f>
        <v/>
      </c>
      <c r="G1487" s="18" t="str">
        <f>IF($A1487="","",INDEX('Logic &amp; Lists'!$J$4:$J$20,$E1487))</f>
        <v/>
      </c>
      <c r="H1487" s="6" t="str">
        <f t="shared" si="116"/>
        <v/>
      </c>
      <c r="I1487" s="18" t="str">
        <f t="shared" ca="1" si="117"/>
        <v/>
      </c>
      <c r="J1487" s="5" t="str">
        <f t="shared" si="118"/>
        <v/>
      </c>
      <c r="K1487" s="25"/>
      <c r="L1487" s="5" t="str">
        <f t="shared" si="119"/>
        <v/>
      </c>
      <c r="M1487" s="7"/>
      <c r="N1487" s="7"/>
      <c r="O1487" s="7"/>
      <c r="P1487" s="20" t="str">
        <f>IF($A1487="","",INDEX(Project_Tracker!$I$2:$I$101,INT((ROW()-6)/17)+1))</f>
        <v/>
      </c>
      <c r="Q1487" s="20" t="str">
        <f>IF($A1487="","",INDEX(Project_Tracker!$K$2:$K$101,INT((ROW()-6)/17)+1))</f>
        <v/>
      </c>
    </row>
    <row r="1488" spans="1:17" x14ac:dyDescent="0.2">
      <c r="A1488" s="20" t="str">
        <f>IF(INDEX(Project_Tracker!$AL$2:$AL$101,INT((ROW()-6)/17)+1)="","",INDEX(Project_Tracker!$AL$2:$AL$101,INT((ROW()-6)/17)+1))</f>
        <v/>
      </c>
      <c r="B1488" s="21" t="str">
        <f>IF($A1488="","",INDEX(Project_Tracker!$AM$2:$AM$101,INT((ROW()-6)/17)+1))</f>
        <v/>
      </c>
      <c r="C1488" s="20" t="str">
        <f>IF($A1488="","",INDEX(Project_Tracker!$C$2:$C$101,INT((ROW()-6)/17)+1))</f>
        <v/>
      </c>
      <c r="D1488" s="6" t="str">
        <f>IF($A1488="","",INDEX(Project_Tracker!$T$2:$T$101,INT((ROW()-6)/17)+1))</f>
        <v/>
      </c>
      <c r="E1488" s="18">
        <f t="shared" si="115"/>
        <v>4</v>
      </c>
      <c r="F1488" s="23" t="str">
        <f>IF($A1488="","",INDEX('Logic &amp; Lists'!$I$4:$I$20,$E1488))</f>
        <v/>
      </c>
      <c r="G1488" s="18" t="str">
        <f>IF($A1488="","",INDEX('Logic &amp; Lists'!$J$4:$J$20,$E1488))</f>
        <v/>
      </c>
      <c r="H1488" s="6" t="str">
        <f t="shared" si="116"/>
        <v/>
      </c>
      <c r="I1488" s="18" t="str">
        <f t="shared" ca="1" si="117"/>
        <v/>
      </c>
      <c r="J1488" s="5" t="str">
        <f t="shared" si="118"/>
        <v/>
      </c>
      <c r="K1488" s="25"/>
      <c r="L1488" s="5" t="str">
        <f t="shared" si="119"/>
        <v/>
      </c>
      <c r="M1488" s="7"/>
      <c r="N1488" s="7"/>
      <c r="O1488" s="7"/>
      <c r="P1488" s="20" t="str">
        <f>IF($A1488="","",INDEX(Project_Tracker!$I$2:$I$101,INT((ROW()-6)/17)+1))</f>
        <v/>
      </c>
      <c r="Q1488" s="20" t="str">
        <f>IF($A1488="","",INDEX(Project_Tracker!$K$2:$K$101,INT((ROW()-6)/17)+1))</f>
        <v/>
      </c>
    </row>
    <row r="1489" spans="1:17" x14ac:dyDescent="0.2">
      <c r="A1489" s="20" t="str">
        <f>IF(INDEX(Project_Tracker!$AL$2:$AL$101,INT((ROW()-6)/17)+1)="","",INDEX(Project_Tracker!$AL$2:$AL$101,INT((ROW()-6)/17)+1))</f>
        <v/>
      </c>
      <c r="B1489" s="21" t="str">
        <f>IF($A1489="","",INDEX(Project_Tracker!$AM$2:$AM$101,INT((ROW()-6)/17)+1))</f>
        <v/>
      </c>
      <c r="C1489" s="20" t="str">
        <f>IF($A1489="","",INDEX(Project_Tracker!$C$2:$C$101,INT((ROW()-6)/17)+1))</f>
        <v/>
      </c>
      <c r="D1489" s="6" t="str">
        <f>IF($A1489="","",INDEX(Project_Tracker!$T$2:$T$101,INT((ROW()-6)/17)+1))</f>
        <v/>
      </c>
      <c r="E1489" s="18">
        <f t="shared" si="115"/>
        <v>5</v>
      </c>
      <c r="F1489" s="23" t="str">
        <f>IF($A1489="","",INDEX('Logic &amp; Lists'!$I$4:$I$20,$E1489))</f>
        <v/>
      </c>
      <c r="G1489" s="18" t="str">
        <f>IF($A1489="","",INDEX('Logic &amp; Lists'!$J$4:$J$20,$E1489))</f>
        <v/>
      </c>
      <c r="H1489" s="6" t="str">
        <f t="shared" si="116"/>
        <v/>
      </c>
      <c r="I1489" s="18" t="str">
        <f t="shared" ca="1" si="117"/>
        <v/>
      </c>
      <c r="J1489" s="5" t="str">
        <f t="shared" si="118"/>
        <v/>
      </c>
      <c r="K1489" s="25"/>
      <c r="L1489" s="5" t="str">
        <f t="shared" si="119"/>
        <v/>
      </c>
      <c r="M1489" s="7"/>
      <c r="N1489" s="7"/>
      <c r="O1489" s="7"/>
      <c r="P1489" s="20" t="str">
        <f>IF($A1489="","",INDEX(Project_Tracker!$I$2:$I$101,INT((ROW()-6)/17)+1))</f>
        <v/>
      </c>
      <c r="Q1489" s="20" t="str">
        <f>IF($A1489="","",INDEX(Project_Tracker!$K$2:$K$101,INT((ROW()-6)/17)+1))</f>
        <v/>
      </c>
    </row>
    <row r="1490" spans="1:17" x14ac:dyDescent="0.2">
      <c r="A1490" s="20" t="str">
        <f>IF(INDEX(Project_Tracker!$AL$2:$AL$101,INT((ROW()-6)/17)+1)="","",INDEX(Project_Tracker!$AL$2:$AL$101,INT((ROW()-6)/17)+1))</f>
        <v/>
      </c>
      <c r="B1490" s="21" t="str">
        <f>IF($A1490="","",INDEX(Project_Tracker!$AM$2:$AM$101,INT((ROW()-6)/17)+1))</f>
        <v/>
      </c>
      <c r="C1490" s="20" t="str">
        <f>IF($A1490="","",INDEX(Project_Tracker!$C$2:$C$101,INT((ROW()-6)/17)+1))</f>
        <v/>
      </c>
      <c r="D1490" s="6" t="str">
        <f>IF($A1490="","",INDEX(Project_Tracker!$T$2:$T$101,INT((ROW()-6)/17)+1))</f>
        <v/>
      </c>
      <c r="E1490" s="18">
        <f t="shared" si="115"/>
        <v>6</v>
      </c>
      <c r="F1490" s="23" t="str">
        <f>IF($A1490="","",INDEX('Logic &amp; Lists'!$I$4:$I$20,$E1490))</f>
        <v/>
      </c>
      <c r="G1490" s="18" t="str">
        <f>IF($A1490="","",INDEX('Logic &amp; Lists'!$J$4:$J$20,$E1490))</f>
        <v/>
      </c>
      <c r="H1490" s="6" t="str">
        <f t="shared" si="116"/>
        <v/>
      </c>
      <c r="I1490" s="18" t="str">
        <f t="shared" ca="1" si="117"/>
        <v/>
      </c>
      <c r="J1490" s="5" t="str">
        <f t="shared" si="118"/>
        <v/>
      </c>
      <c r="K1490" s="25"/>
      <c r="L1490" s="5" t="str">
        <f t="shared" si="119"/>
        <v/>
      </c>
      <c r="M1490" s="7"/>
      <c r="N1490" s="7"/>
      <c r="O1490" s="7"/>
      <c r="P1490" s="20" t="str">
        <f>IF($A1490="","",INDEX(Project_Tracker!$I$2:$I$101,INT((ROW()-6)/17)+1))</f>
        <v/>
      </c>
      <c r="Q1490" s="20" t="str">
        <f>IF($A1490="","",INDEX(Project_Tracker!$K$2:$K$101,INT((ROW()-6)/17)+1))</f>
        <v/>
      </c>
    </row>
    <row r="1491" spans="1:17" x14ac:dyDescent="0.2">
      <c r="A1491" s="20" t="str">
        <f>IF(INDEX(Project_Tracker!$AL$2:$AL$101,INT((ROW()-6)/17)+1)="","",INDEX(Project_Tracker!$AL$2:$AL$101,INT((ROW()-6)/17)+1))</f>
        <v/>
      </c>
      <c r="B1491" s="21" t="str">
        <f>IF($A1491="","",INDEX(Project_Tracker!$AM$2:$AM$101,INT((ROW()-6)/17)+1))</f>
        <v/>
      </c>
      <c r="C1491" s="20" t="str">
        <f>IF($A1491="","",INDEX(Project_Tracker!$C$2:$C$101,INT((ROW()-6)/17)+1))</f>
        <v/>
      </c>
      <c r="D1491" s="6" t="str">
        <f>IF($A1491="","",INDEX(Project_Tracker!$T$2:$T$101,INT((ROW()-6)/17)+1))</f>
        <v/>
      </c>
      <c r="E1491" s="18">
        <f t="shared" si="115"/>
        <v>7</v>
      </c>
      <c r="F1491" s="23" t="str">
        <f>IF($A1491="","",INDEX('Logic &amp; Lists'!$I$4:$I$20,$E1491))</f>
        <v/>
      </c>
      <c r="G1491" s="18" t="str">
        <f>IF($A1491="","",INDEX('Logic &amp; Lists'!$J$4:$J$20,$E1491))</f>
        <v/>
      </c>
      <c r="H1491" s="6" t="str">
        <f t="shared" si="116"/>
        <v/>
      </c>
      <c r="I1491" s="18" t="str">
        <f t="shared" ca="1" si="117"/>
        <v/>
      </c>
      <c r="J1491" s="5" t="str">
        <f t="shared" si="118"/>
        <v/>
      </c>
      <c r="K1491" s="25"/>
      <c r="L1491" s="5" t="str">
        <f t="shared" si="119"/>
        <v/>
      </c>
      <c r="M1491" s="7"/>
      <c r="N1491" s="7"/>
      <c r="O1491" s="7"/>
      <c r="P1491" s="20" t="str">
        <f>IF($A1491="","",INDEX(Project_Tracker!$I$2:$I$101,INT((ROW()-6)/17)+1))</f>
        <v/>
      </c>
      <c r="Q1491" s="20" t="str">
        <f>IF($A1491="","",INDEX(Project_Tracker!$K$2:$K$101,INT((ROW()-6)/17)+1))</f>
        <v/>
      </c>
    </row>
    <row r="1492" spans="1:17" x14ac:dyDescent="0.2">
      <c r="A1492" s="20" t="str">
        <f>IF(INDEX(Project_Tracker!$AL$2:$AL$101,INT((ROW()-6)/17)+1)="","",INDEX(Project_Tracker!$AL$2:$AL$101,INT((ROW()-6)/17)+1))</f>
        <v/>
      </c>
      <c r="B1492" s="21" t="str">
        <f>IF($A1492="","",INDEX(Project_Tracker!$AM$2:$AM$101,INT((ROW()-6)/17)+1))</f>
        <v/>
      </c>
      <c r="C1492" s="20" t="str">
        <f>IF($A1492="","",INDEX(Project_Tracker!$C$2:$C$101,INT((ROW()-6)/17)+1))</f>
        <v/>
      </c>
      <c r="D1492" s="6" t="str">
        <f>IF($A1492="","",INDEX(Project_Tracker!$T$2:$T$101,INT((ROW()-6)/17)+1))</f>
        <v/>
      </c>
      <c r="E1492" s="18">
        <f t="shared" si="115"/>
        <v>8</v>
      </c>
      <c r="F1492" s="23" t="str">
        <f>IF($A1492="","",INDEX('Logic &amp; Lists'!$I$4:$I$20,$E1492))</f>
        <v/>
      </c>
      <c r="G1492" s="18" t="str">
        <f>IF($A1492="","",INDEX('Logic &amp; Lists'!$J$4:$J$20,$E1492))</f>
        <v/>
      </c>
      <c r="H1492" s="6" t="str">
        <f t="shared" si="116"/>
        <v/>
      </c>
      <c r="I1492" s="18" t="str">
        <f t="shared" ca="1" si="117"/>
        <v/>
      </c>
      <c r="J1492" s="5" t="str">
        <f t="shared" si="118"/>
        <v/>
      </c>
      <c r="K1492" s="25"/>
      <c r="L1492" s="5" t="str">
        <f t="shared" si="119"/>
        <v/>
      </c>
      <c r="M1492" s="7"/>
      <c r="N1492" s="7"/>
      <c r="O1492" s="7"/>
      <c r="P1492" s="20" t="str">
        <f>IF($A1492="","",INDEX(Project_Tracker!$I$2:$I$101,INT((ROW()-6)/17)+1))</f>
        <v/>
      </c>
      <c r="Q1492" s="20" t="str">
        <f>IF($A1492="","",INDEX(Project_Tracker!$K$2:$K$101,INT((ROW()-6)/17)+1))</f>
        <v/>
      </c>
    </row>
    <row r="1493" spans="1:17" x14ac:dyDescent="0.2">
      <c r="A1493" s="20" t="str">
        <f>IF(INDEX(Project_Tracker!$AL$2:$AL$101,INT((ROW()-6)/17)+1)="","",INDEX(Project_Tracker!$AL$2:$AL$101,INT((ROW()-6)/17)+1))</f>
        <v/>
      </c>
      <c r="B1493" s="21" t="str">
        <f>IF($A1493="","",INDEX(Project_Tracker!$AM$2:$AM$101,INT((ROW()-6)/17)+1))</f>
        <v/>
      </c>
      <c r="C1493" s="20" t="str">
        <f>IF($A1493="","",INDEX(Project_Tracker!$C$2:$C$101,INT((ROW()-6)/17)+1))</f>
        <v/>
      </c>
      <c r="D1493" s="6" t="str">
        <f>IF($A1493="","",INDEX(Project_Tracker!$T$2:$T$101,INT((ROW()-6)/17)+1))</f>
        <v/>
      </c>
      <c r="E1493" s="18">
        <f t="shared" si="115"/>
        <v>9</v>
      </c>
      <c r="F1493" s="23" t="str">
        <f>IF($A1493="","",INDEX('Logic &amp; Lists'!$I$4:$I$20,$E1493))</f>
        <v/>
      </c>
      <c r="G1493" s="18" t="str">
        <f>IF($A1493="","",INDEX('Logic &amp; Lists'!$J$4:$J$20,$E1493))</f>
        <v/>
      </c>
      <c r="H1493" s="6" t="str">
        <f t="shared" si="116"/>
        <v/>
      </c>
      <c r="I1493" s="18" t="str">
        <f t="shared" ca="1" si="117"/>
        <v/>
      </c>
      <c r="J1493" s="5" t="str">
        <f t="shared" si="118"/>
        <v/>
      </c>
      <c r="K1493" s="25"/>
      <c r="L1493" s="5" t="str">
        <f t="shared" si="119"/>
        <v/>
      </c>
      <c r="M1493" s="7"/>
      <c r="N1493" s="7"/>
      <c r="O1493" s="7"/>
      <c r="P1493" s="20" t="str">
        <f>IF($A1493="","",INDEX(Project_Tracker!$I$2:$I$101,INT((ROW()-6)/17)+1))</f>
        <v/>
      </c>
      <c r="Q1493" s="20" t="str">
        <f>IF($A1493="","",INDEX(Project_Tracker!$K$2:$K$101,INT((ROW()-6)/17)+1))</f>
        <v/>
      </c>
    </row>
    <row r="1494" spans="1:17" x14ac:dyDescent="0.2">
      <c r="A1494" s="20" t="str">
        <f>IF(INDEX(Project_Tracker!$AL$2:$AL$101,INT((ROW()-6)/17)+1)="","",INDEX(Project_Tracker!$AL$2:$AL$101,INT((ROW()-6)/17)+1))</f>
        <v/>
      </c>
      <c r="B1494" s="21" t="str">
        <f>IF($A1494="","",INDEX(Project_Tracker!$AM$2:$AM$101,INT((ROW()-6)/17)+1))</f>
        <v/>
      </c>
      <c r="C1494" s="20" t="str">
        <f>IF($A1494="","",INDEX(Project_Tracker!$C$2:$C$101,INT((ROW()-6)/17)+1))</f>
        <v/>
      </c>
      <c r="D1494" s="6" t="str">
        <f>IF($A1494="","",INDEX(Project_Tracker!$T$2:$T$101,INT((ROW()-6)/17)+1))</f>
        <v/>
      </c>
      <c r="E1494" s="18">
        <f t="shared" si="115"/>
        <v>10</v>
      </c>
      <c r="F1494" s="23" t="str">
        <f>IF($A1494="","",INDEX('Logic &amp; Lists'!$I$4:$I$20,$E1494))</f>
        <v/>
      </c>
      <c r="G1494" s="18" t="str">
        <f>IF($A1494="","",INDEX('Logic &amp; Lists'!$J$4:$J$20,$E1494))</f>
        <v/>
      </c>
      <c r="H1494" s="6" t="str">
        <f t="shared" si="116"/>
        <v/>
      </c>
      <c r="I1494" s="18" t="str">
        <f t="shared" ca="1" si="117"/>
        <v/>
      </c>
      <c r="J1494" s="5" t="str">
        <f t="shared" si="118"/>
        <v/>
      </c>
      <c r="K1494" s="25"/>
      <c r="L1494" s="5" t="str">
        <f t="shared" si="119"/>
        <v/>
      </c>
      <c r="M1494" s="7"/>
      <c r="N1494" s="7"/>
      <c r="O1494" s="7"/>
      <c r="P1494" s="20" t="str">
        <f>IF($A1494="","",INDEX(Project_Tracker!$I$2:$I$101,INT((ROW()-6)/17)+1))</f>
        <v/>
      </c>
      <c r="Q1494" s="20" t="str">
        <f>IF($A1494="","",INDEX(Project_Tracker!$K$2:$K$101,INT((ROW()-6)/17)+1))</f>
        <v/>
      </c>
    </row>
    <row r="1495" spans="1:17" x14ac:dyDescent="0.2">
      <c r="A1495" s="20" t="str">
        <f>IF(INDEX(Project_Tracker!$AL$2:$AL$101,INT((ROW()-6)/17)+1)="","",INDEX(Project_Tracker!$AL$2:$AL$101,INT((ROW()-6)/17)+1))</f>
        <v/>
      </c>
      <c r="B1495" s="21" t="str">
        <f>IF($A1495="","",INDEX(Project_Tracker!$AM$2:$AM$101,INT((ROW()-6)/17)+1))</f>
        <v/>
      </c>
      <c r="C1495" s="20" t="str">
        <f>IF($A1495="","",INDEX(Project_Tracker!$C$2:$C$101,INT((ROW()-6)/17)+1))</f>
        <v/>
      </c>
      <c r="D1495" s="6" t="str">
        <f>IF($A1495="","",INDEX(Project_Tracker!$T$2:$T$101,INT((ROW()-6)/17)+1))</f>
        <v/>
      </c>
      <c r="E1495" s="18">
        <f t="shared" si="115"/>
        <v>11</v>
      </c>
      <c r="F1495" s="23" t="str">
        <f>IF($A1495="","",INDEX('Logic &amp; Lists'!$I$4:$I$20,$E1495))</f>
        <v/>
      </c>
      <c r="G1495" s="18" t="str">
        <f>IF($A1495="","",INDEX('Logic &amp; Lists'!$J$4:$J$20,$E1495))</f>
        <v/>
      </c>
      <c r="H1495" s="6" t="str">
        <f t="shared" si="116"/>
        <v/>
      </c>
      <c r="I1495" s="18" t="str">
        <f t="shared" ca="1" si="117"/>
        <v/>
      </c>
      <c r="J1495" s="5" t="str">
        <f t="shared" si="118"/>
        <v/>
      </c>
      <c r="K1495" s="25"/>
      <c r="L1495" s="5" t="str">
        <f t="shared" si="119"/>
        <v/>
      </c>
      <c r="M1495" s="7"/>
      <c r="N1495" s="7"/>
      <c r="O1495" s="7"/>
      <c r="P1495" s="20" t="str">
        <f>IF($A1495="","",INDEX(Project_Tracker!$I$2:$I$101,INT((ROW()-6)/17)+1))</f>
        <v/>
      </c>
      <c r="Q1495" s="20" t="str">
        <f>IF($A1495="","",INDEX(Project_Tracker!$K$2:$K$101,INT((ROW()-6)/17)+1))</f>
        <v/>
      </c>
    </row>
    <row r="1496" spans="1:17" x14ac:dyDescent="0.2">
      <c r="A1496" s="20" t="str">
        <f>IF(INDEX(Project_Tracker!$AL$2:$AL$101,INT((ROW()-6)/17)+1)="","",INDEX(Project_Tracker!$AL$2:$AL$101,INT((ROW()-6)/17)+1))</f>
        <v/>
      </c>
      <c r="B1496" s="21" t="str">
        <f>IF($A1496="","",INDEX(Project_Tracker!$AM$2:$AM$101,INT((ROW()-6)/17)+1))</f>
        <v/>
      </c>
      <c r="C1496" s="20" t="str">
        <f>IF($A1496="","",INDEX(Project_Tracker!$C$2:$C$101,INT((ROW()-6)/17)+1))</f>
        <v/>
      </c>
      <c r="D1496" s="6" t="str">
        <f>IF($A1496="","",INDEX(Project_Tracker!$T$2:$T$101,INT((ROW()-6)/17)+1))</f>
        <v/>
      </c>
      <c r="E1496" s="18">
        <f t="shared" si="115"/>
        <v>12</v>
      </c>
      <c r="F1496" s="23" t="str">
        <f>IF($A1496="","",INDEX('Logic &amp; Lists'!$I$4:$I$20,$E1496))</f>
        <v/>
      </c>
      <c r="G1496" s="18" t="str">
        <f>IF($A1496="","",INDEX('Logic &amp; Lists'!$J$4:$J$20,$E1496))</f>
        <v/>
      </c>
      <c r="H1496" s="6" t="str">
        <f t="shared" si="116"/>
        <v/>
      </c>
      <c r="I1496" s="18" t="str">
        <f t="shared" ca="1" si="117"/>
        <v/>
      </c>
      <c r="J1496" s="5" t="str">
        <f t="shared" si="118"/>
        <v/>
      </c>
      <c r="K1496" s="25"/>
      <c r="L1496" s="5" t="str">
        <f t="shared" si="119"/>
        <v/>
      </c>
      <c r="M1496" s="7"/>
      <c r="N1496" s="7"/>
      <c r="O1496" s="7"/>
      <c r="P1496" s="20" t="str">
        <f>IF($A1496="","",INDEX(Project_Tracker!$I$2:$I$101,INT((ROW()-6)/17)+1))</f>
        <v/>
      </c>
      <c r="Q1496" s="20" t="str">
        <f>IF($A1496="","",INDEX(Project_Tracker!$K$2:$K$101,INT((ROW()-6)/17)+1))</f>
        <v/>
      </c>
    </row>
    <row r="1497" spans="1:17" x14ac:dyDescent="0.2">
      <c r="A1497" s="20" t="str">
        <f>IF(INDEX(Project_Tracker!$AL$2:$AL$101,INT((ROW()-6)/17)+1)="","",INDEX(Project_Tracker!$AL$2:$AL$101,INT((ROW()-6)/17)+1))</f>
        <v/>
      </c>
      <c r="B1497" s="21" t="str">
        <f>IF($A1497="","",INDEX(Project_Tracker!$AM$2:$AM$101,INT((ROW()-6)/17)+1))</f>
        <v/>
      </c>
      <c r="C1497" s="20" t="str">
        <f>IF($A1497="","",INDEX(Project_Tracker!$C$2:$C$101,INT((ROW()-6)/17)+1))</f>
        <v/>
      </c>
      <c r="D1497" s="6" t="str">
        <f>IF($A1497="","",INDEX(Project_Tracker!$T$2:$T$101,INT((ROW()-6)/17)+1))</f>
        <v/>
      </c>
      <c r="E1497" s="18">
        <f t="shared" si="115"/>
        <v>13</v>
      </c>
      <c r="F1497" s="23" t="str">
        <f>IF($A1497="","",INDEX('Logic &amp; Lists'!$I$4:$I$20,$E1497))</f>
        <v/>
      </c>
      <c r="G1497" s="18" t="str">
        <f>IF($A1497="","",INDEX('Logic &amp; Lists'!$J$4:$J$20,$E1497))</f>
        <v/>
      </c>
      <c r="H1497" s="6" t="str">
        <f t="shared" si="116"/>
        <v/>
      </c>
      <c r="I1497" s="18" t="str">
        <f t="shared" ca="1" si="117"/>
        <v/>
      </c>
      <c r="J1497" s="5" t="str">
        <f t="shared" si="118"/>
        <v/>
      </c>
      <c r="K1497" s="25"/>
      <c r="L1497" s="5" t="str">
        <f t="shared" si="119"/>
        <v/>
      </c>
      <c r="M1497" s="7"/>
      <c r="N1497" s="7"/>
      <c r="O1497" s="7"/>
      <c r="P1497" s="20" t="str">
        <f>IF($A1497="","",INDEX(Project_Tracker!$I$2:$I$101,INT((ROW()-6)/17)+1))</f>
        <v/>
      </c>
      <c r="Q1497" s="20" t="str">
        <f>IF($A1497="","",INDEX(Project_Tracker!$K$2:$K$101,INT((ROW()-6)/17)+1))</f>
        <v/>
      </c>
    </row>
    <row r="1498" spans="1:17" x14ac:dyDescent="0.2">
      <c r="A1498" s="20" t="str">
        <f>IF(INDEX(Project_Tracker!$AL$2:$AL$101,INT((ROW()-6)/17)+1)="","",INDEX(Project_Tracker!$AL$2:$AL$101,INT((ROW()-6)/17)+1))</f>
        <v/>
      </c>
      <c r="B1498" s="21" t="str">
        <f>IF($A1498="","",INDEX(Project_Tracker!$AM$2:$AM$101,INT((ROW()-6)/17)+1))</f>
        <v/>
      </c>
      <c r="C1498" s="20" t="str">
        <f>IF($A1498="","",INDEX(Project_Tracker!$C$2:$C$101,INT((ROW()-6)/17)+1))</f>
        <v/>
      </c>
      <c r="D1498" s="6" t="str">
        <f>IF($A1498="","",INDEX(Project_Tracker!$T$2:$T$101,INT((ROW()-6)/17)+1))</f>
        <v/>
      </c>
      <c r="E1498" s="18">
        <f t="shared" si="115"/>
        <v>14</v>
      </c>
      <c r="F1498" s="23" t="str">
        <f>IF($A1498="","",INDEX('Logic &amp; Lists'!$I$4:$I$20,$E1498))</f>
        <v/>
      </c>
      <c r="G1498" s="18" t="str">
        <f>IF($A1498="","",INDEX('Logic &amp; Lists'!$J$4:$J$20,$E1498))</f>
        <v/>
      </c>
      <c r="H1498" s="6" t="str">
        <f t="shared" si="116"/>
        <v/>
      </c>
      <c r="I1498" s="18" t="str">
        <f t="shared" ca="1" si="117"/>
        <v/>
      </c>
      <c r="J1498" s="5" t="str">
        <f t="shared" si="118"/>
        <v/>
      </c>
      <c r="K1498" s="25"/>
      <c r="L1498" s="5" t="str">
        <f t="shared" si="119"/>
        <v/>
      </c>
      <c r="M1498" s="7"/>
      <c r="N1498" s="7"/>
      <c r="O1498" s="7"/>
      <c r="P1498" s="20" t="str">
        <f>IF($A1498="","",INDEX(Project_Tracker!$I$2:$I$101,INT((ROW()-6)/17)+1))</f>
        <v/>
      </c>
      <c r="Q1498" s="20" t="str">
        <f>IF($A1498="","",INDEX(Project_Tracker!$K$2:$K$101,INT((ROW()-6)/17)+1))</f>
        <v/>
      </c>
    </row>
    <row r="1499" spans="1:17" x14ac:dyDescent="0.2">
      <c r="A1499" s="20" t="str">
        <f>IF(INDEX(Project_Tracker!$AL$2:$AL$101,INT((ROW()-6)/17)+1)="","",INDEX(Project_Tracker!$AL$2:$AL$101,INT((ROW()-6)/17)+1))</f>
        <v/>
      </c>
      <c r="B1499" s="21" t="str">
        <f>IF($A1499="","",INDEX(Project_Tracker!$AM$2:$AM$101,INT((ROW()-6)/17)+1))</f>
        <v/>
      </c>
      <c r="C1499" s="20" t="str">
        <f>IF($A1499="","",INDEX(Project_Tracker!$C$2:$C$101,INT((ROW()-6)/17)+1))</f>
        <v/>
      </c>
      <c r="D1499" s="6" t="str">
        <f>IF($A1499="","",INDEX(Project_Tracker!$T$2:$T$101,INT((ROW()-6)/17)+1))</f>
        <v/>
      </c>
      <c r="E1499" s="18">
        <f t="shared" si="115"/>
        <v>15</v>
      </c>
      <c r="F1499" s="23" t="str">
        <f>IF($A1499="","",INDEX('Logic &amp; Lists'!$I$4:$I$20,$E1499))</f>
        <v/>
      </c>
      <c r="G1499" s="18" t="str">
        <f>IF($A1499="","",INDEX('Logic &amp; Lists'!$J$4:$J$20,$E1499))</f>
        <v/>
      </c>
      <c r="H1499" s="6" t="str">
        <f t="shared" si="116"/>
        <v/>
      </c>
      <c r="I1499" s="18" t="str">
        <f t="shared" ca="1" si="117"/>
        <v/>
      </c>
      <c r="J1499" s="5" t="str">
        <f t="shared" si="118"/>
        <v/>
      </c>
      <c r="K1499" s="25"/>
      <c r="L1499" s="5" t="str">
        <f t="shared" si="119"/>
        <v/>
      </c>
      <c r="M1499" s="7"/>
      <c r="N1499" s="7"/>
      <c r="O1499" s="7"/>
      <c r="P1499" s="20" t="str">
        <f>IF($A1499="","",INDEX(Project_Tracker!$I$2:$I$101,INT((ROW()-6)/17)+1))</f>
        <v/>
      </c>
      <c r="Q1499" s="20" t="str">
        <f>IF($A1499="","",INDEX(Project_Tracker!$K$2:$K$101,INT((ROW()-6)/17)+1))</f>
        <v/>
      </c>
    </row>
    <row r="1500" spans="1:17" x14ac:dyDescent="0.2">
      <c r="A1500" s="20" t="str">
        <f>IF(INDEX(Project_Tracker!$AL$2:$AL$101,INT((ROW()-6)/17)+1)="","",INDEX(Project_Tracker!$AL$2:$AL$101,INT((ROW()-6)/17)+1))</f>
        <v/>
      </c>
      <c r="B1500" s="21" t="str">
        <f>IF($A1500="","",INDEX(Project_Tracker!$AM$2:$AM$101,INT((ROW()-6)/17)+1))</f>
        <v/>
      </c>
      <c r="C1500" s="20" t="str">
        <f>IF($A1500="","",INDEX(Project_Tracker!$C$2:$C$101,INT((ROW()-6)/17)+1))</f>
        <v/>
      </c>
      <c r="D1500" s="6" t="str">
        <f>IF($A1500="","",INDEX(Project_Tracker!$T$2:$T$101,INT((ROW()-6)/17)+1))</f>
        <v/>
      </c>
      <c r="E1500" s="18">
        <f t="shared" si="115"/>
        <v>16</v>
      </c>
      <c r="F1500" s="23" t="str">
        <f>IF($A1500="","",INDEX('Logic &amp; Lists'!$I$4:$I$20,$E1500))</f>
        <v/>
      </c>
      <c r="G1500" s="18" t="str">
        <f>IF($A1500="","",INDEX('Logic &amp; Lists'!$J$4:$J$20,$E1500))</f>
        <v/>
      </c>
      <c r="H1500" s="6" t="str">
        <f t="shared" si="116"/>
        <v/>
      </c>
      <c r="I1500" s="18" t="str">
        <f t="shared" ca="1" si="117"/>
        <v/>
      </c>
      <c r="J1500" s="5" t="str">
        <f t="shared" si="118"/>
        <v/>
      </c>
      <c r="K1500" s="25"/>
      <c r="L1500" s="5" t="str">
        <f t="shared" si="119"/>
        <v/>
      </c>
      <c r="M1500" s="7"/>
      <c r="N1500" s="7"/>
      <c r="O1500" s="7"/>
      <c r="P1500" s="20" t="str">
        <f>IF($A1500="","",INDEX(Project_Tracker!$I$2:$I$101,INT((ROW()-6)/17)+1))</f>
        <v/>
      </c>
      <c r="Q1500" s="20" t="str">
        <f>IF($A1500="","",INDEX(Project_Tracker!$K$2:$K$101,INT((ROW()-6)/17)+1))</f>
        <v/>
      </c>
    </row>
    <row r="1501" spans="1:17" x14ac:dyDescent="0.2">
      <c r="A1501" s="20" t="str">
        <f>IF(INDEX(Project_Tracker!$AL$2:$AL$101,INT((ROW()-6)/17)+1)="","",INDEX(Project_Tracker!$AL$2:$AL$101,INT((ROW()-6)/17)+1))</f>
        <v/>
      </c>
      <c r="B1501" s="21" t="str">
        <f>IF($A1501="","",INDEX(Project_Tracker!$AM$2:$AM$101,INT((ROW()-6)/17)+1))</f>
        <v/>
      </c>
      <c r="C1501" s="20" t="str">
        <f>IF($A1501="","",INDEX(Project_Tracker!$C$2:$C$101,INT((ROW()-6)/17)+1))</f>
        <v/>
      </c>
      <c r="D1501" s="6" t="str">
        <f>IF($A1501="","",INDEX(Project_Tracker!$T$2:$T$101,INT((ROW()-6)/17)+1))</f>
        <v/>
      </c>
      <c r="E1501" s="18">
        <f t="shared" si="115"/>
        <v>17</v>
      </c>
      <c r="F1501" s="23" t="str">
        <f>IF($A1501="","",INDEX('Logic &amp; Lists'!$I$4:$I$20,$E1501))</f>
        <v/>
      </c>
      <c r="G1501" s="18" t="str">
        <f>IF($A1501="","",INDEX('Logic &amp; Lists'!$J$4:$J$20,$E1501))</f>
        <v/>
      </c>
      <c r="H1501" s="6" t="str">
        <f t="shared" si="116"/>
        <v/>
      </c>
      <c r="I1501" s="18" t="str">
        <f t="shared" ca="1" si="117"/>
        <v/>
      </c>
      <c r="J1501" s="5" t="str">
        <f t="shared" si="118"/>
        <v/>
      </c>
      <c r="K1501" s="25"/>
      <c r="L1501" s="5" t="str">
        <f t="shared" si="119"/>
        <v/>
      </c>
      <c r="M1501" s="7"/>
      <c r="N1501" s="7"/>
      <c r="O1501" s="7"/>
      <c r="P1501" s="20" t="str">
        <f>IF($A1501="","",INDEX(Project_Tracker!$I$2:$I$101,INT((ROW()-6)/17)+1))</f>
        <v/>
      </c>
      <c r="Q1501" s="20" t="str">
        <f>IF($A1501="","",INDEX(Project_Tracker!$K$2:$K$101,INT((ROW()-6)/17)+1))</f>
        <v/>
      </c>
    </row>
    <row r="1502" spans="1:17" x14ac:dyDescent="0.2">
      <c r="A1502" s="20" t="str">
        <f>IF(INDEX(Project_Tracker!$AL$2:$AL$101,INT((ROW()-6)/17)+1)="","",INDEX(Project_Tracker!$AL$2:$AL$101,INT((ROW()-6)/17)+1))</f>
        <v/>
      </c>
      <c r="B1502" s="21" t="str">
        <f>IF($A1502="","",INDEX(Project_Tracker!$AM$2:$AM$101,INT((ROW()-6)/17)+1))</f>
        <v/>
      </c>
      <c r="C1502" s="20" t="str">
        <f>IF($A1502="","",INDEX(Project_Tracker!$C$2:$C$101,INT((ROW()-6)/17)+1))</f>
        <v/>
      </c>
      <c r="D1502" s="6" t="str">
        <f>IF($A1502="","",INDEX(Project_Tracker!$T$2:$T$101,INT((ROW()-6)/17)+1))</f>
        <v/>
      </c>
      <c r="E1502" s="18">
        <f t="shared" si="115"/>
        <v>1</v>
      </c>
      <c r="F1502" s="23" t="str">
        <f>IF($A1502="","",INDEX('Logic &amp; Lists'!$I$4:$I$20,$E1502))</f>
        <v/>
      </c>
      <c r="G1502" s="18" t="str">
        <f>IF($A1502="","",INDEX('Logic &amp; Lists'!$J$4:$J$20,$E1502))</f>
        <v/>
      </c>
      <c r="H1502" s="6" t="str">
        <f t="shared" si="116"/>
        <v/>
      </c>
      <c r="I1502" s="18" t="str">
        <f t="shared" ca="1" si="117"/>
        <v/>
      </c>
      <c r="J1502" s="5" t="str">
        <f t="shared" si="118"/>
        <v/>
      </c>
      <c r="K1502" s="25"/>
      <c r="L1502" s="5" t="str">
        <f t="shared" si="119"/>
        <v/>
      </c>
      <c r="M1502" s="7"/>
      <c r="N1502" s="7"/>
      <c r="O1502" s="7"/>
      <c r="P1502" s="20" t="str">
        <f>IF($A1502="","",INDEX(Project_Tracker!$I$2:$I$101,INT((ROW()-6)/17)+1))</f>
        <v/>
      </c>
      <c r="Q1502" s="20" t="str">
        <f>IF($A1502="","",INDEX(Project_Tracker!$K$2:$K$101,INT((ROW()-6)/17)+1))</f>
        <v/>
      </c>
    </row>
    <row r="1503" spans="1:17" x14ac:dyDescent="0.2">
      <c r="A1503" s="20" t="str">
        <f>IF(INDEX(Project_Tracker!$AL$2:$AL$101,INT((ROW()-6)/17)+1)="","",INDEX(Project_Tracker!$AL$2:$AL$101,INT((ROW()-6)/17)+1))</f>
        <v/>
      </c>
      <c r="B1503" s="21" t="str">
        <f>IF($A1503="","",INDEX(Project_Tracker!$AM$2:$AM$101,INT((ROW()-6)/17)+1))</f>
        <v/>
      </c>
      <c r="C1503" s="20" t="str">
        <f>IF($A1503="","",INDEX(Project_Tracker!$C$2:$C$101,INT((ROW()-6)/17)+1))</f>
        <v/>
      </c>
      <c r="D1503" s="6" t="str">
        <f>IF($A1503="","",INDEX(Project_Tracker!$T$2:$T$101,INT((ROW()-6)/17)+1))</f>
        <v/>
      </c>
      <c r="E1503" s="18">
        <f t="shared" si="115"/>
        <v>2</v>
      </c>
      <c r="F1503" s="23" t="str">
        <f>IF($A1503="","",INDEX('Logic &amp; Lists'!$I$4:$I$20,$E1503))</f>
        <v/>
      </c>
      <c r="G1503" s="18" t="str">
        <f>IF($A1503="","",INDEX('Logic &amp; Lists'!$J$4:$J$20,$E1503))</f>
        <v/>
      </c>
      <c r="H1503" s="6" t="str">
        <f t="shared" si="116"/>
        <v/>
      </c>
      <c r="I1503" s="18" t="str">
        <f t="shared" ca="1" si="117"/>
        <v/>
      </c>
      <c r="J1503" s="5" t="str">
        <f t="shared" si="118"/>
        <v/>
      </c>
      <c r="K1503" s="25"/>
      <c r="L1503" s="5" t="str">
        <f t="shared" si="119"/>
        <v/>
      </c>
      <c r="M1503" s="7"/>
      <c r="N1503" s="7"/>
      <c r="O1503" s="7"/>
      <c r="P1503" s="20" t="str">
        <f>IF($A1503="","",INDEX(Project_Tracker!$I$2:$I$101,INT((ROW()-6)/17)+1))</f>
        <v/>
      </c>
      <c r="Q1503" s="20" t="str">
        <f>IF($A1503="","",INDEX(Project_Tracker!$K$2:$K$101,INT((ROW()-6)/17)+1))</f>
        <v/>
      </c>
    </row>
    <row r="1504" spans="1:17" x14ac:dyDescent="0.2">
      <c r="A1504" s="20" t="str">
        <f>IF(INDEX(Project_Tracker!$AL$2:$AL$101,INT((ROW()-6)/17)+1)="","",INDEX(Project_Tracker!$AL$2:$AL$101,INT((ROW()-6)/17)+1))</f>
        <v/>
      </c>
      <c r="B1504" s="21" t="str">
        <f>IF($A1504="","",INDEX(Project_Tracker!$AM$2:$AM$101,INT((ROW()-6)/17)+1))</f>
        <v/>
      </c>
      <c r="C1504" s="20" t="str">
        <f>IF($A1504="","",INDEX(Project_Tracker!$C$2:$C$101,INT((ROW()-6)/17)+1))</f>
        <v/>
      </c>
      <c r="D1504" s="6" t="str">
        <f>IF($A1504="","",INDEX(Project_Tracker!$T$2:$T$101,INT((ROW()-6)/17)+1))</f>
        <v/>
      </c>
      <c r="E1504" s="18">
        <f t="shared" si="115"/>
        <v>3</v>
      </c>
      <c r="F1504" s="23" t="str">
        <f>IF($A1504="","",INDEX('Logic &amp; Lists'!$I$4:$I$20,$E1504))</f>
        <v/>
      </c>
      <c r="G1504" s="18" t="str">
        <f>IF($A1504="","",INDEX('Logic &amp; Lists'!$J$4:$J$20,$E1504))</f>
        <v/>
      </c>
      <c r="H1504" s="6" t="str">
        <f t="shared" si="116"/>
        <v/>
      </c>
      <c r="I1504" s="18" t="str">
        <f t="shared" ca="1" si="117"/>
        <v/>
      </c>
      <c r="J1504" s="5" t="str">
        <f t="shared" si="118"/>
        <v/>
      </c>
      <c r="K1504" s="25"/>
      <c r="L1504" s="5" t="str">
        <f t="shared" si="119"/>
        <v/>
      </c>
      <c r="M1504" s="7"/>
      <c r="N1504" s="7"/>
      <c r="O1504" s="7"/>
      <c r="P1504" s="20" t="str">
        <f>IF($A1504="","",INDEX(Project_Tracker!$I$2:$I$101,INT((ROW()-6)/17)+1))</f>
        <v/>
      </c>
      <c r="Q1504" s="20" t="str">
        <f>IF($A1504="","",INDEX(Project_Tracker!$K$2:$K$101,INT((ROW()-6)/17)+1))</f>
        <v/>
      </c>
    </row>
    <row r="1505" spans="1:17" x14ac:dyDescent="0.2">
      <c r="A1505" s="20" t="str">
        <f>IF(INDEX(Project_Tracker!$AL$2:$AL$101,INT((ROW()-6)/17)+1)="","",INDEX(Project_Tracker!$AL$2:$AL$101,INT((ROW()-6)/17)+1))</f>
        <v/>
      </c>
      <c r="B1505" s="21" t="str">
        <f>IF($A1505="","",INDEX(Project_Tracker!$AM$2:$AM$101,INT((ROW()-6)/17)+1))</f>
        <v/>
      </c>
      <c r="C1505" s="20" t="str">
        <f>IF($A1505="","",INDEX(Project_Tracker!$C$2:$C$101,INT((ROW()-6)/17)+1))</f>
        <v/>
      </c>
      <c r="D1505" s="6" t="str">
        <f>IF($A1505="","",INDEX(Project_Tracker!$T$2:$T$101,INT((ROW()-6)/17)+1))</f>
        <v/>
      </c>
      <c r="E1505" s="18">
        <f t="shared" si="115"/>
        <v>4</v>
      </c>
      <c r="F1505" s="23" t="str">
        <f>IF($A1505="","",INDEX('Logic &amp; Lists'!$I$4:$I$20,$E1505))</f>
        <v/>
      </c>
      <c r="G1505" s="18" t="str">
        <f>IF($A1505="","",INDEX('Logic &amp; Lists'!$J$4:$J$20,$E1505))</f>
        <v/>
      </c>
      <c r="H1505" s="6" t="str">
        <f t="shared" si="116"/>
        <v/>
      </c>
      <c r="I1505" s="18" t="str">
        <f t="shared" ca="1" si="117"/>
        <v/>
      </c>
      <c r="J1505" s="5" t="str">
        <f t="shared" si="118"/>
        <v/>
      </c>
      <c r="K1505" s="25"/>
      <c r="L1505" s="5" t="str">
        <f t="shared" si="119"/>
        <v/>
      </c>
      <c r="M1505" s="7"/>
      <c r="N1505" s="7"/>
      <c r="O1505" s="7"/>
      <c r="P1505" s="20" t="str">
        <f>IF($A1505="","",INDEX(Project_Tracker!$I$2:$I$101,INT((ROW()-6)/17)+1))</f>
        <v/>
      </c>
      <c r="Q1505" s="20" t="str">
        <f>IF($A1505="","",INDEX(Project_Tracker!$K$2:$K$101,INT((ROW()-6)/17)+1))</f>
        <v/>
      </c>
    </row>
    <row r="1506" spans="1:17" x14ac:dyDescent="0.2">
      <c r="A1506" s="20" t="str">
        <f>IF(INDEX(Project_Tracker!$AL$2:$AL$101,INT((ROW()-6)/17)+1)="","",INDEX(Project_Tracker!$AL$2:$AL$101,INT((ROW()-6)/17)+1))</f>
        <v/>
      </c>
      <c r="B1506" s="21" t="str">
        <f>IF($A1506="","",INDEX(Project_Tracker!$AM$2:$AM$101,INT((ROW()-6)/17)+1))</f>
        <v/>
      </c>
      <c r="C1506" s="20" t="str">
        <f>IF($A1506="","",INDEX(Project_Tracker!$C$2:$C$101,INT((ROW()-6)/17)+1))</f>
        <v/>
      </c>
      <c r="D1506" s="6" t="str">
        <f>IF($A1506="","",INDEX(Project_Tracker!$T$2:$T$101,INT((ROW()-6)/17)+1))</f>
        <v/>
      </c>
      <c r="E1506" s="18">
        <f t="shared" si="115"/>
        <v>5</v>
      </c>
      <c r="F1506" s="23" t="str">
        <f>IF($A1506="","",INDEX('Logic &amp; Lists'!$I$4:$I$20,$E1506))</f>
        <v/>
      </c>
      <c r="G1506" s="18" t="str">
        <f>IF($A1506="","",INDEX('Logic &amp; Lists'!$J$4:$J$20,$E1506))</f>
        <v/>
      </c>
      <c r="H1506" s="6" t="str">
        <f t="shared" si="116"/>
        <v/>
      </c>
      <c r="I1506" s="18" t="str">
        <f t="shared" ca="1" si="117"/>
        <v/>
      </c>
      <c r="J1506" s="5" t="str">
        <f t="shared" si="118"/>
        <v/>
      </c>
      <c r="K1506" s="25"/>
      <c r="L1506" s="5" t="str">
        <f t="shared" si="119"/>
        <v/>
      </c>
      <c r="M1506" s="7"/>
      <c r="N1506" s="7"/>
      <c r="O1506" s="7"/>
      <c r="P1506" s="20" t="str">
        <f>IF($A1506="","",INDEX(Project_Tracker!$I$2:$I$101,INT((ROW()-6)/17)+1))</f>
        <v/>
      </c>
      <c r="Q1506" s="20" t="str">
        <f>IF($A1506="","",INDEX(Project_Tracker!$K$2:$K$101,INT((ROW()-6)/17)+1))</f>
        <v/>
      </c>
    </row>
    <row r="1507" spans="1:17" x14ac:dyDescent="0.2">
      <c r="A1507" s="20" t="str">
        <f>IF(INDEX(Project_Tracker!$AL$2:$AL$101,INT((ROW()-6)/17)+1)="","",INDEX(Project_Tracker!$AL$2:$AL$101,INT((ROW()-6)/17)+1))</f>
        <v/>
      </c>
      <c r="B1507" s="21" t="str">
        <f>IF($A1507="","",INDEX(Project_Tracker!$AM$2:$AM$101,INT((ROW()-6)/17)+1))</f>
        <v/>
      </c>
      <c r="C1507" s="20" t="str">
        <f>IF($A1507="","",INDEX(Project_Tracker!$C$2:$C$101,INT((ROW()-6)/17)+1))</f>
        <v/>
      </c>
      <c r="D1507" s="6" t="str">
        <f>IF($A1507="","",INDEX(Project_Tracker!$T$2:$T$101,INT((ROW()-6)/17)+1))</f>
        <v/>
      </c>
      <c r="E1507" s="18">
        <f t="shared" si="115"/>
        <v>6</v>
      </c>
      <c r="F1507" s="23" t="str">
        <f>IF($A1507="","",INDEX('Logic &amp; Lists'!$I$4:$I$20,$E1507))</f>
        <v/>
      </c>
      <c r="G1507" s="18" t="str">
        <f>IF($A1507="","",INDEX('Logic &amp; Lists'!$J$4:$J$20,$E1507))</f>
        <v/>
      </c>
      <c r="H1507" s="6" t="str">
        <f t="shared" si="116"/>
        <v/>
      </c>
      <c r="I1507" s="18" t="str">
        <f t="shared" ca="1" si="117"/>
        <v/>
      </c>
      <c r="J1507" s="5" t="str">
        <f t="shared" si="118"/>
        <v/>
      </c>
      <c r="K1507" s="25"/>
      <c r="L1507" s="5" t="str">
        <f t="shared" si="119"/>
        <v/>
      </c>
      <c r="M1507" s="7"/>
      <c r="N1507" s="7"/>
      <c r="O1507" s="7"/>
      <c r="P1507" s="20" t="str">
        <f>IF($A1507="","",INDEX(Project_Tracker!$I$2:$I$101,INT((ROW()-6)/17)+1))</f>
        <v/>
      </c>
      <c r="Q1507" s="20" t="str">
        <f>IF($A1507="","",INDEX(Project_Tracker!$K$2:$K$101,INT((ROW()-6)/17)+1))</f>
        <v/>
      </c>
    </row>
    <row r="1508" spans="1:17" x14ac:dyDescent="0.2">
      <c r="A1508" s="20" t="str">
        <f>IF(INDEX(Project_Tracker!$AL$2:$AL$101,INT((ROW()-6)/17)+1)="","",INDEX(Project_Tracker!$AL$2:$AL$101,INT((ROW()-6)/17)+1))</f>
        <v/>
      </c>
      <c r="B1508" s="21" t="str">
        <f>IF($A1508="","",INDEX(Project_Tracker!$AM$2:$AM$101,INT((ROW()-6)/17)+1))</f>
        <v/>
      </c>
      <c r="C1508" s="20" t="str">
        <f>IF($A1508="","",INDEX(Project_Tracker!$C$2:$C$101,INT((ROW()-6)/17)+1))</f>
        <v/>
      </c>
      <c r="D1508" s="6" t="str">
        <f>IF($A1508="","",INDEX(Project_Tracker!$T$2:$T$101,INT((ROW()-6)/17)+1))</f>
        <v/>
      </c>
      <c r="E1508" s="18">
        <f t="shared" si="115"/>
        <v>7</v>
      </c>
      <c r="F1508" s="23" t="str">
        <f>IF($A1508="","",INDEX('Logic &amp; Lists'!$I$4:$I$20,$E1508))</f>
        <v/>
      </c>
      <c r="G1508" s="18" t="str">
        <f>IF($A1508="","",INDEX('Logic &amp; Lists'!$J$4:$J$20,$E1508))</f>
        <v/>
      </c>
      <c r="H1508" s="6" t="str">
        <f t="shared" si="116"/>
        <v/>
      </c>
      <c r="I1508" s="18" t="str">
        <f t="shared" ca="1" si="117"/>
        <v/>
      </c>
      <c r="J1508" s="5" t="str">
        <f t="shared" si="118"/>
        <v/>
      </c>
      <c r="K1508" s="25"/>
      <c r="L1508" s="5" t="str">
        <f t="shared" si="119"/>
        <v/>
      </c>
      <c r="M1508" s="7"/>
      <c r="N1508" s="7"/>
      <c r="O1508" s="7"/>
      <c r="P1508" s="20" t="str">
        <f>IF($A1508="","",INDEX(Project_Tracker!$I$2:$I$101,INT((ROW()-6)/17)+1))</f>
        <v/>
      </c>
      <c r="Q1508" s="20" t="str">
        <f>IF($A1508="","",INDEX(Project_Tracker!$K$2:$K$101,INT((ROW()-6)/17)+1))</f>
        <v/>
      </c>
    </row>
    <row r="1509" spans="1:17" x14ac:dyDescent="0.2">
      <c r="A1509" s="20" t="str">
        <f>IF(INDEX(Project_Tracker!$AL$2:$AL$101,INT((ROW()-6)/17)+1)="","",INDEX(Project_Tracker!$AL$2:$AL$101,INT((ROW()-6)/17)+1))</f>
        <v/>
      </c>
      <c r="B1509" s="21" t="str">
        <f>IF($A1509="","",INDEX(Project_Tracker!$AM$2:$AM$101,INT((ROW()-6)/17)+1))</f>
        <v/>
      </c>
      <c r="C1509" s="20" t="str">
        <f>IF($A1509="","",INDEX(Project_Tracker!$C$2:$C$101,INT((ROW()-6)/17)+1))</f>
        <v/>
      </c>
      <c r="D1509" s="6" t="str">
        <f>IF($A1509="","",INDEX(Project_Tracker!$T$2:$T$101,INT((ROW()-6)/17)+1))</f>
        <v/>
      </c>
      <c r="E1509" s="18">
        <f t="shared" si="115"/>
        <v>8</v>
      </c>
      <c r="F1509" s="23" t="str">
        <f>IF($A1509="","",INDEX('Logic &amp; Lists'!$I$4:$I$20,$E1509))</f>
        <v/>
      </c>
      <c r="G1509" s="18" t="str">
        <f>IF($A1509="","",INDEX('Logic &amp; Lists'!$J$4:$J$20,$E1509))</f>
        <v/>
      </c>
      <c r="H1509" s="6" t="str">
        <f t="shared" si="116"/>
        <v/>
      </c>
      <c r="I1509" s="18" t="str">
        <f t="shared" ca="1" si="117"/>
        <v/>
      </c>
      <c r="J1509" s="5" t="str">
        <f t="shared" si="118"/>
        <v/>
      </c>
      <c r="K1509" s="25"/>
      <c r="L1509" s="5" t="str">
        <f t="shared" si="119"/>
        <v/>
      </c>
      <c r="M1509" s="7"/>
      <c r="N1509" s="7"/>
      <c r="O1509" s="7"/>
      <c r="P1509" s="20" t="str">
        <f>IF($A1509="","",INDEX(Project_Tracker!$I$2:$I$101,INT((ROW()-6)/17)+1))</f>
        <v/>
      </c>
      <c r="Q1509" s="20" t="str">
        <f>IF($A1509="","",INDEX(Project_Tracker!$K$2:$K$101,INT((ROW()-6)/17)+1))</f>
        <v/>
      </c>
    </row>
    <row r="1510" spans="1:17" x14ac:dyDescent="0.2">
      <c r="A1510" s="20" t="str">
        <f>IF(INDEX(Project_Tracker!$AL$2:$AL$101,INT((ROW()-6)/17)+1)="","",INDEX(Project_Tracker!$AL$2:$AL$101,INT((ROW()-6)/17)+1))</f>
        <v/>
      </c>
      <c r="B1510" s="21" t="str">
        <f>IF($A1510="","",INDEX(Project_Tracker!$AM$2:$AM$101,INT((ROW()-6)/17)+1))</f>
        <v/>
      </c>
      <c r="C1510" s="20" t="str">
        <f>IF($A1510="","",INDEX(Project_Tracker!$C$2:$C$101,INT((ROW()-6)/17)+1))</f>
        <v/>
      </c>
      <c r="D1510" s="6" t="str">
        <f>IF($A1510="","",INDEX(Project_Tracker!$T$2:$T$101,INT((ROW()-6)/17)+1))</f>
        <v/>
      </c>
      <c r="E1510" s="18">
        <f t="shared" si="115"/>
        <v>9</v>
      </c>
      <c r="F1510" s="23" t="str">
        <f>IF($A1510="","",INDEX('Logic &amp; Lists'!$I$4:$I$20,$E1510))</f>
        <v/>
      </c>
      <c r="G1510" s="18" t="str">
        <f>IF($A1510="","",INDEX('Logic &amp; Lists'!$J$4:$J$20,$E1510))</f>
        <v/>
      </c>
      <c r="H1510" s="6" t="str">
        <f t="shared" si="116"/>
        <v/>
      </c>
      <c r="I1510" s="18" t="str">
        <f t="shared" ca="1" si="117"/>
        <v/>
      </c>
      <c r="J1510" s="5" t="str">
        <f t="shared" si="118"/>
        <v/>
      </c>
      <c r="K1510" s="25"/>
      <c r="L1510" s="5" t="str">
        <f t="shared" si="119"/>
        <v/>
      </c>
      <c r="M1510" s="7"/>
      <c r="N1510" s="7"/>
      <c r="O1510" s="7"/>
      <c r="P1510" s="20" t="str">
        <f>IF($A1510="","",INDEX(Project_Tracker!$I$2:$I$101,INT((ROW()-6)/17)+1))</f>
        <v/>
      </c>
      <c r="Q1510" s="20" t="str">
        <f>IF($A1510="","",INDEX(Project_Tracker!$K$2:$K$101,INT((ROW()-6)/17)+1))</f>
        <v/>
      </c>
    </row>
    <row r="1511" spans="1:17" x14ac:dyDescent="0.2">
      <c r="A1511" s="20" t="str">
        <f>IF(INDEX(Project_Tracker!$AL$2:$AL$101,INT((ROW()-6)/17)+1)="","",INDEX(Project_Tracker!$AL$2:$AL$101,INT((ROW()-6)/17)+1))</f>
        <v/>
      </c>
      <c r="B1511" s="21" t="str">
        <f>IF($A1511="","",INDEX(Project_Tracker!$AM$2:$AM$101,INT((ROW()-6)/17)+1))</f>
        <v/>
      </c>
      <c r="C1511" s="20" t="str">
        <f>IF($A1511="","",INDEX(Project_Tracker!$C$2:$C$101,INT((ROW()-6)/17)+1))</f>
        <v/>
      </c>
      <c r="D1511" s="6" t="str">
        <f>IF($A1511="","",INDEX(Project_Tracker!$T$2:$T$101,INT((ROW()-6)/17)+1))</f>
        <v/>
      </c>
      <c r="E1511" s="18">
        <f t="shared" si="115"/>
        <v>10</v>
      </c>
      <c r="F1511" s="23" t="str">
        <f>IF($A1511="","",INDEX('Logic &amp; Lists'!$I$4:$I$20,$E1511))</f>
        <v/>
      </c>
      <c r="G1511" s="18" t="str">
        <f>IF($A1511="","",INDEX('Logic &amp; Lists'!$J$4:$J$20,$E1511))</f>
        <v/>
      </c>
      <c r="H1511" s="6" t="str">
        <f t="shared" si="116"/>
        <v/>
      </c>
      <c r="I1511" s="18" t="str">
        <f t="shared" ca="1" si="117"/>
        <v/>
      </c>
      <c r="J1511" s="5" t="str">
        <f t="shared" si="118"/>
        <v/>
      </c>
      <c r="K1511" s="25"/>
      <c r="L1511" s="5" t="str">
        <f t="shared" si="119"/>
        <v/>
      </c>
      <c r="M1511" s="7"/>
      <c r="N1511" s="7"/>
      <c r="O1511" s="7"/>
      <c r="P1511" s="20" t="str">
        <f>IF($A1511="","",INDEX(Project_Tracker!$I$2:$I$101,INT((ROW()-6)/17)+1))</f>
        <v/>
      </c>
      <c r="Q1511" s="20" t="str">
        <f>IF($A1511="","",INDEX(Project_Tracker!$K$2:$K$101,INT((ROW()-6)/17)+1))</f>
        <v/>
      </c>
    </row>
    <row r="1512" spans="1:17" x14ac:dyDescent="0.2">
      <c r="A1512" s="20" t="str">
        <f>IF(INDEX(Project_Tracker!$AL$2:$AL$101,INT((ROW()-6)/17)+1)="","",INDEX(Project_Tracker!$AL$2:$AL$101,INT((ROW()-6)/17)+1))</f>
        <v/>
      </c>
      <c r="B1512" s="21" t="str">
        <f>IF($A1512="","",INDEX(Project_Tracker!$AM$2:$AM$101,INT((ROW()-6)/17)+1))</f>
        <v/>
      </c>
      <c r="C1512" s="20" t="str">
        <f>IF($A1512="","",INDEX(Project_Tracker!$C$2:$C$101,INT((ROW()-6)/17)+1))</f>
        <v/>
      </c>
      <c r="D1512" s="6" t="str">
        <f>IF($A1512="","",INDEX(Project_Tracker!$T$2:$T$101,INT((ROW()-6)/17)+1))</f>
        <v/>
      </c>
      <c r="E1512" s="18">
        <f t="shared" si="115"/>
        <v>11</v>
      </c>
      <c r="F1512" s="23" t="str">
        <f>IF($A1512="","",INDEX('Logic &amp; Lists'!$I$4:$I$20,$E1512))</f>
        <v/>
      </c>
      <c r="G1512" s="18" t="str">
        <f>IF($A1512="","",INDEX('Logic &amp; Lists'!$J$4:$J$20,$E1512))</f>
        <v/>
      </c>
      <c r="H1512" s="6" t="str">
        <f t="shared" si="116"/>
        <v/>
      </c>
      <c r="I1512" s="18" t="str">
        <f t="shared" ca="1" si="117"/>
        <v/>
      </c>
      <c r="J1512" s="5" t="str">
        <f t="shared" si="118"/>
        <v/>
      </c>
      <c r="K1512" s="25"/>
      <c r="L1512" s="5" t="str">
        <f t="shared" si="119"/>
        <v/>
      </c>
      <c r="M1512" s="7"/>
      <c r="N1512" s="7"/>
      <c r="O1512" s="7"/>
      <c r="P1512" s="20" t="str">
        <f>IF($A1512="","",INDEX(Project_Tracker!$I$2:$I$101,INT((ROW()-6)/17)+1))</f>
        <v/>
      </c>
      <c r="Q1512" s="20" t="str">
        <f>IF($A1512="","",INDEX(Project_Tracker!$K$2:$K$101,INT((ROW()-6)/17)+1))</f>
        <v/>
      </c>
    </row>
    <row r="1513" spans="1:17" x14ac:dyDescent="0.2">
      <c r="A1513" s="20" t="str">
        <f>IF(INDEX(Project_Tracker!$AL$2:$AL$101,INT((ROW()-6)/17)+1)="","",INDEX(Project_Tracker!$AL$2:$AL$101,INT((ROW()-6)/17)+1))</f>
        <v/>
      </c>
      <c r="B1513" s="21" t="str">
        <f>IF($A1513="","",INDEX(Project_Tracker!$AM$2:$AM$101,INT((ROW()-6)/17)+1))</f>
        <v/>
      </c>
      <c r="C1513" s="20" t="str">
        <f>IF($A1513="","",INDEX(Project_Tracker!$C$2:$C$101,INT((ROW()-6)/17)+1))</f>
        <v/>
      </c>
      <c r="D1513" s="6" t="str">
        <f>IF($A1513="","",INDEX(Project_Tracker!$T$2:$T$101,INT((ROW()-6)/17)+1))</f>
        <v/>
      </c>
      <c r="E1513" s="18">
        <f t="shared" si="115"/>
        <v>12</v>
      </c>
      <c r="F1513" s="23" t="str">
        <f>IF($A1513="","",INDEX('Logic &amp; Lists'!$I$4:$I$20,$E1513))</f>
        <v/>
      </c>
      <c r="G1513" s="18" t="str">
        <f>IF($A1513="","",INDEX('Logic &amp; Lists'!$J$4:$J$20,$E1513))</f>
        <v/>
      </c>
      <c r="H1513" s="6" t="str">
        <f t="shared" si="116"/>
        <v/>
      </c>
      <c r="I1513" s="18" t="str">
        <f t="shared" ca="1" si="117"/>
        <v/>
      </c>
      <c r="J1513" s="5" t="str">
        <f t="shared" si="118"/>
        <v/>
      </c>
      <c r="K1513" s="25"/>
      <c r="L1513" s="5" t="str">
        <f t="shared" si="119"/>
        <v/>
      </c>
      <c r="M1513" s="7"/>
      <c r="N1513" s="7"/>
      <c r="O1513" s="7"/>
      <c r="P1513" s="20" t="str">
        <f>IF($A1513="","",INDEX(Project_Tracker!$I$2:$I$101,INT((ROW()-6)/17)+1))</f>
        <v/>
      </c>
      <c r="Q1513" s="20" t="str">
        <f>IF($A1513="","",INDEX(Project_Tracker!$K$2:$K$101,INT((ROW()-6)/17)+1))</f>
        <v/>
      </c>
    </row>
    <row r="1514" spans="1:17" x14ac:dyDescent="0.2">
      <c r="A1514" s="20" t="str">
        <f>IF(INDEX(Project_Tracker!$AL$2:$AL$101,INT((ROW()-6)/17)+1)="","",INDEX(Project_Tracker!$AL$2:$AL$101,INT((ROW()-6)/17)+1))</f>
        <v/>
      </c>
      <c r="B1514" s="21" t="str">
        <f>IF($A1514="","",INDEX(Project_Tracker!$AM$2:$AM$101,INT((ROW()-6)/17)+1))</f>
        <v/>
      </c>
      <c r="C1514" s="20" t="str">
        <f>IF($A1514="","",INDEX(Project_Tracker!$C$2:$C$101,INT((ROW()-6)/17)+1))</f>
        <v/>
      </c>
      <c r="D1514" s="6" t="str">
        <f>IF($A1514="","",INDEX(Project_Tracker!$T$2:$T$101,INT((ROW()-6)/17)+1))</f>
        <v/>
      </c>
      <c r="E1514" s="18">
        <f t="shared" si="115"/>
        <v>13</v>
      </c>
      <c r="F1514" s="23" t="str">
        <f>IF($A1514="","",INDEX('Logic &amp; Lists'!$I$4:$I$20,$E1514))</f>
        <v/>
      </c>
      <c r="G1514" s="18" t="str">
        <f>IF($A1514="","",INDEX('Logic &amp; Lists'!$J$4:$J$20,$E1514))</f>
        <v/>
      </c>
      <c r="H1514" s="6" t="str">
        <f t="shared" si="116"/>
        <v/>
      </c>
      <c r="I1514" s="18" t="str">
        <f t="shared" ca="1" si="117"/>
        <v/>
      </c>
      <c r="J1514" s="5" t="str">
        <f t="shared" si="118"/>
        <v/>
      </c>
      <c r="K1514" s="25"/>
      <c r="L1514" s="5" t="str">
        <f t="shared" si="119"/>
        <v/>
      </c>
      <c r="M1514" s="7"/>
      <c r="N1514" s="7"/>
      <c r="O1514" s="7"/>
      <c r="P1514" s="20" t="str">
        <f>IF($A1514="","",INDEX(Project_Tracker!$I$2:$I$101,INT((ROW()-6)/17)+1))</f>
        <v/>
      </c>
      <c r="Q1514" s="20" t="str">
        <f>IF($A1514="","",INDEX(Project_Tracker!$K$2:$K$101,INT((ROW()-6)/17)+1))</f>
        <v/>
      </c>
    </row>
    <row r="1515" spans="1:17" x14ac:dyDescent="0.2">
      <c r="A1515" s="20" t="str">
        <f>IF(INDEX(Project_Tracker!$AL$2:$AL$101,INT((ROW()-6)/17)+1)="","",INDEX(Project_Tracker!$AL$2:$AL$101,INT((ROW()-6)/17)+1))</f>
        <v/>
      </c>
      <c r="B1515" s="21" t="str">
        <f>IF($A1515="","",INDEX(Project_Tracker!$AM$2:$AM$101,INT((ROW()-6)/17)+1))</f>
        <v/>
      </c>
      <c r="C1515" s="20" t="str">
        <f>IF($A1515="","",INDEX(Project_Tracker!$C$2:$C$101,INT((ROW()-6)/17)+1))</f>
        <v/>
      </c>
      <c r="D1515" s="6" t="str">
        <f>IF($A1515="","",INDEX(Project_Tracker!$T$2:$T$101,INT((ROW()-6)/17)+1))</f>
        <v/>
      </c>
      <c r="E1515" s="18">
        <f t="shared" si="115"/>
        <v>14</v>
      </c>
      <c r="F1515" s="23" t="str">
        <f>IF($A1515="","",INDEX('Logic &amp; Lists'!$I$4:$I$20,$E1515))</f>
        <v/>
      </c>
      <c r="G1515" s="18" t="str">
        <f>IF($A1515="","",INDEX('Logic &amp; Lists'!$J$4:$J$20,$E1515))</f>
        <v/>
      </c>
      <c r="H1515" s="6" t="str">
        <f t="shared" si="116"/>
        <v/>
      </c>
      <c r="I1515" s="18" t="str">
        <f t="shared" ca="1" si="117"/>
        <v/>
      </c>
      <c r="J1515" s="5" t="str">
        <f t="shared" si="118"/>
        <v/>
      </c>
      <c r="K1515" s="25"/>
      <c r="L1515" s="5" t="str">
        <f t="shared" si="119"/>
        <v/>
      </c>
      <c r="M1515" s="7"/>
      <c r="N1515" s="7"/>
      <c r="O1515" s="7"/>
      <c r="P1515" s="20" t="str">
        <f>IF($A1515="","",INDEX(Project_Tracker!$I$2:$I$101,INT((ROW()-6)/17)+1))</f>
        <v/>
      </c>
      <c r="Q1515" s="20" t="str">
        <f>IF($A1515="","",INDEX(Project_Tracker!$K$2:$K$101,INT((ROW()-6)/17)+1))</f>
        <v/>
      </c>
    </row>
    <row r="1516" spans="1:17" x14ac:dyDescent="0.2">
      <c r="A1516" s="20" t="str">
        <f>IF(INDEX(Project_Tracker!$AL$2:$AL$101,INT((ROW()-6)/17)+1)="","",INDEX(Project_Tracker!$AL$2:$AL$101,INT((ROW()-6)/17)+1))</f>
        <v/>
      </c>
      <c r="B1516" s="21" t="str">
        <f>IF($A1516="","",INDEX(Project_Tracker!$AM$2:$AM$101,INT((ROW()-6)/17)+1))</f>
        <v/>
      </c>
      <c r="C1516" s="20" t="str">
        <f>IF($A1516="","",INDEX(Project_Tracker!$C$2:$C$101,INT((ROW()-6)/17)+1))</f>
        <v/>
      </c>
      <c r="D1516" s="6" t="str">
        <f>IF($A1516="","",INDEX(Project_Tracker!$T$2:$T$101,INT((ROW()-6)/17)+1))</f>
        <v/>
      </c>
      <c r="E1516" s="18">
        <f t="shared" si="115"/>
        <v>15</v>
      </c>
      <c r="F1516" s="23" t="str">
        <f>IF($A1516="","",INDEX('Logic &amp; Lists'!$I$4:$I$20,$E1516))</f>
        <v/>
      </c>
      <c r="G1516" s="18" t="str">
        <f>IF($A1516="","",INDEX('Logic &amp; Lists'!$J$4:$J$20,$E1516))</f>
        <v/>
      </c>
      <c r="H1516" s="6" t="str">
        <f t="shared" si="116"/>
        <v/>
      </c>
      <c r="I1516" s="18" t="str">
        <f t="shared" ca="1" si="117"/>
        <v/>
      </c>
      <c r="J1516" s="5" t="str">
        <f t="shared" si="118"/>
        <v/>
      </c>
      <c r="K1516" s="25"/>
      <c r="L1516" s="5" t="str">
        <f t="shared" si="119"/>
        <v/>
      </c>
      <c r="M1516" s="7"/>
      <c r="N1516" s="7"/>
      <c r="O1516" s="7"/>
      <c r="P1516" s="20" t="str">
        <f>IF($A1516="","",INDEX(Project_Tracker!$I$2:$I$101,INT((ROW()-6)/17)+1))</f>
        <v/>
      </c>
      <c r="Q1516" s="20" t="str">
        <f>IF($A1516="","",INDEX(Project_Tracker!$K$2:$K$101,INT((ROW()-6)/17)+1))</f>
        <v/>
      </c>
    </row>
    <row r="1517" spans="1:17" x14ac:dyDescent="0.2">
      <c r="A1517" s="20" t="str">
        <f>IF(INDEX(Project_Tracker!$AL$2:$AL$101,INT((ROW()-6)/17)+1)="","",INDEX(Project_Tracker!$AL$2:$AL$101,INT((ROW()-6)/17)+1))</f>
        <v/>
      </c>
      <c r="B1517" s="21" t="str">
        <f>IF($A1517="","",INDEX(Project_Tracker!$AM$2:$AM$101,INT((ROW()-6)/17)+1))</f>
        <v/>
      </c>
      <c r="C1517" s="20" t="str">
        <f>IF($A1517="","",INDEX(Project_Tracker!$C$2:$C$101,INT((ROW()-6)/17)+1))</f>
        <v/>
      </c>
      <c r="D1517" s="6" t="str">
        <f>IF($A1517="","",INDEX(Project_Tracker!$T$2:$T$101,INT((ROW()-6)/17)+1))</f>
        <v/>
      </c>
      <c r="E1517" s="18">
        <f t="shared" si="115"/>
        <v>16</v>
      </c>
      <c r="F1517" s="23" t="str">
        <f>IF($A1517="","",INDEX('Logic &amp; Lists'!$I$4:$I$20,$E1517))</f>
        <v/>
      </c>
      <c r="G1517" s="18" t="str">
        <f>IF($A1517="","",INDEX('Logic &amp; Lists'!$J$4:$J$20,$E1517))</f>
        <v/>
      </c>
      <c r="H1517" s="6" t="str">
        <f t="shared" si="116"/>
        <v/>
      </c>
      <c r="I1517" s="18" t="str">
        <f t="shared" ca="1" si="117"/>
        <v/>
      </c>
      <c r="J1517" s="5" t="str">
        <f t="shared" si="118"/>
        <v/>
      </c>
      <c r="K1517" s="25"/>
      <c r="L1517" s="5" t="str">
        <f t="shared" si="119"/>
        <v/>
      </c>
      <c r="M1517" s="7"/>
      <c r="N1517" s="7"/>
      <c r="O1517" s="7"/>
      <c r="P1517" s="20" t="str">
        <f>IF($A1517="","",INDEX(Project_Tracker!$I$2:$I$101,INT((ROW()-6)/17)+1))</f>
        <v/>
      </c>
      <c r="Q1517" s="20" t="str">
        <f>IF($A1517="","",INDEX(Project_Tracker!$K$2:$K$101,INT((ROW()-6)/17)+1))</f>
        <v/>
      </c>
    </row>
    <row r="1518" spans="1:17" x14ac:dyDescent="0.2">
      <c r="A1518" s="20" t="str">
        <f>IF(INDEX(Project_Tracker!$AL$2:$AL$101,INT((ROW()-6)/17)+1)="","",INDEX(Project_Tracker!$AL$2:$AL$101,INT((ROW()-6)/17)+1))</f>
        <v/>
      </c>
      <c r="B1518" s="21" t="str">
        <f>IF($A1518="","",INDEX(Project_Tracker!$AM$2:$AM$101,INT((ROW()-6)/17)+1))</f>
        <v/>
      </c>
      <c r="C1518" s="20" t="str">
        <f>IF($A1518="","",INDEX(Project_Tracker!$C$2:$C$101,INT((ROW()-6)/17)+1))</f>
        <v/>
      </c>
      <c r="D1518" s="6" t="str">
        <f>IF($A1518="","",INDEX(Project_Tracker!$T$2:$T$101,INT((ROW()-6)/17)+1))</f>
        <v/>
      </c>
      <c r="E1518" s="18">
        <f t="shared" si="115"/>
        <v>17</v>
      </c>
      <c r="F1518" s="23" t="str">
        <f>IF($A1518="","",INDEX('Logic &amp; Lists'!$I$4:$I$20,$E1518))</f>
        <v/>
      </c>
      <c r="G1518" s="18" t="str">
        <f>IF($A1518="","",INDEX('Logic &amp; Lists'!$J$4:$J$20,$E1518))</f>
        <v/>
      </c>
      <c r="H1518" s="6" t="str">
        <f t="shared" si="116"/>
        <v/>
      </c>
      <c r="I1518" s="18" t="str">
        <f t="shared" ca="1" si="117"/>
        <v/>
      </c>
      <c r="J1518" s="5" t="str">
        <f t="shared" si="118"/>
        <v/>
      </c>
      <c r="K1518" s="25"/>
      <c r="L1518" s="5" t="str">
        <f t="shared" si="119"/>
        <v/>
      </c>
      <c r="M1518" s="7"/>
      <c r="N1518" s="7"/>
      <c r="O1518" s="7"/>
      <c r="P1518" s="20" t="str">
        <f>IF($A1518="","",INDEX(Project_Tracker!$I$2:$I$101,INT((ROW()-6)/17)+1))</f>
        <v/>
      </c>
      <c r="Q1518" s="20" t="str">
        <f>IF($A1518="","",INDEX(Project_Tracker!$K$2:$K$101,INT((ROW()-6)/17)+1))</f>
        <v/>
      </c>
    </row>
    <row r="1519" spans="1:17" x14ac:dyDescent="0.2">
      <c r="A1519" s="20" t="str">
        <f>IF(INDEX(Project_Tracker!$AL$2:$AL$101,INT((ROW()-6)/17)+1)="","",INDEX(Project_Tracker!$AL$2:$AL$101,INT((ROW()-6)/17)+1))</f>
        <v/>
      </c>
      <c r="B1519" s="21" t="str">
        <f>IF($A1519="","",INDEX(Project_Tracker!$AM$2:$AM$101,INT((ROW()-6)/17)+1))</f>
        <v/>
      </c>
      <c r="C1519" s="20" t="str">
        <f>IF($A1519="","",INDEX(Project_Tracker!$C$2:$C$101,INT((ROW()-6)/17)+1))</f>
        <v/>
      </c>
      <c r="D1519" s="6" t="str">
        <f>IF($A1519="","",INDEX(Project_Tracker!$T$2:$T$101,INT((ROW()-6)/17)+1))</f>
        <v/>
      </c>
      <c r="E1519" s="18">
        <f t="shared" si="115"/>
        <v>1</v>
      </c>
      <c r="F1519" s="23" t="str">
        <f>IF($A1519="","",INDEX('Logic &amp; Lists'!$I$4:$I$20,$E1519))</f>
        <v/>
      </c>
      <c r="G1519" s="18" t="str">
        <f>IF($A1519="","",INDEX('Logic &amp; Lists'!$J$4:$J$20,$E1519))</f>
        <v/>
      </c>
      <c r="H1519" s="6" t="str">
        <f t="shared" si="116"/>
        <v/>
      </c>
      <c r="I1519" s="18" t="str">
        <f t="shared" ca="1" si="117"/>
        <v/>
      </c>
      <c r="J1519" s="5" t="str">
        <f t="shared" si="118"/>
        <v/>
      </c>
      <c r="K1519" s="25"/>
      <c r="L1519" s="5" t="str">
        <f t="shared" si="119"/>
        <v/>
      </c>
      <c r="M1519" s="7"/>
      <c r="N1519" s="7"/>
      <c r="O1519" s="7"/>
      <c r="P1519" s="20" t="str">
        <f>IF($A1519="","",INDEX(Project_Tracker!$I$2:$I$101,INT((ROW()-6)/17)+1))</f>
        <v/>
      </c>
      <c r="Q1519" s="20" t="str">
        <f>IF($A1519="","",INDEX(Project_Tracker!$K$2:$K$101,INT((ROW()-6)/17)+1))</f>
        <v/>
      </c>
    </row>
    <row r="1520" spans="1:17" x14ac:dyDescent="0.2">
      <c r="A1520" s="20" t="str">
        <f>IF(INDEX(Project_Tracker!$AL$2:$AL$101,INT((ROW()-6)/17)+1)="","",INDEX(Project_Tracker!$AL$2:$AL$101,INT((ROW()-6)/17)+1))</f>
        <v/>
      </c>
      <c r="B1520" s="21" t="str">
        <f>IF($A1520="","",INDEX(Project_Tracker!$AM$2:$AM$101,INT((ROW()-6)/17)+1))</f>
        <v/>
      </c>
      <c r="C1520" s="20" t="str">
        <f>IF($A1520="","",INDEX(Project_Tracker!$C$2:$C$101,INT((ROW()-6)/17)+1))</f>
        <v/>
      </c>
      <c r="D1520" s="6" t="str">
        <f>IF($A1520="","",INDEX(Project_Tracker!$T$2:$T$101,INT((ROW()-6)/17)+1))</f>
        <v/>
      </c>
      <c r="E1520" s="18">
        <f t="shared" si="115"/>
        <v>2</v>
      </c>
      <c r="F1520" s="23" t="str">
        <f>IF($A1520="","",INDEX('Logic &amp; Lists'!$I$4:$I$20,$E1520))</f>
        <v/>
      </c>
      <c r="G1520" s="18" t="str">
        <f>IF($A1520="","",INDEX('Logic &amp; Lists'!$J$4:$J$20,$E1520))</f>
        <v/>
      </c>
      <c r="H1520" s="6" t="str">
        <f t="shared" si="116"/>
        <v/>
      </c>
      <c r="I1520" s="18" t="str">
        <f t="shared" ca="1" si="117"/>
        <v/>
      </c>
      <c r="J1520" s="5" t="str">
        <f t="shared" si="118"/>
        <v/>
      </c>
      <c r="K1520" s="25"/>
      <c r="L1520" s="5" t="str">
        <f t="shared" si="119"/>
        <v/>
      </c>
      <c r="M1520" s="7"/>
      <c r="N1520" s="7"/>
      <c r="O1520" s="7"/>
      <c r="P1520" s="20" t="str">
        <f>IF($A1520="","",INDEX(Project_Tracker!$I$2:$I$101,INT((ROW()-6)/17)+1))</f>
        <v/>
      </c>
      <c r="Q1520" s="20" t="str">
        <f>IF($A1520="","",INDEX(Project_Tracker!$K$2:$K$101,INT((ROW()-6)/17)+1))</f>
        <v/>
      </c>
    </row>
    <row r="1521" spans="1:17" x14ac:dyDescent="0.2">
      <c r="A1521" s="20" t="str">
        <f>IF(INDEX(Project_Tracker!$AL$2:$AL$101,INT((ROW()-6)/17)+1)="","",INDEX(Project_Tracker!$AL$2:$AL$101,INT((ROW()-6)/17)+1))</f>
        <v/>
      </c>
      <c r="B1521" s="21" t="str">
        <f>IF($A1521="","",INDEX(Project_Tracker!$AM$2:$AM$101,INT((ROW()-6)/17)+1))</f>
        <v/>
      </c>
      <c r="C1521" s="20" t="str">
        <f>IF($A1521="","",INDEX(Project_Tracker!$C$2:$C$101,INT((ROW()-6)/17)+1))</f>
        <v/>
      </c>
      <c r="D1521" s="6" t="str">
        <f>IF($A1521="","",INDEX(Project_Tracker!$T$2:$T$101,INT((ROW()-6)/17)+1))</f>
        <v/>
      </c>
      <c r="E1521" s="18">
        <f t="shared" si="115"/>
        <v>3</v>
      </c>
      <c r="F1521" s="23" t="str">
        <f>IF($A1521="","",INDEX('Logic &amp; Lists'!$I$4:$I$20,$E1521))</f>
        <v/>
      </c>
      <c r="G1521" s="18" t="str">
        <f>IF($A1521="","",INDEX('Logic &amp; Lists'!$J$4:$J$20,$E1521))</f>
        <v/>
      </c>
      <c r="H1521" s="6" t="str">
        <f t="shared" si="116"/>
        <v/>
      </c>
      <c r="I1521" s="18" t="str">
        <f t="shared" ca="1" si="117"/>
        <v/>
      </c>
      <c r="J1521" s="5" t="str">
        <f t="shared" si="118"/>
        <v/>
      </c>
      <c r="K1521" s="25"/>
      <c r="L1521" s="5" t="str">
        <f t="shared" si="119"/>
        <v/>
      </c>
      <c r="M1521" s="7"/>
      <c r="N1521" s="7"/>
      <c r="O1521" s="7"/>
      <c r="P1521" s="20" t="str">
        <f>IF($A1521="","",INDEX(Project_Tracker!$I$2:$I$101,INT((ROW()-6)/17)+1))</f>
        <v/>
      </c>
      <c r="Q1521" s="20" t="str">
        <f>IF($A1521="","",INDEX(Project_Tracker!$K$2:$K$101,INT((ROW()-6)/17)+1))</f>
        <v/>
      </c>
    </row>
    <row r="1522" spans="1:17" x14ac:dyDescent="0.2">
      <c r="A1522" s="20" t="str">
        <f>IF(INDEX(Project_Tracker!$AL$2:$AL$101,INT((ROW()-6)/17)+1)="","",INDEX(Project_Tracker!$AL$2:$AL$101,INT((ROW()-6)/17)+1))</f>
        <v/>
      </c>
      <c r="B1522" s="21" t="str">
        <f>IF($A1522="","",INDEX(Project_Tracker!$AM$2:$AM$101,INT((ROW()-6)/17)+1))</f>
        <v/>
      </c>
      <c r="C1522" s="20" t="str">
        <f>IF($A1522="","",INDEX(Project_Tracker!$C$2:$C$101,INT((ROW()-6)/17)+1))</f>
        <v/>
      </c>
      <c r="D1522" s="6" t="str">
        <f>IF($A1522="","",INDEX(Project_Tracker!$T$2:$T$101,INT((ROW()-6)/17)+1))</f>
        <v/>
      </c>
      <c r="E1522" s="18">
        <f t="shared" si="115"/>
        <v>4</v>
      </c>
      <c r="F1522" s="23" t="str">
        <f>IF($A1522="","",INDEX('Logic &amp; Lists'!$I$4:$I$20,$E1522))</f>
        <v/>
      </c>
      <c r="G1522" s="18" t="str">
        <f>IF($A1522="","",INDEX('Logic &amp; Lists'!$J$4:$J$20,$E1522))</f>
        <v/>
      </c>
      <c r="H1522" s="6" t="str">
        <f t="shared" si="116"/>
        <v/>
      </c>
      <c r="I1522" s="18" t="str">
        <f t="shared" ca="1" si="117"/>
        <v/>
      </c>
      <c r="J1522" s="5" t="str">
        <f t="shared" si="118"/>
        <v/>
      </c>
      <c r="K1522" s="25"/>
      <c r="L1522" s="5" t="str">
        <f t="shared" si="119"/>
        <v/>
      </c>
      <c r="M1522" s="7"/>
      <c r="N1522" s="7"/>
      <c r="O1522" s="7"/>
      <c r="P1522" s="20" t="str">
        <f>IF($A1522="","",INDEX(Project_Tracker!$I$2:$I$101,INT((ROW()-6)/17)+1))</f>
        <v/>
      </c>
      <c r="Q1522" s="20" t="str">
        <f>IF($A1522="","",INDEX(Project_Tracker!$K$2:$K$101,INT((ROW()-6)/17)+1))</f>
        <v/>
      </c>
    </row>
    <row r="1523" spans="1:17" x14ac:dyDescent="0.2">
      <c r="A1523" s="20" t="str">
        <f>IF(INDEX(Project_Tracker!$AL$2:$AL$101,INT((ROW()-6)/17)+1)="","",INDEX(Project_Tracker!$AL$2:$AL$101,INT((ROW()-6)/17)+1))</f>
        <v/>
      </c>
      <c r="B1523" s="21" t="str">
        <f>IF($A1523="","",INDEX(Project_Tracker!$AM$2:$AM$101,INT((ROW()-6)/17)+1))</f>
        <v/>
      </c>
      <c r="C1523" s="20" t="str">
        <f>IF($A1523="","",INDEX(Project_Tracker!$C$2:$C$101,INT((ROW()-6)/17)+1))</f>
        <v/>
      </c>
      <c r="D1523" s="6" t="str">
        <f>IF($A1523="","",INDEX(Project_Tracker!$T$2:$T$101,INT((ROW()-6)/17)+1))</f>
        <v/>
      </c>
      <c r="E1523" s="18">
        <f t="shared" si="115"/>
        <v>5</v>
      </c>
      <c r="F1523" s="23" t="str">
        <f>IF($A1523="","",INDEX('Logic &amp; Lists'!$I$4:$I$20,$E1523))</f>
        <v/>
      </c>
      <c r="G1523" s="18" t="str">
        <f>IF($A1523="","",INDEX('Logic &amp; Lists'!$J$4:$J$20,$E1523))</f>
        <v/>
      </c>
      <c r="H1523" s="6" t="str">
        <f t="shared" si="116"/>
        <v/>
      </c>
      <c r="I1523" s="18" t="str">
        <f t="shared" ca="1" si="117"/>
        <v/>
      </c>
      <c r="J1523" s="5" t="str">
        <f t="shared" si="118"/>
        <v/>
      </c>
      <c r="K1523" s="25"/>
      <c r="L1523" s="5" t="str">
        <f t="shared" si="119"/>
        <v/>
      </c>
      <c r="M1523" s="7"/>
      <c r="N1523" s="7"/>
      <c r="O1523" s="7"/>
      <c r="P1523" s="20" t="str">
        <f>IF($A1523="","",INDEX(Project_Tracker!$I$2:$I$101,INT((ROW()-6)/17)+1))</f>
        <v/>
      </c>
      <c r="Q1523" s="20" t="str">
        <f>IF($A1523="","",INDEX(Project_Tracker!$K$2:$K$101,INT((ROW()-6)/17)+1))</f>
        <v/>
      </c>
    </row>
    <row r="1524" spans="1:17" x14ac:dyDescent="0.2">
      <c r="A1524" s="20" t="str">
        <f>IF(INDEX(Project_Tracker!$AL$2:$AL$101,INT((ROW()-6)/17)+1)="","",INDEX(Project_Tracker!$AL$2:$AL$101,INT((ROW()-6)/17)+1))</f>
        <v/>
      </c>
      <c r="B1524" s="21" t="str">
        <f>IF($A1524="","",INDEX(Project_Tracker!$AM$2:$AM$101,INT((ROW()-6)/17)+1))</f>
        <v/>
      </c>
      <c r="C1524" s="20" t="str">
        <f>IF($A1524="","",INDEX(Project_Tracker!$C$2:$C$101,INT((ROW()-6)/17)+1))</f>
        <v/>
      </c>
      <c r="D1524" s="6" t="str">
        <f>IF($A1524="","",INDEX(Project_Tracker!$T$2:$T$101,INT((ROW()-6)/17)+1))</f>
        <v/>
      </c>
      <c r="E1524" s="18">
        <f t="shared" si="115"/>
        <v>6</v>
      </c>
      <c r="F1524" s="23" t="str">
        <f>IF($A1524="","",INDEX('Logic &amp; Lists'!$I$4:$I$20,$E1524))</f>
        <v/>
      </c>
      <c r="G1524" s="18" t="str">
        <f>IF($A1524="","",INDEX('Logic &amp; Lists'!$J$4:$J$20,$E1524))</f>
        <v/>
      </c>
      <c r="H1524" s="6" t="str">
        <f t="shared" si="116"/>
        <v/>
      </c>
      <c r="I1524" s="18" t="str">
        <f t="shared" ca="1" si="117"/>
        <v/>
      </c>
      <c r="J1524" s="5" t="str">
        <f t="shared" si="118"/>
        <v/>
      </c>
      <c r="K1524" s="25"/>
      <c r="L1524" s="5" t="str">
        <f t="shared" si="119"/>
        <v/>
      </c>
      <c r="M1524" s="7"/>
      <c r="N1524" s="7"/>
      <c r="O1524" s="7"/>
      <c r="P1524" s="20" t="str">
        <f>IF($A1524="","",INDEX(Project_Tracker!$I$2:$I$101,INT((ROW()-6)/17)+1))</f>
        <v/>
      </c>
      <c r="Q1524" s="20" t="str">
        <f>IF($A1524="","",INDEX(Project_Tracker!$K$2:$K$101,INT((ROW()-6)/17)+1))</f>
        <v/>
      </c>
    </row>
    <row r="1525" spans="1:17" x14ac:dyDescent="0.2">
      <c r="A1525" s="20" t="str">
        <f>IF(INDEX(Project_Tracker!$AL$2:$AL$101,INT((ROW()-6)/17)+1)="","",INDEX(Project_Tracker!$AL$2:$AL$101,INT((ROW()-6)/17)+1))</f>
        <v/>
      </c>
      <c r="B1525" s="21" t="str">
        <f>IF($A1525="","",INDEX(Project_Tracker!$AM$2:$AM$101,INT((ROW()-6)/17)+1))</f>
        <v/>
      </c>
      <c r="C1525" s="20" t="str">
        <f>IF($A1525="","",INDEX(Project_Tracker!$C$2:$C$101,INT((ROW()-6)/17)+1))</f>
        <v/>
      </c>
      <c r="D1525" s="6" t="str">
        <f>IF($A1525="","",INDEX(Project_Tracker!$T$2:$T$101,INT((ROW()-6)/17)+1))</f>
        <v/>
      </c>
      <c r="E1525" s="18">
        <f t="shared" si="115"/>
        <v>7</v>
      </c>
      <c r="F1525" s="23" t="str">
        <f>IF($A1525="","",INDEX('Logic &amp; Lists'!$I$4:$I$20,$E1525))</f>
        <v/>
      </c>
      <c r="G1525" s="18" t="str">
        <f>IF($A1525="","",INDEX('Logic &amp; Lists'!$J$4:$J$20,$E1525))</f>
        <v/>
      </c>
      <c r="H1525" s="6" t="str">
        <f t="shared" si="116"/>
        <v/>
      </c>
      <c r="I1525" s="18" t="str">
        <f t="shared" ca="1" si="117"/>
        <v/>
      </c>
      <c r="J1525" s="5" t="str">
        <f t="shared" si="118"/>
        <v/>
      </c>
      <c r="K1525" s="25"/>
      <c r="L1525" s="5" t="str">
        <f t="shared" si="119"/>
        <v/>
      </c>
      <c r="M1525" s="7"/>
      <c r="N1525" s="7"/>
      <c r="O1525" s="7"/>
      <c r="P1525" s="20" t="str">
        <f>IF($A1525="","",INDEX(Project_Tracker!$I$2:$I$101,INT((ROW()-6)/17)+1))</f>
        <v/>
      </c>
      <c r="Q1525" s="20" t="str">
        <f>IF($A1525="","",INDEX(Project_Tracker!$K$2:$K$101,INT((ROW()-6)/17)+1))</f>
        <v/>
      </c>
    </row>
    <row r="1526" spans="1:17" x14ac:dyDescent="0.2">
      <c r="A1526" s="20" t="str">
        <f>IF(INDEX(Project_Tracker!$AL$2:$AL$101,INT((ROW()-6)/17)+1)="","",INDEX(Project_Tracker!$AL$2:$AL$101,INT((ROW()-6)/17)+1))</f>
        <v/>
      </c>
      <c r="B1526" s="21" t="str">
        <f>IF($A1526="","",INDEX(Project_Tracker!$AM$2:$AM$101,INT((ROW()-6)/17)+1))</f>
        <v/>
      </c>
      <c r="C1526" s="20" t="str">
        <f>IF($A1526="","",INDEX(Project_Tracker!$C$2:$C$101,INT((ROW()-6)/17)+1))</f>
        <v/>
      </c>
      <c r="D1526" s="6" t="str">
        <f>IF($A1526="","",INDEX(Project_Tracker!$T$2:$T$101,INT((ROW()-6)/17)+1))</f>
        <v/>
      </c>
      <c r="E1526" s="18">
        <f t="shared" si="115"/>
        <v>8</v>
      </c>
      <c r="F1526" s="23" t="str">
        <f>IF($A1526="","",INDEX('Logic &amp; Lists'!$I$4:$I$20,$E1526))</f>
        <v/>
      </c>
      <c r="G1526" s="18" t="str">
        <f>IF($A1526="","",INDEX('Logic &amp; Lists'!$J$4:$J$20,$E1526))</f>
        <v/>
      </c>
      <c r="H1526" s="6" t="str">
        <f t="shared" si="116"/>
        <v/>
      </c>
      <c r="I1526" s="18" t="str">
        <f t="shared" ca="1" si="117"/>
        <v/>
      </c>
      <c r="J1526" s="5" t="str">
        <f t="shared" si="118"/>
        <v/>
      </c>
      <c r="K1526" s="25"/>
      <c r="L1526" s="5" t="str">
        <f t="shared" si="119"/>
        <v/>
      </c>
      <c r="M1526" s="7"/>
      <c r="N1526" s="7"/>
      <c r="O1526" s="7"/>
      <c r="P1526" s="20" t="str">
        <f>IF($A1526="","",INDEX(Project_Tracker!$I$2:$I$101,INT((ROW()-6)/17)+1))</f>
        <v/>
      </c>
      <c r="Q1526" s="20" t="str">
        <f>IF($A1526="","",INDEX(Project_Tracker!$K$2:$K$101,INT((ROW()-6)/17)+1))</f>
        <v/>
      </c>
    </row>
    <row r="1527" spans="1:17" x14ac:dyDescent="0.2">
      <c r="A1527" s="20" t="str">
        <f>IF(INDEX(Project_Tracker!$AL$2:$AL$101,INT((ROW()-6)/17)+1)="","",INDEX(Project_Tracker!$AL$2:$AL$101,INT((ROW()-6)/17)+1))</f>
        <v/>
      </c>
      <c r="B1527" s="21" t="str">
        <f>IF($A1527="","",INDEX(Project_Tracker!$AM$2:$AM$101,INT((ROW()-6)/17)+1))</f>
        <v/>
      </c>
      <c r="C1527" s="20" t="str">
        <f>IF($A1527="","",INDEX(Project_Tracker!$C$2:$C$101,INT((ROW()-6)/17)+1))</f>
        <v/>
      </c>
      <c r="D1527" s="6" t="str">
        <f>IF($A1527="","",INDEX(Project_Tracker!$T$2:$T$101,INT((ROW()-6)/17)+1))</f>
        <v/>
      </c>
      <c r="E1527" s="18">
        <f t="shared" si="115"/>
        <v>9</v>
      </c>
      <c r="F1527" s="23" t="str">
        <f>IF($A1527="","",INDEX('Logic &amp; Lists'!$I$4:$I$20,$E1527))</f>
        <v/>
      </c>
      <c r="G1527" s="18" t="str">
        <f>IF($A1527="","",INDEX('Logic &amp; Lists'!$J$4:$J$20,$E1527))</f>
        <v/>
      </c>
      <c r="H1527" s="6" t="str">
        <f t="shared" si="116"/>
        <v/>
      </c>
      <c r="I1527" s="18" t="str">
        <f t="shared" ca="1" si="117"/>
        <v/>
      </c>
      <c r="J1527" s="5" t="str">
        <f t="shared" si="118"/>
        <v/>
      </c>
      <c r="K1527" s="25"/>
      <c r="L1527" s="5" t="str">
        <f t="shared" si="119"/>
        <v/>
      </c>
      <c r="M1527" s="7"/>
      <c r="N1527" s="7"/>
      <c r="O1527" s="7"/>
      <c r="P1527" s="20" t="str">
        <f>IF($A1527="","",INDEX(Project_Tracker!$I$2:$I$101,INT((ROW()-6)/17)+1))</f>
        <v/>
      </c>
      <c r="Q1527" s="20" t="str">
        <f>IF($A1527="","",INDEX(Project_Tracker!$K$2:$K$101,INT((ROW()-6)/17)+1))</f>
        <v/>
      </c>
    </row>
    <row r="1528" spans="1:17" x14ac:dyDescent="0.2">
      <c r="A1528" s="20" t="str">
        <f>IF(INDEX(Project_Tracker!$AL$2:$AL$101,INT((ROW()-6)/17)+1)="","",INDEX(Project_Tracker!$AL$2:$AL$101,INT((ROW()-6)/17)+1))</f>
        <v/>
      </c>
      <c r="B1528" s="21" t="str">
        <f>IF($A1528="","",INDEX(Project_Tracker!$AM$2:$AM$101,INT((ROW()-6)/17)+1))</f>
        <v/>
      </c>
      <c r="C1528" s="20" t="str">
        <f>IF($A1528="","",INDEX(Project_Tracker!$C$2:$C$101,INT((ROW()-6)/17)+1))</f>
        <v/>
      </c>
      <c r="D1528" s="6" t="str">
        <f>IF($A1528="","",INDEX(Project_Tracker!$T$2:$T$101,INT((ROW()-6)/17)+1))</f>
        <v/>
      </c>
      <c r="E1528" s="18">
        <f t="shared" si="115"/>
        <v>10</v>
      </c>
      <c r="F1528" s="23" t="str">
        <f>IF($A1528="","",INDEX('Logic &amp; Lists'!$I$4:$I$20,$E1528))</f>
        <v/>
      </c>
      <c r="G1528" s="18" t="str">
        <f>IF($A1528="","",INDEX('Logic &amp; Lists'!$J$4:$J$20,$E1528))</f>
        <v/>
      </c>
      <c r="H1528" s="6" t="str">
        <f t="shared" si="116"/>
        <v/>
      </c>
      <c r="I1528" s="18" t="str">
        <f t="shared" ca="1" si="117"/>
        <v/>
      </c>
      <c r="J1528" s="5" t="str">
        <f t="shared" si="118"/>
        <v/>
      </c>
      <c r="K1528" s="25"/>
      <c r="L1528" s="5" t="str">
        <f t="shared" si="119"/>
        <v/>
      </c>
      <c r="M1528" s="7"/>
      <c r="N1528" s="7"/>
      <c r="O1528" s="7"/>
      <c r="P1528" s="20" t="str">
        <f>IF($A1528="","",INDEX(Project_Tracker!$I$2:$I$101,INT((ROW()-6)/17)+1))</f>
        <v/>
      </c>
      <c r="Q1528" s="20" t="str">
        <f>IF($A1528="","",INDEX(Project_Tracker!$K$2:$K$101,INT((ROW()-6)/17)+1))</f>
        <v/>
      </c>
    </row>
    <row r="1529" spans="1:17" x14ac:dyDescent="0.2">
      <c r="A1529" s="20" t="str">
        <f>IF(INDEX(Project_Tracker!$AL$2:$AL$101,INT((ROW()-6)/17)+1)="","",INDEX(Project_Tracker!$AL$2:$AL$101,INT((ROW()-6)/17)+1))</f>
        <v/>
      </c>
      <c r="B1529" s="21" t="str">
        <f>IF($A1529="","",INDEX(Project_Tracker!$AM$2:$AM$101,INT((ROW()-6)/17)+1))</f>
        <v/>
      </c>
      <c r="C1529" s="20" t="str">
        <f>IF($A1529="","",INDEX(Project_Tracker!$C$2:$C$101,INT((ROW()-6)/17)+1))</f>
        <v/>
      </c>
      <c r="D1529" s="6" t="str">
        <f>IF($A1529="","",INDEX(Project_Tracker!$T$2:$T$101,INT((ROW()-6)/17)+1))</f>
        <v/>
      </c>
      <c r="E1529" s="18">
        <f t="shared" si="115"/>
        <v>11</v>
      </c>
      <c r="F1529" s="23" t="str">
        <f>IF($A1529="","",INDEX('Logic &amp; Lists'!$I$4:$I$20,$E1529))</f>
        <v/>
      </c>
      <c r="G1529" s="18" t="str">
        <f>IF($A1529="","",INDEX('Logic &amp; Lists'!$J$4:$J$20,$E1529))</f>
        <v/>
      </c>
      <c r="H1529" s="6" t="str">
        <f t="shared" si="116"/>
        <v/>
      </c>
      <c r="I1529" s="18" t="str">
        <f t="shared" ca="1" si="117"/>
        <v/>
      </c>
      <c r="J1529" s="5" t="str">
        <f t="shared" si="118"/>
        <v/>
      </c>
      <c r="K1529" s="25"/>
      <c r="L1529" s="5" t="str">
        <f t="shared" si="119"/>
        <v/>
      </c>
      <c r="M1529" s="7"/>
      <c r="N1529" s="7"/>
      <c r="O1529" s="7"/>
      <c r="P1529" s="20" t="str">
        <f>IF($A1529="","",INDEX(Project_Tracker!$I$2:$I$101,INT((ROW()-6)/17)+1))</f>
        <v/>
      </c>
      <c r="Q1529" s="20" t="str">
        <f>IF($A1529="","",INDEX(Project_Tracker!$K$2:$K$101,INT((ROW()-6)/17)+1))</f>
        <v/>
      </c>
    </row>
    <row r="1530" spans="1:17" x14ac:dyDescent="0.2">
      <c r="A1530" s="20" t="str">
        <f>IF(INDEX(Project_Tracker!$AL$2:$AL$101,INT((ROW()-6)/17)+1)="","",INDEX(Project_Tracker!$AL$2:$AL$101,INT((ROW()-6)/17)+1))</f>
        <v/>
      </c>
      <c r="B1530" s="21" t="str">
        <f>IF($A1530="","",INDEX(Project_Tracker!$AM$2:$AM$101,INT((ROW()-6)/17)+1))</f>
        <v/>
      </c>
      <c r="C1530" s="20" t="str">
        <f>IF($A1530="","",INDEX(Project_Tracker!$C$2:$C$101,INT((ROW()-6)/17)+1))</f>
        <v/>
      </c>
      <c r="D1530" s="6" t="str">
        <f>IF($A1530="","",INDEX(Project_Tracker!$T$2:$T$101,INT((ROW()-6)/17)+1))</f>
        <v/>
      </c>
      <c r="E1530" s="18">
        <f t="shared" si="115"/>
        <v>12</v>
      </c>
      <c r="F1530" s="23" t="str">
        <f>IF($A1530="","",INDEX('Logic &amp; Lists'!$I$4:$I$20,$E1530))</f>
        <v/>
      </c>
      <c r="G1530" s="18" t="str">
        <f>IF($A1530="","",INDEX('Logic &amp; Lists'!$J$4:$J$20,$E1530))</f>
        <v/>
      </c>
      <c r="H1530" s="6" t="str">
        <f t="shared" si="116"/>
        <v/>
      </c>
      <c r="I1530" s="18" t="str">
        <f t="shared" ca="1" si="117"/>
        <v/>
      </c>
      <c r="J1530" s="5" t="str">
        <f t="shared" si="118"/>
        <v/>
      </c>
      <c r="K1530" s="25"/>
      <c r="L1530" s="5" t="str">
        <f t="shared" si="119"/>
        <v/>
      </c>
      <c r="M1530" s="7"/>
      <c r="N1530" s="7"/>
      <c r="O1530" s="7"/>
      <c r="P1530" s="20" t="str">
        <f>IF($A1530="","",INDEX(Project_Tracker!$I$2:$I$101,INT((ROW()-6)/17)+1))</f>
        <v/>
      </c>
      <c r="Q1530" s="20" t="str">
        <f>IF($A1530="","",INDEX(Project_Tracker!$K$2:$K$101,INT((ROW()-6)/17)+1))</f>
        <v/>
      </c>
    </row>
    <row r="1531" spans="1:17" x14ac:dyDescent="0.2">
      <c r="A1531" s="20" t="str">
        <f>IF(INDEX(Project_Tracker!$AL$2:$AL$101,INT((ROW()-6)/17)+1)="","",INDEX(Project_Tracker!$AL$2:$AL$101,INT((ROW()-6)/17)+1))</f>
        <v/>
      </c>
      <c r="B1531" s="21" t="str">
        <f>IF($A1531="","",INDEX(Project_Tracker!$AM$2:$AM$101,INT((ROW()-6)/17)+1))</f>
        <v/>
      </c>
      <c r="C1531" s="20" t="str">
        <f>IF($A1531="","",INDEX(Project_Tracker!$C$2:$C$101,INT((ROW()-6)/17)+1))</f>
        <v/>
      </c>
      <c r="D1531" s="6" t="str">
        <f>IF($A1531="","",INDEX(Project_Tracker!$T$2:$T$101,INT((ROW()-6)/17)+1))</f>
        <v/>
      </c>
      <c r="E1531" s="18">
        <f t="shared" si="115"/>
        <v>13</v>
      </c>
      <c r="F1531" s="23" t="str">
        <f>IF($A1531="","",INDEX('Logic &amp; Lists'!$I$4:$I$20,$E1531))</f>
        <v/>
      </c>
      <c r="G1531" s="18" t="str">
        <f>IF($A1531="","",INDEX('Logic &amp; Lists'!$J$4:$J$20,$E1531))</f>
        <v/>
      </c>
      <c r="H1531" s="6" t="str">
        <f t="shared" si="116"/>
        <v/>
      </c>
      <c r="I1531" s="18" t="str">
        <f t="shared" ca="1" si="117"/>
        <v/>
      </c>
      <c r="J1531" s="5" t="str">
        <f t="shared" si="118"/>
        <v/>
      </c>
      <c r="K1531" s="25"/>
      <c r="L1531" s="5" t="str">
        <f t="shared" si="119"/>
        <v/>
      </c>
      <c r="M1531" s="7"/>
      <c r="N1531" s="7"/>
      <c r="O1531" s="7"/>
      <c r="P1531" s="20" t="str">
        <f>IF($A1531="","",INDEX(Project_Tracker!$I$2:$I$101,INT((ROW()-6)/17)+1))</f>
        <v/>
      </c>
      <c r="Q1531" s="20" t="str">
        <f>IF($A1531="","",INDEX(Project_Tracker!$K$2:$K$101,INT((ROW()-6)/17)+1))</f>
        <v/>
      </c>
    </row>
    <row r="1532" spans="1:17" x14ac:dyDescent="0.2">
      <c r="A1532" s="20" t="str">
        <f>IF(INDEX(Project_Tracker!$AL$2:$AL$101,INT((ROW()-6)/17)+1)="","",INDEX(Project_Tracker!$AL$2:$AL$101,INT((ROW()-6)/17)+1))</f>
        <v/>
      </c>
      <c r="B1532" s="21" t="str">
        <f>IF($A1532="","",INDEX(Project_Tracker!$AM$2:$AM$101,INT((ROW()-6)/17)+1))</f>
        <v/>
      </c>
      <c r="C1532" s="20" t="str">
        <f>IF($A1532="","",INDEX(Project_Tracker!$C$2:$C$101,INT((ROW()-6)/17)+1))</f>
        <v/>
      </c>
      <c r="D1532" s="6" t="str">
        <f>IF($A1532="","",INDEX(Project_Tracker!$T$2:$T$101,INT((ROW()-6)/17)+1))</f>
        <v/>
      </c>
      <c r="E1532" s="18">
        <f t="shared" si="115"/>
        <v>14</v>
      </c>
      <c r="F1532" s="23" t="str">
        <f>IF($A1532="","",INDEX('Logic &amp; Lists'!$I$4:$I$20,$E1532))</f>
        <v/>
      </c>
      <c r="G1532" s="18" t="str">
        <f>IF($A1532="","",INDEX('Logic &amp; Lists'!$J$4:$J$20,$E1532))</f>
        <v/>
      </c>
      <c r="H1532" s="6" t="str">
        <f t="shared" si="116"/>
        <v/>
      </c>
      <c r="I1532" s="18" t="str">
        <f t="shared" ca="1" si="117"/>
        <v/>
      </c>
      <c r="J1532" s="5" t="str">
        <f t="shared" si="118"/>
        <v/>
      </c>
      <c r="K1532" s="25"/>
      <c r="L1532" s="5" t="str">
        <f t="shared" si="119"/>
        <v/>
      </c>
      <c r="M1532" s="7"/>
      <c r="N1532" s="7"/>
      <c r="O1532" s="7"/>
      <c r="P1532" s="20" t="str">
        <f>IF($A1532="","",INDEX(Project_Tracker!$I$2:$I$101,INT((ROW()-6)/17)+1))</f>
        <v/>
      </c>
      <c r="Q1532" s="20" t="str">
        <f>IF($A1532="","",INDEX(Project_Tracker!$K$2:$K$101,INT((ROW()-6)/17)+1))</f>
        <v/>
      </c>
    </row>
    <row r="1533" spans="1:17" x14ac:dyDescent="0.2">
      <c r="A1533" s="20" t="str">
        <f>IF(INDEX(Project_Tracker!$AL$2:$AL$101,INT((ROW()-6)/17)+1)="","",INDEX(Project_Tracker!$AL$2:$AL$101,INT((ROW()-6)/17)+1))</f>
        <v/>
      </c>
      <c r="B1533" s="21" t="str">
        <f>IF($A1533="","",INDEX(Project_Tracker!$AM$2:$AM$101,INT((ROW()-6)/17)+1))</f>
        <v/>
      </c>
      <c r="C1533" s="20" t="str">
        <f>IF($A1533="","",INDEX(Project_Tracker!$C$2:$C$101,INT((ROW()-6)/17)+1))</f>
        <v/>
      </c>
      <c r="D1533" s="6" t="str">
        <f>IF($A1533="","",INDEX(Project_Tracker!$T$2:$T$101,INT((ROW()-6)/17)+1))</f>
        <v/>
      </c>
      <c r="E1533" s="18">
        <f t="shared" si="115"/>
        <v>15</v>
      </c>
      <c r="F1533" s="23" t="str">
        <f>IF($A1533="","",INDEX('Logic &amp; Lists'!$I$4:$I$20,$E1533))</f>
        <v/>
      </c>
      <c r="G1533" s="18" t="str">
        <f>IF($A1533="","",INDEX('Logic &amp; Lists'!$J$4:$J$20,$E1533))</f>
        <v/>
      </c>
      <c r="H1533" s="6" t="str">
        <f t="shared" si="116"/>
        <v/>
      </c>
      <c r="I1533" s="18" t="str">
        <f t="shared" ca="1" si="117"/>
        <v/>
      </c>
      <c r="J1533" s="5" t="str">
        <f t="shared" si="118"/>
        <v/>
      </c>
      <c r="K1533" s="25"/>
      <c r="L1533" s="5" t="str">
        <f t="shared" si="119"/>
        <v/>
      </c>
      <c r="M1533" s="7"/>
      <c r="N1533" s="7"/>
      <c r="O1533" s="7"/>
      <c r="P1533" s="20" t="str">
        <f>IF($A1533="","",INDEX(Project_Tracker!$I$2:$I$101,INT((ROW()-6)/17)+1))</f>
        <v/>
      </c>
      <c r="Q1533" s="20" t="str">
        <f>IF($A1533="","",INDEX(Project_Tracker!$K$2:$K$101,INT((ROW()-6)/17)+1))</f>
        <v/>
      </c>
    </row>
    <row r="1534" spans="1:17" x14ac:dyDescent="0.2">
      <c r="A1534" s="20" t="str">
        <f>IF(INDEX(Project_Tracker!$AL$2:$AL$101,INT((ROW()-6)/17)+1)="","",INDEX(Project_Tracker!$AL$2:$AL$101,INT((ROW()-6)/17)+1))</f>
        <v/>
      </c>
      <c r="B1534" s="21" t="str">
        <f>IF($A1534="","",INDEX(Project_Tracker!$AM$2:$AM$101,INT((ROW()-6)/17)+1))</f>
        <v/>
      </c>
      <c r="C1534" s="20" t="str">
        <f>IF($A1534="","",INDEX(Project_Tracker!$C$2:$C$101,INT((ROW()-6)/17)+1))</f>
        <v/>
      </c>
      <c r="D1534" s="6" t="str">
        <f>IF($A1534="","",INDEX(Project_Tracker!$T$2:$T$101,INT((ROW()-6)/17)+1))</f>
        <v/>
      </c>
      <c r="E1534" s="18">
        <f t="shared" si="115"/>
        <v>16</v>
      </c>
      <c r="F1534" s="23" t="str">
        <f>IF($A1534="","",INDEX('Logic &amp; Lists'!$I$4:$I$20,$E1534))</f>
        <v/>
      </c>
      <c r="G1534" s="18" t="str">
        <f>IF($A1534="","",INDEX('Logic &amp; Lists'!$J$4:$J$20,$E1534))</f>
        <v/>
      </c>
      <c r="H1534" s="6" t="str">
        <f t="shared" si="116"/>
        <v/>
      </c>
      <c r="I1534" s="18" t="str">
        <f t="shared" ca="1" si="117"/>
        <v/>
      </c>
      <c r="J1534" s="5" t="str">
        <f t="shared" si="118"/>
        <v/>
      </c>
      <c r="K1534" s="25"/>
      <c r="L1534" s="5" t="str">
        <f t="shared" si="119"/>
        <v/>
      </c>
      <c r="M1534" s="7"/>
      <c r="N1534" s="7"/>
      <c r="O1534" s="7"/>
      <c r="P1534" s="20" t="str">
        <f>IF($A1534="","",INDEX(Project_Tracker!$I$2:$I$101,INT((ROW()-6)/17)+1))</f>
        <v/>
      </c>
      <c r="Q1534" s="20" t="str">
        <f>IF($A1534="","",INDEX(Project_Tracker!$K$2:$K$101,INT((ROW()-6)/17)+1))</f>
        <v/>
      </c>
    </row>
    <row r="1535" spans="1:17" x14ac:dyDescent="0.2">
      <c r="A1535" s="20" t="str">
        <f>IF(INDEX(Project_Tracker!$AL$2:$AL$101,INT((ROW()-6)/17)+1)="","",INDEX(Project_Tracker!$AL$2:$AL$101,INT((ROW()-6)/17)+1))</f>
        <v/>
      </c>
      <c r="B1535" s="21" t="str">
        <f>IF($A1535="","",INDEX(Project_Tracker!$AM$2:$AM$101,INT((ROW()-6)/17)+1))</f>
        <v/>
      </c>
      <c r="C1535" s="20" t="str">
        <f>IF($A1535="","",INDEX(Project_Tracker!$C$2:$C$101,INT((ROW()-6)/17)+1))</f>
        <v/>
      </c>
      <c r="D1535" s="6" t="str">
        <f>IF($A1535="","",INDEX(Project_Tracker!$T$2:$T$101,INT((ROW()-6)/17)+1))</f>
        <v/>
      </c>
      <c r="E1535" s="18">
        <f t="shared" si="115"/>
        <v>17</v>
      </c>
      <c r="F1535" s="23" t="str">
        <f>IF($A1535="","",INDEX('Logic &amp; Lists'!$I$4:$I$20,$E1535))</f>
        <v/>
      </c>
      <c r="G1535" s="18" t="str">
        <f>IF($A1535="","",INDEX('Logic &amp; Lists'!$J$4:$J$20,$E1535))</f>
        <v/>
      </c>
      <c r="H1535" s="6" t="str">
        <f t="shared" si="116"/>
        <v/>
      </c>
      <c r="I1535" s="18" t="str">
        <f t="shared" ca="1" si="117"/>
        <v/>
      </c>
      <c r="J1535" s="5" t="str">
        <f t="shared" si="118"/>
        <v/>
      </c>
      <c r="K1535" s="25"/>
      <c r="L1535" s="5" t="str">
        <f t="shared" si="119"/>
        <v/>
      </c>
      <c r="M1535" s="7"/>
      <c r="N1535" s="7"/>
      <c r="O1535" s="7"/>
      <c r="P1535" s="20" t="str">
        <f>IF($A1535="","",INDEX(Project_Tracker!$I$2:$I$101,INT((ROW()-6)/17)+1))</f>
        <v/>
      </c>
      <c r="Q1535" s="20" t="str">
        <f>IF($A1535="","",INDEX(Project_Tracker!$K$2:$K$101,INT((ROW()-6)/17)+1))</f>
        <v/>
      </c>
    </row>
    <row r="1536" spans="1:17" x14ac:dyDescent="0.2">
      <c r="A1536" s="20" t="str">
        <f>IF(INDEX(Project_Tracker!$AL$2:$AL$101,INT((ROW()-6)/17)+1)="","",INDEX(Project_Tracker!$AL$2:$AL$101,INT((ROW()-6)/17)+1))</f>
        <v/>
      </c>
      <c r="B1536" s="21" t="str">
        <f>IF($A1536="","",INDEX(Project_Tracker!$AM$2:$AM$101,INT((ROW()-6)/17)+1))</f>
        <v/>
      </c>
      <c r="C1536" s="20" t="str">
        <f>IF($A1536="","",INDEX(Project_Tracker!$C$2:$C$101,INT((ROW()-6)/17)+1))</f>
        <v/>
      </c>
      <c r="D1536" s="6" t="str">
        <f>IF($A1536="","",INDEX(Project_Tracker!$T$2:$T$101,INT((ROW()-6)/17)+1))</f>
        <v/>
      </c>
      <c r="E1536" s="18">
        <f t="shared" si="115"/>
        <v>1</v>
      </c>
      <c r="F1536" s="23" t="str">
        <f>IF($A1536="","",INDEX('Logic &amp; Lists'!$I$4:$I$20,$E1536))</f>
        <v/>
      </c>
      <c r="G1536" s="18" t="str">
        <f>IF($A1536="","",INDEX('Logic &amp; Lists'!$J$4:$J$20,$E1536))</f>
        <v/>
      </c>
      <c r="H1536" s="6" t="str">
        <f t="shared" si="116"/>
        <v/>
      </c>
      <c r="I1536" s="18" t="str">
        <f t="shared" ca="1" si="117"/>
        <v/>
      </c>
      <c r="J1536" s="5" t="str">
        <f t="shared" si="118"/>
        <v/>
      </c>
      <c r="K1536" s="25"/>
      <c r="L1536" s="5" t="str">
        <f t="shared" si="119"/>
        <v/>
      </c>
      <c r="M1536" s="7"/>
      <c r="N1536" s="7"/>
      <c r="O1536" s="7"/>
      <c r="P1536" s="20" t="str">
        <f>IF($A1536="","",INDEX(Project_Tracker!$I$2:$I$101,INT((ROW()-6)/17)+1))</f>
        <v/>
      </c>
      <c r="Q1536" s="20" t="str">
        <f>IF($A1536="","",INDEX(Project_Tracker!$K$2:$K$101,INT((ROW()-6)/17)+1))</f>
        <v/>
      </c>
    </row>
    <row r="1537" spans="1:17" x14ac:dyDescent="0.2">
      <c r="A1537" s="20" t="str">
        <f>IF(INDEX(Project_Tracker!$AL$2:$AL$101,INT((ROW()-6)/17)+1)="","",INDEX(Project_Tracker!$AL$2:$AL$101,INT((ROW()-6)/17)+1))</f>
        <v/>
      </c>
      <c r="B1537" s="21" t="str">
        <f>IF($A1537="","",INDEX(Project_Tracker!$AM$2:$AM$101,INT((ROW()-6)/17)+1))</f>
        <v/>
      </c>
      <c r="C1537" s="20" t="str">
        <f>IF($A1537="","",INDEX(Project_Tracker!$C$2:$C$101,INT((ROW()-6)/17)+1))</f>
        <v/>
      </c>
      <c r="D1537" s="6" t="str">
        <f>IF($A1537="","",INDEX(Project_Tracker!$T$2:$T$101,INT((ROW()-6)/17)+1))</f>
        <v/>
      </c>
      <c r="E1537" s="18">
        <f t="shared" si="115"/>
        <v>2</v>
      </c>
      <c r="F1537" s="23" t="str">
        <f>IF($A1537="","",INDEX('Logic &amp; Lists'!$I$4:$I$20,$E1537))</f>
        <v/>
      </c>
      <c r="G1537" s="18" t="str">
        <f>IF($A1537="","",INDEX('Logic &amp; Lists'!$J$4:$J$20,$E1537))</f>
        <v/>
      </c>
      <c r="H1537" s="6" t="str">
        <f t="shared" si="116"/>
        <v/>
      </c>
      <c r="I1537" s="18" t="str">
        <f t="shared" ca="1" si="117"/>
        <v/>
      </c>
      <c r="J1537" s="5" t="str">
        <f t="shared" si="118"/>
        <v/>
      </c>
      <c r="K1537" s="25"/>
      <c r="L1537" s="5" t="str">
        <f t="shared" si="119"/>
        <v/>
      </c>
      <c r="M1537" s="7"/>
      <c r="N1537" s="7"/>
      <c r="O1537" s="7"/>
      <c r="P1537" s="20" t="str">
        <f>IF($A1537="","",INDEX(Project_Tracker!$I$2:$I$101,INT((ROW()-6)/17)+1))</f>
        <v/>
      </c>
      <c r="Q1537" s="20" t="str">
        <f>IF($A1537="","",INDEX(Project_Tracker!$K$2:$K$101,INT((ROW()-6)/17)+1))</f>
        <v/>
      </c>
    </row>
    <row r="1538" spans="1:17" x14ac:dyDescent="0.2">
      <c r="A1538" s="20" t="str">
        <f>IF(INDEX(Project_Tracker!$AL$2:$AL$101,INT((ROW()-6)/17)+1)="","",INDEX(Project_Tracker!$AL$2:$AL$101,INT((ROW()-6)/17)+1))</f>
        <v/>
      </c>
      <c r="B1538" s="21" t="str">
        <f>IF($A1538="","",INDEX(Project_Tracker!$AM$2:$AM$101,INT((ROW()-6)/17)+1))</f>
        <v/>
      </c>
      <c r="C1538" s="20" t="str">
        <f>IF($A1538="","",INDEX(Project_Tracker!$C$2:$C$101,INT((ROW()-6)/17)+1))</f>
        <v/>
      </c>
      <c r="D1538" s="6" t="str">
        <f>IF($A1538="","",INDEX(Project_Tracker!$T$2:$T$101,INT((ROW()-6)/17)+1))</f>
        <v/>
      </c>
      <c r="E1538" s="18">
        <f t="shared" si="115"/>
        <v>3</v>
      </c>
      <c r="F1538" s="23" t="str">
        <f>IF($A1538="","",INDEX('Logic &amp; Lists'!$I$4:$I$20,$E1538))</f>
        <v/>
      </c>
      <c r="G1538" s="18" t="str">
        <f>IF($A1538="","",INDEX('Logic &amp; Lists'!$J$4:$J$20,$E1538))</f>
        <v/>
      </c>
      <c r="H1538" s="6" t="str">
        <f t="shared" si="116"/>
        <v/>
      </c>
      <c r="I1538" s="18" t="str">
        <f t="shared" ca="1" si="117"/>
        <v/>
      </c>
      <c r="J1538" s="5" t="str">
        <f t="shared" si="118"/>
        <v/>
      </c>
      <c r="K1538" s="25"/>
      <c r="L1538" s="5" t="str">
        <f t="shared" si="119"/>
        <v/>
      </c>
      <c r="M1538" s="7"/>
      <c r="N1538" s="7"/>
      <c r="O1538" s="7"/>
      <c r="P1538" s="20" t="str">
        <f>IF($A1538="","",INDEX(Project_Tracker!$I$2:$I$101,INT((ROW()-6)/17)+1))</f>
        <v/>
      </c>
      <c r="Q1538" s="20" t="str">
        <f>IF($A1538="","",INDEX(Project_Tracker!$K$2:$K$101,INT((ROW()-6)/17)+1))</f>
        <v/>
      </c>
    </row>
    <row r="1539" spans="1:17" x14ac:dyDescent="0.2">
      <c r="A1539" s="20" t="str">
        <f>IF(INDEX(Project_Tracker!$AL$2:$AL$101,INT((ROW()-6)/17)+1)="","",INDEX(Project_Tracker!$AL$2:$AL$101,INT((ROW()-6)/17)+1))</f>
        <v/>
      </c>
      <c r="B1539" s="21" t="str">
        <f>IF($A1539="","",INDEX(Project_Tracker!$AM$2:$AM$101,INT((ROW()-6)/17)+1))</f>
        <v/>
      </c>
      <c r="C1539" s="20" t="str">
        <f>IF($A1539="","",INDEX(Project_Tracker!$C$2:$C$101,INT((ROW()-6)/17)+1))</f>
        <v/>
      </c>
      <c r="D1539" s="6" t="str">
        <f>IF($A1539="","",INDEX(Project_Tracker!$T$2:$T$101,INT((ROW()-6)/17)+1))</f>
        <v/>
      </c>
      <c r="E1539" s="18">
        <f t="shared" si="115"/>
        <v>4</v>
      </c>
      <c r="F1539" s="23" t="str">
        <f>IF($A1539="","",INDEX('Logic &amp; Lists'!$I$4:$I$20,$E1539))</f>
        <v/>
      </c>
      <c r="G1539" s="18" t="str">
        <f>IF($A1539="","",INDEX('Logic &amp; Lists'!$J$4:$J$20,$E1539))</f>
        <v/>
      </c>
      <c r="H1539" s="6" t="str">
        <f t="shared" si="116"/>
        <v/>
      </c>
      <c r="I1539" s="18" t="str">
        <f t="shared" ca="1" si="117"/>
        <v/>
      </c>
      <c r="J1539" s="5" t="str">
        <f t="shared" si="118"/>
        <v/>
      </c>
      <c r="K1539" s="25"/>
      <c r="L1539" s="5" t="str">
        <f t="shared" si="119"/>
        <v/>
      </c>
      <c r="M1539" s="7"/>
      <c r="N1539" s="7"/>
      <c r="O1539" s="7"/>
      <c r="P1539" s="20" t="str">
        <f>IF($A1539="","",INDEX(Project_Tracker!$I$2:$I$101,INT((ROW()-6)/17)+1))</f>
        <v/>
      </c>
      <c r="Q1539" s="20" t="str">
        <f>IF($A1539="","",INDEX(Project_Tracker!$K$2:$K$101,INT((ROW()-6)/17)+1))</f>
        <v/>
      </c>
    </row>
    <row r="1540" spans="1:17" x14ac:dyDescent="0.2">
      <c r="A1540" s="20" t="str">
        <f>IF(INDEX(Project_Tracker!$AL$2:$AL$101,INT((ROW()-6)/17)+1)="","",INDEX(Project_Tracker!$AL$2:$AL$101,INT((ROW()-6)/17)+1))</f>
        <v/>
      </c>
      <c r="B1540" s="21" t="str">
        <f>IF($A1540="","",INDEX(Project_Tracker!$AM$2:$AM$101,INT((ROW()-6)/17)+1))</f>
        <v/>
      </c>
      <c r="C1540" s="20" t="str">
        <f>IF($A1540="","",INDEX(Project_Tracker!$C$2:$C$101,INT((ROW()-6)/17)+1))</f>
        <v/>
      </c>
      <c r="D1540" s="6" t="str">
        <f>IF($A1540="","",INDEX(Project_Tracker!$T$2:$T$101,INT((ROW()-6)/17)+1))</f>
        <v/>
      </c>
      <c r="E1540" s="18">
        <f t="shared" si="115"/>
        <v>5</v>
      </c>
      <c r="F1540" s="23" t="str">
        <f>IF($A1540="","",INDEX('Logic &amp; Lists'!$I$4:$I$20,$E1540))</f>
        <v/>
      </c>
      <c r="G1540" s="18" t="str">
        <f>IF($A1540="","",INDEX('Logic &amp; Lists'!$J$4:$J$20,$E1540))</f>
        <v/>
      </c>
      <c r="H1540" s="6" t="str">
        <f t="shared" si="116"/>
        <v/>
      </c>
      <c r="I1540" s="18" t="str">
        <f t="shared" ca="1" si="117"/>
        <v/>
      </c>
      <c r="J1540" s="5" t="str">
        <f t="shared" si="118"/>
        <v/>
      </c>
      <c r="K1540" s="25"/>
      <c r="L1540" s="5" t="str">
        <f t="shared" si="119"/>
        <v/>
      </c>
      <c r="M1540" s="7"/>
      <c r="N1540" s="7"/>
      <c r="O1540" s="7"/>
      <c r="P1540" s="20" t="str">
        <f>IF($A1540="","",INDEX(Project_Tracker!$I$2:$I$101,INT((ROW()-6)/17)+1))</f>
        <v/>
      </c>
      <c r="Q1540" s="20" t="str">
        <f>IF($A1540="","",INDEX(Project_Tracker!$K$2:$K$101,INT((ROW()-6)/17)+1))</f>
        <v/>
      </c>
    </row>
    <row r="1541" spans="1:17" x14ac:dyDescent="0.2">
      <c r="A1541" s="20" t="str">
        <f>IF(INDEX(Project_Tracker!$AL$2:$AL$101,INT((ROW()-6)/17)+1)="","",INDEX(Project_Tracker!$AL$2:$AL$101,INT((ROW()-6)/17)+1))</f>
        <v/>
      </c>
      <c r="B1541" s="21" t="str">
        <f>IF($A1541="","",INDEX(Project_Tracker!$AM$2:$AM$101,INT((ROW()-6)/17)+1))</f>
        <v/>
      </c>
      <c r="C1541" s="20" t="str">
        <f>IF($A1541="","",INDEX(Project_Tracker!$C$2:$C$101,INT((ROW()-6)/17)+1))</f>
        <v/>
      </c>
      <c r="D1541" s="6" t="str">
        <f>IF($A1541="","",INDEX(Project_Tracker!$T$2:$T$101,INT((ROW()-6)/17)+1))</f>
        <v/>
      </c>
      <c r="E1541" s="18">
        <f t="shared" si="115"/>
        <v>6</v>
      </c>
      <c r="F1541" s="23" t="str">
        <f>IF($A1541="","",INDEX('Logic &amp; Lists'!$I$4:$I$20,$E1541))</f>
        <v/>
      </c>
      <c r="G1541" s="18" t="str">
        <f>IF($A1541="","",INDEX('Logic &amp; Lists'!$J$4:$J$20,$E1541))</f>
        <v/>
      </c>
      <c r="H1541" s="6" t="str">
        <f t="shared" si="116"/>
        <v/>
      </c>
      <c r="I1541" s="18" t="str">
        <f t="shared" ca="1" si="117"/>
        <v/>
      </c>
      <c r="J1541" s="5" t="str">
        <f t="shared" si="118"/>
        <v/>
      </c>
      <c r="K1541" s="25"/>
      <c r="L1541" s="5" t="str">
        <f t="shared" si="119"/>
        <v/>
      </c>
      <c r="M1541" s="7"/>
      <c r="N1541" s="7"/>
      <c r="O1541" s="7"/>
      <c r="P1541" s="20" t="str">
        <f>IF($A1541="","",INDEX(Project_Tracker!$I$2:$I$101,INT((ROW()-6)/17)+1))</f>
        <v/>
      </c>
      <c r="Q1541" s="20" t="str">
        <f>IF($A1541="","",INDEX(Project_Tracker!$K$2:$K$101,INT((ROW()-6)/17)+1))</f>
        <v/>
      </c>
    </row>
    <row r="1542" spans="1:17" x14ac:dyDescent="0.2">
      <c r="A1542" s="20" t="str">
        <f>IF(INDEX(Project_Tracker!$AL$2:$AL$101,INT((ROW()-6)/17)+1)="","",INDEX(Project_Tracker!$AL$2:$AL$101,INT((ROW()-6)/17)+1))</f>
        <v/>
      </c>
      <c r="B1542" s="21" t="str">
        <f>IF($A1542="","",INDEX(Project_Tracker!$AM$2:$AM$101,INT((ROW()-6)/17)+1))</f>
        <v/>
      </c>
      <c r="C1542" s="20" t="str">
        <f>IF($A1542="","",INDEX(Project_Tracker!$C$2:$C$101,INT((ROW()-6)/17)+1))</f>
        <v/>
      </c>
      <c r="D1542" s="6" t="str">
        <f>IF($A1542="","",INDEX(Project_Tracker!$T$2:$T$101,INT((ROW()-6)/17)+1))</f>
        <v/>
      </c>
      <c r="E1542" s="18">
        <f t="shared" ref="E1542:E1605" si="120">MOD(ROW()-6,17)+1</f>
        <v>7</v>
      </c>
      <c r="F1542" s="23" t="str">
        <f>IF($A1542="","",INDEX('Logic &amp; Lists'!$I$4:$I$20,$E1542))</f>
        <v/>
      </c>
      <c r="G1542" s="18" t="str">
        <f>IF($A1542="","",INDEX('Logic &amp; Lists'!$J$4:$J$20,$E1542))</f>
        <v/>
      </c>
      <c r="H1542" s="6" t="str">
        <f t="shared" ref="H1542:H1605" si="121">IF($D1542="","",$D1542-$G1542)</f>
        <v/>
      </c>
      <c r="I1542" s="18" t="str">
        <f t="shared" ref="I1542:I1605" ca="1" si="122">IF($H1542="","",$H1542-TODAY())</f>
        <v/>
      </c>
      <c r="J1542" s="5" t="str">
        <f t="shared" ref="J1542:J1605" si="123">IF($A1542="","",IF($K1542&lt;&gt;"","ORDERED",IF($I1542&lt;0,"OVERDUE",IF($I1542&lt;=7,"URGENT",IF($I1542&lt;=14,"PREPARE","OK")))))</f>
        <v/>
      </c>
      <c r="K1542" s="25"/>
      <c r="L1542" s="5" t="str">
        <f t="shared" ref="L1542:L1605" si="124">IF($A1542="","",IF($K1542="",$J1542,IF($K1542&lt;=$H1542,"Ordered On Time","Ordered Late")))</f>
        <v/>
      </c>
      <c r="M1542" s="7"/>
      <c r="N1542" s="7"/>
      <c r="O1542" s="7"/>
      <c r="P1542" s="20" t="str">
        <f>IF($A1542="","",INDEX(Project_Tracker!$I$2:$I$101,INT((ROW()-6)/17)+1))</f>
        <v/>
      </c>
      <c r="Q1542" s="20" t="str">
        <f>IF($A1542="","",INDEX(Project_Tracker!$K$2:$K$101,INT((ROW()-6)/17)+1))</f>
        <v/>
      </c>
    </row>
    <row r="1543" spans="1:17" x14ac:dyDescent="0.2">
      <c r="A1543" s="20" t="str">
        <f>IF(INDEX(Project_Tracker!$AL$2:$AL$101,INT((ROW()-6)/17)+1)="","",INDEX(Project_Tracker!$AL$2:$AL$101,INT((ROW()-6)/17)+1))</f>
        <v/>
      </c>
      <c r="B1543" s="21" t="str">
        <f>IF($A1543="","",INDEX(Project_Tracker!$AM$2:$AM$101,INT((ROW()-6)/17)+1))</f>
        <v/>
      </c>
      <c r="C1543" s="20" t="str">
        <f>IF($A1543="","",INDEX(Project_Tracker!$C$2:$C$101,INT((ROW()-6)/17)+1))</f>
        <v/>
      </c>
      <c r="D1543" s="6" t="str">
        <f>IF($A1543="","",INDEX(Project_Tracker!$T$2:$T$101,INT((ROW()-6)/17)+1))</f>
        <v/>
      </c>
      <c r="E1543" s="18">
        <f t="shared" si="120"/>
        <v>8</v>
      </c>
      <c r="F1543" s="23" t="str">
        <f>IF($A1543="","",INDEX('Logic &amp; Lists'!$I$4:$I$20,$E1543))</f>
        <v/>
      </c>
      <c r="G1543" s="18" t="str">
        <f>IF($A1543="","",INDEX('Logic &amp; Lists'!$J$4:$J$20,$E1543))</f>
        <v/>
      </c>
      <c r="H1543" s="6" t="str">
        <f t="shared" si="121"/>
        <v/>
      </c>
      <c r="I1543" s="18" t="str">
        <f t="shared" ca="1" si="122"/>
        <v/>
      </c>
      <c r="J1543" s="5" t="str">
        <f t="shared" si="123"/>
        <v/>
      </c>
      <c r="K1543" s="25"/>
      <c r="L1543" s="5" t="str">
        <f t="shared" si="124"/>
        <v/>
      </c>
      <c r="M1543" s="7"/>
      <c r="N1543" s="7"/>
      <c r="O1543" s="7"/>
      <c r="P1543" s="20" t="str">
        <f>IF($A1543="","",INDEX(Project_Tracker!$I$2:$I$101,INT((ROW()-6)/17)+1))</f>
        <v/>
      </c>
      <c r="Q1543" s="20" t="str">
        <f>IF($A1543="","",INDEX(Project_Tracker!$K$2:$K$101,INT((ROW()-6)/17)+1))</f>
        <v/>
      </c>
    </row>
    <row r="1544" spans="1:17" x14ac:dyDescent="0.2">
      <c r="A1544" s="20" t="str">
        <f>IF(INDEX(Project_Tracker!$AL$2:$AL$101,INT((ROW()-6)/17)+1)="","",INDEX(Project_Tracker!$AL$2:$AL$101,INT((ROW()-6)/17)+1))</f>
        <v/>
      </c>
      <c r="B1544" s="21" t="str">
        <f>IF($A1544="","",INDEX(Project_Tracker!$AM$2:$AM$101,INT((ROW()-6)/17)+1))</f>
        <v/>
      </c>
      <c r="C1544" s="20" t="str">
        <f>IF($A1544="","",INDEX(Project_Tracker!$C$2:$C$101,INT((ROW()-6)/17)+1))</f>
        <v/>
      </c>
      <c r="D1544" s="6" t="str">
        <f>IF($A1544="","",INDEX(Project_Tracker!$T$2:$T$101,INT((ROW()-6)/17)+1))</f>
        <v/>
      </c>
      <c r="E1544" s="18">
        <f t="shared" si="120"/>
        <v>9</v>
      </c>
      <c r="F1544" s="23" t="str">
        <f>IF($A1544="","",INDEX('Logic &amp; Lists'!$I$4:$I$20,$E1544))</f>
        <v/>
      </c>
      <c r="G1544" s="18" t="str">
        <f>IF($A1544="","",INDEX('Logic &amp; Lists'!$J$4:$J$20,$E1544))</f>
        <v/>
      </c>
      <c r="H1544" s="6" t="str">
        <f t="shared" si="121"/>
        <v/>
      </c>
      <c r="I1544" s="18" t="str">
        <f t="shared" ca="1" si="122"/>
        <v/>
      </c>
      <c r="J1544" s="5" t="str">
        <f t="shared" si="123"/>
        <v/>
      </c>
      <c r="K1544" s="25"/>
      <c r="L1544" s="5" t="str">
        <f t="shared" si="124"/>
        <v/>
      </c>
      <c r="M1544" s="7"/>
      <c r="N1544" s="7"/>
      <c r="O1544" s="7"/>
      <c r="P1544" s="20" t="str">
        <f>IF($A1544="","",INDEX(Project_Tracker!$I$2:$I$101,INT((ROW()-6)/17)+1))</f>
        <v/>
      </c>
      <c r="Q1544" s="20" t="str">
        <f>IF($A1544="","",INDEX(Project_Tracker!$K$2:$K$101,INT((ROW()-6)/17)+1))</f>
        <v/>
      </c>
    </row>
    <row r="1545" spans="1:17" x14ac:dyDescent="0.2">
      <c r="A1545" s="20" t="str">
        <f>IF(INDEX(Project_Tracker!$AL$2:$AL$101,INT((ROW()-6)/17)+1)="","",INDEX(Project_Tracker!$AL$2:$AL$101,INT((ROW()-6)/17)+1))</f>
        <v/>
      </c>
      <c r="B1545" s="21" t="str">
        <f>IF($A1545="","",INDEX(Project_Tracker!$AM$2:$AM$101,INT((ROW()-6)/17)+1))</f>
        <v/>
      </c>
      <c r="C1545" s="20" t="str">
        <f>IF($A1545="","",INDEX(Project_Tracker!$C$2:$C$101,INT((ROW()-6)/17)+1))</f>
        <v/>
      </c>
      <c r="D1545" s="6" t="str">
        <f>IF($A1545="","",INDEX(Project_Tracker!$T$2:$T$101,INT((ROW()-6)/17)+1))</f>
        <v/>
      </c>
      <c r="E1545" s="18">
        <f t="shared" si="120"/>
        <v>10</v>
      </c>
      <c r="F1545" s="23" t="str">
        <f>IF($A1545="","",INDEX('Logic &amp; Lists'!$I$4:$I$20,$E1545))</f>
        <v/>
      </c>
      <c r="G1545" s="18" t="str">
        <f>IF($A1545="","",INDEX('Logic &amp; Lists'!$J$4:$J$20,$E1545))</f>
        <v/>
      </c>
      <c r="H1545" s="6" t="str">
        <f t="shared" si="121"/>
        <v/>
      </c>
      <c r="I1545" s="18" t="str">
        <f t="shared" ca="1" si="122"/>
        <v/>
      </c>
      <c r="J1545" s="5" t="str">
        <f t="shared" si="123"/>
        <v/>
      </c>
      <c r="K1545" s="25"/>
      <c r="L1545" s="5" t="str">
        <f t="shared" si="124"/>
        <v/>
      </c>
      <c r="M1545" s="7"/>
      <c r="N1545" s="7"/>
      <c r="O1545" s="7"/>
      <c r="P1545" s="20" t="str">
        <f>IF($A1545="","",INDEX(Project_Tracker!$I$2:$I$101,INT((ROW()-6)/17)+1))</f>
        <v/>
      </c>
      <c r="Q1545" s="20" t="str">
        <f>IF($A1545="","",INDEX(Project_Tracker!$K$2:$K$101,INT((ROW()-6)/17)+1))</f>
        <v/>
      </c>
    </row>
    <row r="1546" spans="1:17" x14ac:dyDescent="0.2">
      <c r="A1546" s="20" t="str">
        <f>IF(INDEX(Project_Tracker!$AL$2:$AL$101,INT((ROW()-6)/17)+1)="","",INDEX(Project_Tracker!$AL$2:$AL$101,INT((ROW()-6)/17)+1))</f>
        <v/>
      </c>
      <c r="B1546" s="21" t="str">
        <f>IF($A1546="","",INDEX(Project_Tracker!$AM$2:$AM$101,INT((ROW()-6)/17)+1))</f>
        <v/>
      </c>
      <c r="C1546" s="20" t="str">
        <f>IF($A1546="","",INDEX(Project_Tracker!$C$2:$C$101,INT((ROW()-6)/17)+1))</f>
        <v/>
      </c>
      <c r="D1546" s="6" t="str">
        <f>IF($A1546="","",INDEX(Project_Tracker!$T$2:$T$101,INT((ROW()-6)/17)+1))</f>
        <v/>
      </c>
      <c r="E1546" s="18">
        <f t="shared" si="120"/>
        <v>11</v>
      </c>
      <c r="F1546" s="23" t="str">
        <f>IF($A1546="","",INDEX('Logic &amp; Lists'!$I$4:$I$20,$E1546))</f>
        <v/>
      </c>
      <c r="G1546" s="18" t="str">
        <f>IF($A1546="","",INDEX('Logic &amp; Lists'!$J$4:$J$20,$E1546))</f>
        <v/>
      </c>
      <c r="H1546" s="6" t="str">
        <f t="shared" si="121"/>
        <v/>
      </c>
      <c r="I1546" s="18" t="str">
        <f t="shared" ca="1" si="122"/>
        <v/>
      </c>
      <c r="J1546" s="5" t="str">
        <f t="shared" si="123"/>
        <v/>
      </c>
      <c r="K1546" s="25"/>
      <c r="L1546" s="5" t="str">
        <f t="shared" si="124"/>
        <v/>
      </c>
      <c r="M1546" s="7"/>
      <c r="N1546" s="7"/>
      <c r="O1546" s="7"/>
      <c r="P1546" s="20" t="str">
        <f>IF($A1546="","",INDEX(Project_Tracker!$I$2:$I$101,INT((ROW()-6)/17)+1))</f>
        <v/>
      </c>
      <c r="Q1546" s="20" t="str">
        <f>IF($A1546="","",INDEX(Project_Tracker!$K$2:$K$101,INT((ROW()-6)/17)+1))</f>
        <v/>
      </c>
    </row>
    <row r="1547" spans="1:17" x14ac:dyDescent="0.2">
      <c r="A1547" s="20" t="str">
        <f>IF(INDEX(Project_Tracker!$AL$2:$AL$101,INT((ROW()-6)/17)+1)="","",INDEX(Project_Tracker!$AL$2:$AL$101,INT((ROW()-6)/17)+1))</f>
        <v/>
      </c>
      <c r="B1547" s="21" t="str">
        <f>IF($A1547="","",INDEX(Project_Tracker!$AM$2:$AM$101,INT((ROW()-6)/17)+1))</f>
        <v/>
      </c>
      <c r="C1547" s="20" t="str">
        <f>IF($A1547="","",INDEX(Project_Tracker!$C$2:$C$101,INT((ROW()-6)/17)+1))</f>
        <v/>
      </c>
      <c r="D1547" s="6" t="str">
        <f>IF($A1547="","",INDEX(Project_Tracker!$T$2:$T$101,INT((ROW()-6)/17)+1))</f>
        <v/>
      </c>
      <c r="E1547" s="18">
        <f t="shared" si="120"/>
        <v>12</v>
      </c>
      <c r="F1547" s="23" t="str">
        <f>IF($A1547="","",INDEX('Logic &amp; Lists'!$I$4:$I$20,$E1547))</f>
        <v/>
      </c>
      <c r="G1547" s="18" t="str">
        <f>IF($A1547="","",INDEX('Logic &amp; Lists'!$J$4:$J$20,$E1547))</f>
        <v/>
      </c>
      <c r="H1547" s="6" t="str">
        <f t="shared" si="121"/>
        <v/>
      </c>
      <c r="I1547" s="18" t="str">
        <f t="shared" ca="1" si="122"/>
        <v/>
      </c>
      <c r="J1547" s="5" t="str">
        <f t="shared" si="123"/>
        <v/>
      </c>
      <c r="K1547" s="25"/>
      <c r="L1547" s="5" t="str">
        <f t="shared" si="124"/>
        <v/>
      </c>
      <c r="M1547" s="7"/>
      <c r="N1547" s="7"/>
      <c r="O1547" s="7"/>
      <c r="P1547" s="20" t="str">
        <f>IF($A1547="","",INDEX(Project_Tracker!$I$2:$I$101,INT((ROW()-6)/17)+1))</f>
        <v/>
      </c>
      <c r="Q1547" s="20" t="str">
        <f>IF($A1547="","",INDEX(Project_Tracker!$K$2:$K$101,INT((ROW()-6)/17)+1))</f>
        <v/>
      </c>
    </row>
    <row r="1548" spans="1:17" x14ac:dyDescent="0.2">
      <c r="A1548" s="20" t="str">
        <f>IF(INDEX(Project_Tracker!$AL$2:$AL$101,INT((ROW()-6)/17)+1)="","",INDEX(Project_Tracker!$AL$2:$AL$101,INT((ROW()-6)/17)+1))</f>
        <v/>
      </c>
      <c r="B1548" s="21" t="str">
        <f>IF($A1548="","",INDEX(Project_Tracker!$AM$2:$AM$101,INT((ROW()-6)/17)+1))</f>
        <v/>
      </c>
      <c r="C1548" s="20" t="str">
        <f>IF($A1548="","",INDEX(Project_Tracker!$C$2:$C$101,INT((ROW()-6)/17)+1))</f>
        <v/>
      </c>
      <c r="D1548" s="6" t="str">
        <f>IF($A1548="","",INDEX(Project_Tracker!$T$2:$T$101,INT((ROW()-6)/17)+1))</f>
        <v/>
      </c>
      <c r="E1548" s="18">
        <f t="shared" si="120"/>
        <v>13</v>
      </c>
      <c r="F1548" s="23" t="str">
        <f>IF($A1548="","",INDEX('Logic &amp; Lists'!$I$4:$I$20,$E1548))</f>
        <v/>
      </c>
      <c r="G1548" s="18" t="str">
        <f>IF($A1548="","",INDEX('Logic &amp; Lists'!$J$4:$J$20,$E1548))</f>
        <v/>
      </c>
      <c r="H1548" s="6" t="str">
        <f t="shared" si="121"/>
        <v/>
      </c>
      <c r="I1548" s="18" t="str">
        <f t="shared" ca="1" si="122"/>
        <v/>
      </c>
      <c r="J1548" s="5" t="str">
        <f t="shared" si="123"/>
        <v/>
      </c>
      <c r="K1548" s="25"/>
      <c r="L1548" s="5" t="str">
        <f t="shared" si="124"/>
        <v/>
      </c>
      <c r="M1548" s="7"/>
      <c r="N1548" s="7"/>
      <c r="O1548" s="7"/>
      <c r="P1548" s="20" t="str">
        <f>IF($A1548="","",INDEX(Project_Tracker!$I$2:$I$101,INT((ROW()-6)/17)+1))</f>
        <v/>
      </c>
      <c r="Q1548" s="20" t="str">
        <f>IF($A1548="","",INDEX(Project_Tracker!$K$2:$K$101,INT((ROW()-6)/17)+1))</f>
        <v/>
      </c>
    </row>
    <row r="1549" spans="1:17" x14ac:dyDescent="0.2">
      <c r="A1549" s="20" t="str">
        <f>IF(INDEX(Project_Tracker!$AL$2:$AL$101,INT((ROW()-6)/17)+1)="","",INDEX(Project_Tracker!$AL$2:$AL$101,INT((ROW()-6)/17)+1))</f>
        <v/>
      </c>
      <c r="B1549" s="21" t="str">
        <f>IF($A1549="","",INDEX(Project_Tracker!$AM$2:$AM$101,INT((ROW()-6)/17)+1))</f>
        <v/>
      </c>
      <c r="C1549" s="20" t="str">
        <f>IF($A1549="","",INDEX(Project_Tracker!$C$2:$C$101,INT((ROW()-6)/17)+1))</f>
        <v/>
      </c>
      <c r="D1549" s="6" t="str">
        <f>IF($A1549="","",INDEX(Project_Tracker!$T$2:$T$101,INT((ROW()-6)/17)+1))</f>
        <v/>
      </c>
      <c r="E1549" s="18">
        <f t="shared" si="120"/>
        <v>14</v>
      </c>
      <c r="F1549" s="23" t="str">
        <f>IF($A1549="","",INDEX('Logic &amp; Lists'!$I$4:$I$20,$E1549))</f>
        <v/>
      </c>
      <c r="G1549" s="18" t="str">
        <f>IF($A1549="","",INDEX('Logic &amp; Lists'!$J$4:$J$20,$E1549))</f>
        <v/>
      </c>
      <c r="H1549" s="6" t="str">
        <f t="shared" si="121"/>
        <v/>
      </c>
      <c r="I1549" s="18" t="str">
        <f t="shared" ca="1" si="122"/>
        <v/>
      </c>
      <c r="J1549" s="5" t="str">
        <f t="shared" si="123"/>
        <v/>
      </c>
      <c r="K1549" s="25"/>
      <c r="L1549" s="5" t="str">
        <f t="shared" si="124"/>
        <v/>
      </c>
      <c r="M1549" s="7"/>
      <c r="N1549" s="7"/>
      <c r="O1549" s="7"/>
      <c r="P1549" s="20" t="str">
        <f>IF($A1549="","",INDEX(Project_Tracker!$I$2:$I$101,INT((ROW()-6)/17)+1))</f>
        <v/>
      </c>
      <c r="Q1549" s="20" t="str">
        <f>IF($A1549="","",INDEX(Project_Tracker!$K$2:$K$101,INT((ROW()-6)/17)+1))</f>
        <v/>
      </c>
    </row>
    <row r="1550" spans="1:17" x14ac:dyDescent="0.2">
      <c r="A1550" s="20" t="str">
        <f>IF(INDEX(Project_Tracker!$AL$2:$AL$101,INT((ROW()-6)/17)+1)="","",INDEX(Project_Tracker!$AL$2:$AL$101,INT((ROW()-6)/17)+1))</f>
        <v/>
      </c>
      <c r="B1550" s="21" t="str">
        <f>IF($A1550="","",INDEX(Project_Tracker!$AM$2:$AM$101,INT((ROW()-6)/17)+1))</f>
        <v/>
      </c>
      <c r="C1550" s="20" t="str">
        <f>IF($A1550="","",INDEX(Project_Tracker!$C$2:$C$101,INT((ROW()-6)/17)+1))</f>
        <v/>
      </c>
      <c r="D1550" s="6" t="str">
        <f>IF($A1550="","",INDEX(Project_Tracker!$T$2:$T$101,INT((ROW()-6)/17)+1))</f>
        <v/>
      </c>
      <c r="E1550" s="18">
        <f t="shared" si="120"/>
        <v>15</v>
      </c>
      <c r="F1550" s="23" t="str">
        <f>IF($A1550="","",INDEX('Logic &amp; Lists'!$I$4:$I$20,$E1550))</f>
        <v/>
      </c>
      <c r="G1550" s="18" t="str">
        <f>IF($A1550="","",INDEX('Logic &amp; Lists'!$J$4:$J$20,$E1550))</f>
        <v/>
      </c>
      <c r="H1550" s="6" t="str">
        <f t="shared" si="121"/>
        <v/>
      </c>
      <c r="I1550" s="18" t="str">
        <f t="shared" ca="1" si="122"/>
        <v/>
      </c>
      <c r="J1550" s="5" t="str">
        <f t="shared" si="123"/>
        <v/>
      </c>
      <c r="K1550" s="25"/>
      <c r="L1550" s="5" t="str">
        <f t="shared" si="124"/>
        <v/>
      </c>
      <c r="M1550" s="7"/>
      <c r="N1550" s="7"/>
      <c r="O1550" s="7"/>
      <c r="P1550" s="20" t="str">
        <f>IF($A1550="","",INDEX(Project_Tracker!$I$2:$I$101,INT((ROW()-6)/17)+1))</f>
        <v/>
      </c>
      <c r="Q1550" s="20" t="str">
        <f>IF($A1550="","",INDEX(Project_Tracker!$K$2:$K$101,INT((ROW()-6)/17)+1))</f>
        <v/>
      </c>
    </row>
    <row r="1551" spans="1:17" x14ac:dyDescent="0.2">
      <c r="A1551" s="20" t="str">
        <f>IF(INDEX(Project_Tracker!$AL$2:$AL$101,INT((ROW()-6)/17)+1)="","",INDEX(Project_Tracker!$AL$2:$AL$101,INT((ROW()-6)/17)+1))</f>
        <v/>
      </c>
      <c r="B1551" s="21" t="str">
        <f>IF($A1551="","",INDEX(Project_Tracker!$AM$2:$AM$101,INT((ROW()-6)/17)+1))</f>
        <v/>
      </c>
      <c r="C1551" s="20" t="str">
        <f>IF($A1551="","",INDEX(Project_Tracker!$C$2:$C$101,INT((ROW()-6)/17)+1))</f>
        <v/>
      </c>
      <c r="D1551" s="6" t="str">
        <f>IF($A1551="","",INDEX(Project_Tracker!$T$2:$T$101,INT((ROW()-6)/17)+1))</f>
        <v/>
      </c>
      <c r="E1551" s="18">
        <f t="shared" si="120"/>
        <v>16</v>
      </c>
      <c r="F1551" s="23" t="str">
        <f>IF($A1551="","",INDEX('Logic &amp; Lists'!$I$4:$I$20,$E1551))</f>
        <v/>
      </c>
      <c r="G1551" s="18" t="str">
        <f>IF($A1551="","",INDEX('Logic &amp; Lists'!$J$4:$J$20,$E1551))</f>
        <v/>
      </c>
      <c r="H1551" s="6" t="str">
        <f t="shared" si="121"/>
        <v/>
      </c>
      <c r="I1551" s="18" t="str">
        <f t="shared" ca="1" si="122"/>
        <v/>
      </c>
      <c r="J1551" s="5" t="str">
        <f t="shared" si="123"/>
        <v/>
      </c>
      <c r="K1551" s="25"/>
      <c r="L1551" s="5" t="str">
        <f t="shared" si="124"/>
        <v/>
      </c>
      <c r="M1551" s="7"/>
      <c r="N1551" s="7"/>
      <c r="O1551" s="7"/>
      <c r="P1551" s="20" t="str">
        <f>IF($A1551="","",INDEX(Project_Tracker!$I$2:$I$101,INT((ROW()-6)/17)+1))</f>
        <v/>
      </c>
      <c r="Q1551" s="20" t="str">
        <f>IF($A1551="","",INDEX(Project_Tracker!$K$2:$K$101,INT((ROW()-6)/17)+1))</f>
        <v/>
      </c>
    </row>
    <row r="1552" spans="1:17" x14ac:dyDescent="0.2">
      <c r="A1552" s="20" t="str">
        <f>IF(INDEX(Project_Tracker!$AL$2:$AL$101,INT((ROW()-6)/17)+1)="","",INDEX(Project_Tracker!$AL$2:$AL$101,INT((ROW()-6)/17)+1))</f>
        <v/>
      </c>
      <c r="B1552" s="21" t="str">
        <f>IF($A1552="","",INDEX(Project_Tracker!$AM$2:$AM$101,INT((ROW()-6)/17)+1))</f>
        <v/>
      </c>
      <c r="C1552" s="20" t="str">
        <f>IF($A1552="","",INDEX(Project_Tracker!$C$2:$C$101,INT((ROW()-6)/17)+1))</f>
        <v/>
      </c>
      <c r="D1552" s="6" t="str">
        <f>IF($A1552="","",INDEX(Project_Tracker!$T$2:$T$101,INT((ROW()-6)/17)+1))</f>
        <v/>
      </c>
      <c r="E1552" s="18">
        <f t="shared" si="120"/>
        <v>17</v>
      </c>
      <c r="F1552" s="23" t="str">
        <f>IF($A1552="","",INDEX('Logic &amp; Lists'!$I$4:$I$20,$E1552))</f>
        <v/>
      </c>
      <c r="G1552" s="18" t="str">
        <f>IF($A1552="","",INDEX('Logic &amp; Lists'!$J$4:$J$20,$E1552))</f>
        <v/>
      </c>
      <c r="H1552" s="6" t="str">
        <f t="shared" si="121"/>
        <v/>
      </c>
      <c r="I1552" s="18" t="str">
        <f t="shared" ca="1" si="122"/>
        <v/>
      </c>
      <c r="J1552" s="5" t="str">
        <f t="shared" si="123"/>
        <v/>
      </c>
      <c r="K1552" s="25"/>
      <c r="L1552" s="5" t="str">
        <f t="shared" si="124"/>
        <v/>
      </c>
      <c r="M1552" s="7"/>
      <c r="N1552" s="7"/>
      <c r="O1552" s="7"/>
      <c r="P1552" s="20" t="str">
        <f>IF($A1552="","",INDEX(Project_Tracker!$I$2:$I$101,INT((ROW()-6)/17)+1))</f>
        <v/>
      </c>
      <c r="Q1552" s="20" t="str">
        <f>IF($A1552="","",INDEX(Project_Tracker!$K$2:$K$101,INT((ROW()-6)/17)+1))</f>
        <v/>
      </c>
    </row>
    <row r="1553" spans="1:17" x14ac:dyDescent="0.2">
      <c r="A1553" s="20" t="str">
        <f>IF(INDEX(Project_Tracker!$AL$2:$AL$101,INT((ROW()-6)/17)+1)="","",INDEX(Project_Tracker!$AL$2:$AL$101,INT((ROW()-6)/17)+1))</f>
        <v/>
      </c>
      <c r="B1553" s="21" t="str">
        <f>IF($A1553="","",INDEX(Project_Tracker!$AM$2:$AM$101,INT((ROW()-6)/17)+1))</f>
        <v/>
      </c>
      <c r="C1553" s="20" t="str">
        <f>IF($A1553="","",INDEX(Project_Tracker!$C$2:$C$101,INT((ROW()-6)/17)+1))</f>
        <v/>
      </c>
      <c r="D1553" s="6" t="str">
        <f>IF($A1553="","",INDEX(Project_Tracker!$T$2:$T$101,INT((ROW()-6)/17)+1))</f>
        <v/>
      </c>
      <c r="E1553" s="18">
        <f t="shared" si="120"/>
        <v>1</v>
      </c>
      <c r="F1553" s="23" t="str">
        <f>IF($A1553="","",INDEX('Logic &amp; Lists'!$I$4:$I$20,$E1553))</f>
        <v/>
      </c>
      <c r="G1553" s="18" t="str">
        <f>IF($A1553="","",INDEX('Logic &amp; Lists'!$J$4:$J$20,$E1553))</f>
        <v/>
      </c>
      <c r="H1553" s="6" t="str">
        <f t="shared" si="121"/>
        <v/>
      </c>
      <c r="I1553" s="18" t="str">
        <f t="shared" ca="1" si="122"/>
        <v/>
      </c>
      <c r="J1553" s="5" t="str">
        <f t="shared" si="123"/>
        <v/>
      </c>
      <c r="K1553" s="25"/>
      <c r="L1553" s="5" t="str">
        <f t="shared" si="124"/>
        <v/>
      </c>
      <c r="M1553" s="7"/>
      <c r="N1553" s="7"/>
      <c r="O1553" s="7"/>
      <c r="P1553" s="20" t="str">
        <f>IF($A1553="","",INDEX(Project_Tracker!$I$2:$I$101,INT((ROW()-6)/17)+1))</f>
        <v/>
      </c>
      <c r="Q1553" s="20" t="str">
        <f>IF($A1553="","",INDEX(Project_Tracker!$K$2:$K$101,INT((ROW()-6)/17)+1))</f>
        <v/>
      </c>
    </row>
    <row r="1554" spans="1:17" x14ac:dyDescent="0.2">
      <c r="A1554" s="20" t="str">
        <f>IF(INDEX(Project_Tracker!$AL$2:$AL$101,INT((ROW()-6)/17)+1)="","",INDEX(Project_Tracker!$AL$2:$AL$101,INT((ROW()-6)/17)+1))</f>
        <v/>
      </c>
      <c r="B1554" s="21" t="str">
        <f>IF($A1554="","",INDEX(Project_Tracker!$AM$2:$AM$101,INT((ROW()-6)/17)+1))</f>
        <v/>
      </c>
      <c r="C1554" s="20" t="str">
        <f>IF($A1554="","",INDEX(Project_Tracker!$C$2:$C$101,INT((ROW()-6)/17)+1))</f>
        <v/>
      </c>
      <c r="D1554" s="6" t="str">
        <f>IF($A1554="","",INDEX(Project_Tracker!$T$2:$T$101,INT((ROW()-6)/17)+1))</f>
        <v/>
      </c>
      <c r="E1554" s="18">
        <f t="shared" si="120"/>
        <v>2</v>
      </c>
      <c r="F1554" s="23" t="str">
        <f>IF($A1554="","",INDEX('Logic &amp; Lists'!$I$4:$I$20,$E1554))</f>
        <v/>
      </c>
      <c r="G1554" s="18" t="str">
        <f>IF($A1554="","",INDEX('Logic &amp; Lists'!$J$4:$J$20,$E1554))</f>
        <v/>
      </c>
      <c r="H1554" s="6" t="str">
        <f t="shared" si="121"/>
        <v/>
      </c>
      <c r="I1554" s="18" t="str">
        <f t="shared" ca="1" si="122"/>
        <v/>
      </c>
      <c r="J1554" s="5" t="str">
        <f t="shared" si="123"/>
        <v/>
      </c>
      <c r="K1554" s="25"/>
      <c r="L1554" s="5" t="str">
        <f t="shared" si="124"/>
        <v/>
      </c>
      <c r="M1554" s="7"/>
      <c r="N1554" s="7"/>
      <c r="O1554" s="7"/>
      <c r="P1554" s="20" t="str">
        <f>IF($A1554="","",INDEX(Project_Tracker!$I$2:$I$101,INT((ROW()-6)/17)+1))</f>
        <v/>
      </c>
      <c r="Q1554" s="20" t="str">
        <f>IF($A1554="","",INDEX(Project_Tracker!$K$2:$K$101,INT((ROW()-6)/17)+1))</f>
        <v/>
      </c>
    </row>
    <row r="1555" spans="1:17" x14ac:dyDescent="0.2">
      <c r="A1555" s="20" t="str">
        <f>IF(INDEX(Project_Tracker!$AL$2:$AL$101,INT((ROW()-6)/17)+1)="","",INDEX(Project_Tracker!$AL$2:$AL$101,INT((ROW()-6)/17)+1))</f>
        <v/>
      </c>
      <c r="B1555" s="21" t="str">
        <f>IF($A1555="","",INDEX(Project_Tracker!$AM$2:$AM$101,INT((ROW()-6)/17)+1))</f>
        <v/>
      </c>
      <c r="C1555" s="20" t="str">
        <f>IF($A1555="","",INDEX(Project_Tracker!$C$2:$C$101,INT((ROW()-6)/17)+1))</f>
        <v/>
      </c>
      <c r="D1555" s="6" t="str">
        <f>IF($A1555="","",INDEX(Project_Tracker!$T$2:$T$101,INT((ROW()-6)/17)+1))</f>
        <v/>
      </c>
      <c r="E1555" s="18">
        <f t="shared" si="120"/>
        <v>3</v>
      </c>
      <c r="F1555" s="23" t="str">
        <f>IF($A1555="","",INDEX('Logic &amp; Lists'!$I$4:$I$20,$E1555))</f>
        <v/>
      </c>
      <c r="G1555" s="18" t="str">
        <f>IF($A1555="","",INDEX('Logic &amp; Lists'!$J$4:$J$20,$E1555))</f>
        <v/>
      </c>
      <c r="H1555" s="6" t="str">
        <f t="shared" si="121"/>
        <v/>
      </c>
      <c r="I1555" s="18" t="str">
        <f t="shared" ca="1" si="122"/>
        <v/>
      </c>
      <c r="J1555" s="5" t="str">
        <f t="shared" si="123"/>
        <v/>
      </c>
      <c r="K1555" s="25"/>
      <c r="L1555" s="5" t="str">
        <f t="shared" si="124"/>
        <v/>
      </c>
      <c r="M1555" s="7"/>
      <c r="N1555" s="7"/>
      <c r="O1555" s="7"/>
      <c r="P1555" s="20" t="str">
        <f>IF($A1555="","",INDEX(Project_Tracker!$I$2:$I$101,INT((ROW()-6)/17)+1))</f>
        <v/>
      </c>
      <c r="Q1555" s="20" t="str">
        <f>IF($A1555="","",INDEX(Project_Tracker!$K$2:$K$101,INT((ROW()-6)/17)+1))</f>
        <v/>
      </c>
    </row>
    <row r="1556" spans="1:17" x14ac:dyDescent="0.2">
      <c r="A1556" s="20" t="str">
        <f>IF(INDEX(Project_Tracker!$AL$2:$AL$101,INT((ROW()-6)/17)+1)="","",INDEX(Project_Tracker!$AL$2:$AL$101,INT((ROW()-6)/17)+1))</f>
        <v/>
      </c>
      <c r="B1556" s="21" t="str">
        <f>IF($A1556="","",INDEX(Project_Tracker!$AM$2:$AM$101,INT((ROW()-6)/17)+1))</f>
        <v/>
      </c>
      <c r="C1556" s="20" t="str">
        <f>IF($A1556="","",INDEX(Project_Tracker!$C$2:$C$101,INT((ROW()-6)/17)+1))</f>
        <v/>
      </c>
      <c r="D1556" s="6" t="str">
        <f>IF($A1556="","",INDEX(Project_Tracker!$T$2:$T$101,INT((ROW()-6)/17)+1))</f>
        <v/>
      </c>
      <c r="E1556" s="18">
        <f t="shared" si="120"/>
        <v>4</v>
      </c>
      <c r="F1556" s="23" t="str">
        <f>IF($A1556="","",INDEX('Logic &amp; Lists'!$I$4:$I$20,$E1556))</f>
        <v/>
      </c>
      <c r="G1556" s="18" t="str">
        <f>IF($A1556="","",INDEX('Logic &amp; Lists'!$J$4:$J$20,$E1556))</f>
        <v/>
      </c>
      <c r="H1556" s="6" t="str">
        <f t="shared" si="121"/>
        <v/>
      </c>
      <c r="I1556" s="18" t="str">
        <f t="shared" ca="1" si="122"/>
        <v/>
      </c>
      <c r="J1556" s="5" t="str">
        <f t="shared" si="123"/>
        <v/>
      </c>
      <c r="K1556" s="25"/>
      <c r="L1556" s="5" t="str">
        <f t="shared" si="124"/>
        <v/>
      </c>
      <c r="M1556" s="7"/>
      <c r="N1556" s="7"/>
      <c r="O1556" s="7"/>
      <c r="P1556" s="20" t="str">
        <f>IF($A1556="","",INDEX(Project_Tracker!$I$2:$I$101,INT((ROW()-6)/17)+1))</f>
        <v/>
      </c>
      <c r="Q1556" s="20" t="str">
        <f>IF($A1556="","",INDEX(Project_Tracker!$K$2:$K$101,INT((ROW()-6)/17)+1))</f>
        <v/>
      </c>
    </row>
    <row r="1557" spans="1:17" x14ac:dyDescent="0.2">
      <c r="A1557" s="20" t="str">
        <f>IF(INDEX(Project_Tracker!$AL$2:$AL$101,INT((ROW()-6)/17)+1)="","",INDEX(Project_Tracker!$AL$2:$AL$101,INT((ROW()-6)/17)+1))</f>
        <v/>
      </c>
      <c r="B1557" s="21" t="str">
        <f>IF($A1557="","",INDEX(Project_Tracker!$AM$2:$AM$101,INT((ROW()-6)/17)+1))</f>
        <v/>
      </c>
      <c r="C1557" s="20" t="str">
        <f>IF($A1557="","",INDEX(Project_Tracker!$C$2:$C$101,INT((ROW()-6)/17)+1))</f>
        <v/>
      </c>
      <c r="D1557" s="6" t="str">
        <f>IF($A1557="","",INDEX(Project_Tracker!$T$2:$T$101,INT((ROW()-6)/17)+1))</f>
        <v/>
      </c>
      <c r="E1557" s="18">
        <f t="shared" si="120"/>
        <v>5</v>
      </c>
      <c r="F1557" s="23" t="str">
        <f>IF($A1557="","",INDEX('Logic &amp; Lists'!$I$4:$I$20,$E1557))</f>
        <v/>
      </c>
      <c r="G1557" s="18" t="str">
        <f>IF($A1557="","",INDEX('Logic &amp; Lists'!$J$4:$J$20,$E1557))</f>
        <v/>
      </c>
      <c r="H1557" s="6" t="str">
        <f t="shared" si="121"/>
        <v/>
      </c>
      <c r="I1557" s="18" t="str">
        <f t="shared" ca="1" si="122"/>
        <v/>
      </c>
      <c r="J1557" s="5" t="str">
        <f t="shared" si="123"/>
        <v/>
      </c>
      <c r="K1557" s="25"/>
      <c r="L1557" s="5" t="str">
        <f t="shared" si="124"/>
        <v/>
      </c>
      <c r="M1557" s="7"/>
      <c r="N1557" s="7"/>
      <c r="O1557" s="7"/>
      <c r="P1557" s="20" t="str">
        <f>IF($A1557="","",INDEX(Project_Tracker!$I$2:$I$101,INT((ROW()-6)/17)+1))</f>
        <v/>
      </c>
      <c r="Q1557" s="20" t="str">
        <f>IF($A1557="","",INDEX(Project_Tracker!$K$2:$K$101,INT((ROW()-6)/17)+1))</f>
        <v/>
      </c>
    </row>
    <row r="1558" spans="1:17" x14ac:dyDescent="0.2">
      <c r="A1558" s="20" t="str">
        <f>IF(INDEX(Project_Tracker!$AL$2:$AL$101,INT((ROW()-6)/17)+1)="","",INDEX(Project_Tracker!$AL$2:$AL$101,INT((ROW()-6)/17)+1))</f>
        <v/>
      </c>
      <c r="B1558" s="21" t="str">
        <f>IF($A1558="","",INDEX(Project_Tracker!$AM$2:$AM$101,INT((ROW()-6)/17)+1))</f>
        <v/>
      </c>
      <c r="C1558" s="20" t="str">
        <f>IF($A1558="","",INDEX(Project_Tracker!$C$2:$C$101,INT((ROW()-6)/17)+1))</f>
        <v/>
      </c>
      <c r="D1558" s="6" t="str">
        <f>IF($A1558="","",INDEX(Project_Tracker!$T$2:$T$101,INT((ROW()-6)/17)+1))</f>
        <v/>
      </c>
      <c r="E1558" s="18">
        <f t="shared" si="120"/>
        <v>6</v>
      </c>
      <c r="F1558" s="23" t="str">
        <f>IF($A1558="","",INDEX('Logic &amp; Lists'!$I$4:$I$20,$E1558))</f>
        <v/>
      </c>
      <c r="G1558" s="18" t="str">
        <f>IF($A1558="","",INDEX('Logic &amp; Lists'!$J$4:$J$20,$E1558))</f>
        <v/>
      </c>
      <c r="H1558" s="6" t="str">
        <f t="shared" si="121"/>
        <v/>
      </c>
      <c r="I1558" s="18" t="str">
        <f t="shared" ca="1" si="122"/>
        <v/>
      </c>
      <c r="J1558" s="5" t="str">
        <f t="shared" si="123"/>
        <v/>
      </c>
      <c r="K1558" s="25"/>
      <c r="L1558" s="5" t="str">
        <f t="shared" si="124"/>
        <v/>
      </c>
      <c r="M1558" s="7"/>
      <c r="N1558" s="7"/>
      <c r="O1558" s="7"/>
      <c r="P1558" s="20" t="str">
        <f>IF($A1558="","",INDEX(Project_Tracker!$I$2:$I$101,INT((ROW()-6)/17)+1))</f>
        <v/>
      </c>
      <c r="Q1558" s="20" t="str">
        <f>IF($A1558="","",INDEX(Project_Tracker!$K$2:$K$101,INT((ROW()-6)/17)+1))</f>
        <v/>
      </c>
    </row>
    <row r="1559" spans="1:17" x14ac:dyDescent="0.2">
      <c r="A1559" s="20" t="str">
        <f>IF(INDEX(Project_Tracker!$AL$2:$AL$101,INT((ROW()-6)/17)+1)="","",INDEX(Project_Tracker!$AL$2:$AL$101,INT((ROW()-6)/17)+1))</f>
        <v/>
      </c>
      <c r="B1559" s="21" t="str">
        <f>IF($A1559="","",INDEX(Project_Tracker!$AM$2:$AM$101,INT((ROW()-6)/17)+1))</f>
        <v/>
      </c>
      <c r="C1559" s="20" t="str">
        <f>IF($A1559="","",INDEX(Project_Tracker!$C$2:$C$101,INT((ROW()-6)/17)+1))</f>
        <v/>
      </c>
      <c r="D1559" s="6" t="str">
        <f>IF($A1559="","",INDEX(Project_Tracker!$T$2:$T$101,INT((ROW()-6)/17)+1))</f>
        <v/>
      </c>
      <c r="E1559" s="18">
        <f t="shared" si="120"/>
        <v>7</v>
      </c>
      <c r="F1559" s="23" t="str">
        <f>IF($A1559="","",INDEX('Logic &amp; Lists'!$I$4:$I$20,$E1559))</f>
        <v/>
      </c>
      <c r="G1559" s="18" t="str">
        <f>IF($A1559="","",INDEX('Logic &amp; Lists'!$J$4:$J$20,$E1559))</f>
        <v/>
      </c>
      <c r="H1559" s="6" t="str">
        <f t="shared" si="121"/>
        <v/>
      </c>
      <c r="I1559" s="18" t="str">
        <f t="shared" ca="1" si="122"/>
        <v/>
      </c>
      <c r="J1559" s="5" t="str">
        <f t="shared" si="123"/>
        <v/>
      </c>
      <c r="K1559" s="25"/>
      <c r="L1559" s="5" t="str">
        <f t="shared" si="124"/>
        <v/>
      </c>
      <c r="M1559" s="7"/>
      <c r="N1559" s="7"/>
      <c r="O1559" s="7"/>
      <c r="P1559" s="20" t="str">
        <f>IF($A1559="","",INDEX(Project_Tracker!$I$2:$I$101,INT((ROW()-6)/17)+1))</f>
        <v/>
      </c>
      <c r="Q1559" s="20" t="str">
        <f>IF($A1559="","",INDEX(Project_Tracker!$K$2:$K$101,INT((ROW()-6)/17)+1))</f>
        <v/>
      </c>
    </row>
    <row r="1560" spans="1:17" x14ac:dyDescent="0.2">
      <c r="A1560" s="20" t="str">
        <f>IF(INDEX(Project_Tracker!$AL$2:$AL$101,INT((ROW()-6)/17)+1)="","",INDEX(Project_Tracker!$AL$2:$AL$101,INT((ROW()-6)/17)+1))</f>
        <v/>
      </c>
      <c r="B1560" s="21" t="str">
        <f>IF($A1560="","",INDEX(Project_Tracker!$AM$2:$AM$101,INT((ROW()-6)/17)+1))</f>
        <v/>
      </c>
      <c r="C1560" s="20" t="str">
        <f>IF($A1560="","",INDEX(Project_Tracker!$C$2:$C$101,INT((ROW()-6)/17)+1))</f>
        <v/>
      </c>
      <c r="D1560" s="6" t="str">
        <f>IF($A1560="","",INDEX(Project_Tracker!$T$2:$T$101,INT((ROW()-6)/17)+1))</f>
        <v/>
      </c>
      <c r="E1560" s="18">
        <f t="shared" si="120"/>
        <v>8</v>
      </c>
      <c r="F1560" s="23" t="str">
        <f>IF($A1560="","",INDEX('Logic &amp; Lists'!$I$4:$I$20,$E1560))</f>
        <v/>
      </c>
      <c r="G1560" s="18" t="str">
        <f>IF($A1560="","",INDEX('Logic &amp; Lists'!$J$4:$J$20,$E1560))</f>
        <v/>
      </c>
      <c r="H1560" s="6" t="str">
        <f t="shared" si="121"/>
        <v/>
      </c>
      <c r="I1560" s="18" t="str">
        <f t="shared" ca="1" si="122"/>
        <v/>
      </c>
      <c r="J1560" s="5" t="str">
        <f t="shared" si="123"/>
        <v/>
      </c>
      <c r="K1560" s="25"/>
      <c r="L1560" s="5" t="str">
        <f t="shared" si="124"/>
        <v/>
      </c>
      <c r="M1560" s="7"/>
      <c r="N1560" s="7"/>
      <c r="O1560" s="7"/>
      <c r="P1560" s="20" t="str">
        <f>IF($A1560="","",INDEX(Project_Tracker!$I$2:$I$101,INT((ROW()-6)/17)+1))</f>
        <v/>
      </c>
      <c r="Q1560" s="20" t="str">
        <f>IF($A1560="","",INDEX(Project_Tracker!$K$2:$K$101,INT((ROW()-6)/17)+1))</f>
        <v/>
      </c>
    </row>
    <row r="1561" spans="1:17" x14ac:dyDescent="0.2">
      <c r="A1561" s="20" t="str">
        <f>IF(INDEX(Project_Tracker!$AL$2:$AL$101,INT((ROW()-6)/17)+1)="","",INDEX(Project_Tracker!$AL$2:$AL$101,INT((ROW()-6)/17)+1))</f>
        <v/>
      </c>
      <c r="B1561" s="21" t="str">
        <f>IF($A1561="","",INDEX(Project_Tracker!$AM$2:$AM$101,INT((ROW()-6)/17)+1))</f>
        <v/>
      </c>
      <c r="C1561" s="20" t="str">
        <f>IF($A1561="","",INDEX(Project_Tracker!$C$2:$C$101,INT((ROW()-6)/17)+1))</f>
        <v/>
      </c>
      <c r="D1561" s="6" t="str">
        <f>IF($A1561="","",INDEX(Project_Tracker!$T$2:$T$101,INT((ROW()-6)/17)+1))</f>
        <v/>
      </c>
      <c r="E1561" s="18">
        <f t="shared" si="120"/>
        <v>9</v>
      </c>
      <c r="F1561" s="23" t="str">
        <f>IF($A1561="","",INDEX('Logic &amp; Lists'!$I$4:$I$20,$E1561))</f>
        <v/>
      </c>
      <c r="G1561" s="18" t="str">
        <f>IF($A1561="","",INDEX('Logic &amp; Lists'!$J$4:$J$20,$E1561))</f>
        <v/>
      </c>
      <c r="H1561" s="6" t="str">
        <f t="shared" si="121"/>
        <v/>
      </c>
      <c r="I1561" s="18" t="str">
        <f t="shared" ca="1" si="122"/>
        <v/>
      </c>
      <c r="J1561" s="5" t="str">
        <f t="shared" si="123"/>
        <v/>
      </c>
      <c r="K1561" s="25"/>
      <c r="L1561" s="5" t="str">
        <f t="shared" si="124"/>
        <v/>
      </c>
      <c r="M1561" s="7"/>
      <c r="N1561" s="7"/>
      <c r="O1561" s="7"/>
      <c r="P1561" s="20" t="str">
        <f>IF($A1561="","",INDEX(Project_Tracker!$I$2:$I$101,INT((ROW()-6)/17)+1))</f>
        <v/>
      </c>
      <c r="Q1561" s="20" t="str">
        <f>IF($A1561="","",INDEX(Project_Tracker!$K$2:$K$101,INT((ROW()-6)/17)+1))</f>
        <v/>
      </c>
    </row>
    <row r="1562" spans="1:17" x14ac:dyDescent="0.2">
      <c r="A1562" s="20" t="str">
        <f>IF(INDEX(Project_Tracker!$AL$2:$AL$101,INT((ROW()-6)/17)+1)="","",INDEX(Project_Tracker!$AL$2:$AL$101,INT((ROW()-6)/17)+1))</f>
        <v/>
      </c>
      <c r="B1562" s="21" t="str">
        <f>IF($A1562="","",INDEX(Project_Tracker!$AM$2:$AM$101,INT((ROW()-6)/17)+1))</f>
        <v/>
      </c>
      <c r="C1562" s="20" t="str">
        <f>IF($A1562="","",INDEX(Project_Tracker!$C$2:$C$101,INT((ROW()-6)/17)+1))</f>
        <v/>
      </c>
      <c r="D1562" s="6" t="str">
        <f>IF($A1562="","",INDEX(Project_Tracker!$T$2:$T$101,INT((ROW()-6)/17)+1))</f>
        <v/>
      </c>
      <c r="E1562" s="18">
        <f t="shared" si="120"/>
        <v>10</v>
      </c>
      <c r="F1562" s="23" t="str">
        <f>IF($A1562="","",INDEX('Logic &amp; Lists'!$I$4:$I$20,$E1562))</f>
        <v/>
      </c>
      <c r="G1562" s="18" t="str">
        <f>IF($A1562="","",INDEX('Logic &amp; Lists'!$J$4:$J$20,$E1562))</f>
        <v/>
      </c>
      <c r="H1562" s="6" t="str">
        <f t="shared" si="121"/>
        <v/>
      </c>
      <c r="I1562" s="18" t="str">
        <f t="shared" ca="1" si="122"/>
        <v/>
      </c>
      <c r="J1562" s="5" t="str">
        <f t="shared" si="123"/>
        <v/>
      </c>
      <c r="K1562" s="25"/>
      <c r="L1562" s="5" t="str">
        <f t="shared" si="124"/>
        <v/>
      </c>
      <c r="M1562" s="7"/>
      <c r="N1562" s="7"/>
      <c r="O1562" s="7"/>
      <c r="P1562" s="20" t="str">
        <f>IF($A1562="","",INDEX(Project_Tracker!$I$2:$I$101,INT((ROW()-6)/17)+1))</f>
        <v/>
      </c>
      <c r="Q1562" s="20" t="str">
        <f>IF($A1562="","",INDEX(Project_Tracker!$K$2:$K$101,INT((ROW()-6)/17)+1))</f>
        <v/>
      </c>
    </row>
    <row r="1563" spans="1:17" x14ac:dyDescent="0.2">
      <c r="A1563" s="20" t="str">
        <f>IF(INDEX(Project_Tracker!$AL$2:$AL$101,INT((ROW()-6)/17)+1)="","",INDEX(Project_Tracker!$AL$2:$AL$101,INT((ROW()-6)/17)+1))</f>
        <v/>
      </c>
      <c r="B1563" s="21" t="str">
        <f>IF($A1563="","",INDEX(Project_Tracker!$AM$2:$AM$101,INT((ROW()-6)/17)+1))</f>
        <v/>
      </c>
      <c r="C1563" s="20" t="str">
        <f>IF($A1563="","",INDEX(Project_Tracker!$C$2:$C$101,INT((ROW()-6)/17)+1))</f>
        <v/>
      </c>
      <c r="D1563" s="6" t="str">
        <f>IF($A1563="","",INDEX(Project_Tracker!$T$2:$T$101,INT((ROW()-6)/17)+1))</f>
        <v/>
      </c>
      <c r="E1563" s="18">
        <f t="shared" si="120"/>
        <v>11</v>
      </c>
      <c r="F1563" s="23" t="str">
        <f>IF($A1563="","",INDEX('Logic &amp; Lists'!$I$4:$I$20,$E1563))</f>
        <v/>
      </c>
      <c r="G1563" s="18" t="str">
        <f>IF($A1563="","",INDEX('Logic &amp; Lists'!$J$4:$J$20,$E1563))</f>
        <v/>
      </c>
      <c r="H1563" s="6" t="str">
        <f t="shared" si="121"/>
        <v/>
      </c>
      <c r="I1563" s="18" t="str">
        <f t="shared" ca="1" si="122"/>
        <v/>
      </c>
      <c r="J1563" s="5" t="str">
        <f t="shared" si="123"/>
        <v/>
      </c>
      <c r="K1563" s="25"/>
      <c r="L1563" s="5" t="str">
        <f t="shared" si="124"/>
        <v/>
      </c>
      <c r="M1563" s="7"/>
      <c r="N1563" s="7"/>
      <c r="O1563" s="7"/>
      <c r="P1563" s="20" t="str">
        <f>IF($A1563="","",INDEX(Project_Tracker!$I$2:$I$101,INT((ROW()-6)/17)+1))</f>
        <v/>
      </c>
      <c r="Q1563" s="20" t="str">
        <f>IF($A1563="","",INDEX(Project_Tracker!$K$2:$K$101,INT((ROW()-6)/17)+1))</f>
        <v/>
      </c>
    </row>
    <row r="1564" spans="1:17" x14ac:dyDescent="0.2">
      <c r="A1564" s="20" t="str">
        <f>IF(INDEX(Project_Tracker!$AL$2:$AL$101,INT((ROW()-6)/17)+1)="","",INDEX(Project_Tracker!$AL$2:$AL$101,INT((ROW()-6)/17)+1))</f>
        <v/>
      </c>
      <c r="B1564" s="21" t="str">
        <f>IF($A1564="","",INDEX(Project_Tracker!$AM$2:$AM$101,INT((ROW()-6)/17)+1))</f>
        <v/>
      </c>
      <c r="C1564" s="20" t="str">
        <f>IF($A1564="","",INDEX(Project_Tracker!$C$2:$C$101,INT((ROW()-6)/17)+1))</f>
        <v/>
      </c>
      <c r="D1564" s="6" t="str">
        <f>IF($A1564="","",INDEX(Project_Tracker!$T$2:$T$101,INT((ROW()-6)/17)+1))</f>
        <v/>
      </c>
      <c r="E1564" s="18">
        <f t="shared" si="120"/>
        <v>12</v>
      </c>
      <c r="F1564" s="23" t="str">
        <f>IF($A1564="","",INDEX('Logic &amp; Lists'!$I$4:$I$20,$E1564))</f>
        <v/>
      </c>
      <c r="G1564" s="18" t="str">
        <f>IF($A1564="","",INDEX('Logic &amp; Lists'!$J$4:$J$20,$E1564))</f>
        <v/>
      </c>
      <c r="H1564" s="6" t="str">
        <f t="shared" si="121"/>
        <v/>
      </c>
      <c r="I1564" s="18" t="str">
        <f t="shared" ca="1" si="122"/>
        <v/>
      </c>
      <c r="J1564" s="5" t="str">
        <f t="shared" si="123"/>
        <v/>
      </c>
      <c r="K1564" s="25"/>
      <c r="L1564" s="5" t="str">
        <f t="shared" si="124"/>
        <v/>
      </c>
      <c r="M1564" s="7"/>
      <c r="N1564" s="7"/>
      <c r="O1564" s="7"/>
      <c r="P1564" s="20" t="str">
        <f>IF($A1564="","",INDEX(Project_Tracker!$I$2:$I$101,INT((ROW()-6)/17)+1))</f>
        <v/>
      </c>
      <c r="Q1564" s="20" t="str">
        <f>IF($A1564="","",INDEX(Project_Tracker!$K$2:$K$101,INT((ROW()-6)/17)+1))</f>
        <v/>
      </c>
    </row>
    <row r="1565" spans="1:17" x14ac:dyDescent="0.2">
      <c r="A1565" s="20" t="str">
        <f>IF(INDEX(Project_Tracker!$AL$2:$AL$101,INT((ROW()-6)/17)+1)="","",INDEX(Project_Tracker!$AL$2:$AL$101,INT((ROW()-6)/17)+1))</f>
        <v/>
      </c>
      <c r="B1565" s="21" t="str">
        <f>IF($A1565="","",INDEX(Project_Tracker!$AM$2:$AM$101,INT((ROW()-6)/17)+1))</f>
        <v/>
      </c>
      <c r="C1565" s="20" t="str">
        <f>IF($A1565="","",INDEX(Project_Tracker!$C$2:$C$101,INT((ROW()-6)/17)+1))</f>
        <v/>
      </c>
      <c r="D1565" s="6" t="str">
        <f>IF($A1565="","",INDEX(Project_Tracker!$T$2:$T$101,INT((ROW()-6)/17)+1))</f>
        <v/>
      </c>
      <c r="E1565" s="18">
        <f t="shared" si="120"/>
        <v>13</v>
      </c>
      <c r="F1565" s="23" t="str">
        <f>IF($A1565="","",INDEX('Logic &amp; Lists'!$I$4:$I$20,$E1565))</f>
        <v/>
      </c>
      <c r="G1565" s="18" t="str">
        <f>IF($A1565="","",INDEX('Logic &amp; Lists'!$J$4:$J$20,$E1565))</f>
        <v/>
      </c>
      <c r="H1565" s="6" t="str">
        <f t="shared" si="121"/>
        <v/>
      </c>
      <c r="I1565" s="18" t="str">
        <f t="shared" ca="1" si="122"/>
        <v/>
      </c>
      <c r="J1565" s="5" t="str">
        <f t="shared" si="123"/>
        <v/>
      </c>
      <c r="K1565" s="25"/>
      <c r="L1565" s="5" t="str">
        <f t="shared" si="124"/>
        <v/>
      </c>
      <c r="M1565" s="7"/>
      <c r="N1565" s="7"/>
      <c r="O1565" s="7"/>
      <c r="P1565" s="20" t="str">
        <f>IF($A1565="","",INDEX(Project_Tracker!$I$2:$I$101,INT((ROW()-6)/17)+1))</f>
        <v/>
      </c>
      <c r="Q1565" s="20" t="str">
        <f>IF($A1565="","",INDEX(Project_Tracker!$K$2:$K$101,INT((ROW()-6)/17)+1))</f>
        <v/>
      </c>
    </row>
    <row r="1566" spans="1:17" x14ac:dyDescent="0.2">
      <c r="A1566" s="20" t="str">
        <f>IF(INDEX(Project_Tracker!$AL$2:$AL$101,INT((ROW()-6)/17)+1)="","",INDEX(Project_Tracker!$AL$2:$AL$101,INT((ROW()-6)/17)+1))</f>
        <v/>
      </c>
      <c r="B1566" s="21" t="str">
        <f>IF($A1566="","",INDEX(Project_Tracker!$AM$2:$AM$101,INT((ROW()-6)/17)+1))</f>
        <v/>
      </c>
      <c r="C1566" s="20" t="str">
        <f>IF($A1566="","",INDEX(Project_Tracker!$C$2:$C$101,INT((ROW()-6)/17)+1))</f>
        <v/>
      </c>
      <c r="D1566" s="6" t="str">
        <f>IF($A1566="","",INDEX(Project_Tracker!$T$2:$T$101,INT((ROW()-6)/17)+1))</f>
        <v/>
      </c>
      <c r="E1566" s="18">
        <f t="shared" si="120"/>
        <v>14</v>
      </c>
      <c r="F1566" s="23" t="str">
        <f>IF($A1566="","",INDEX('Logic &amp; Lists'!$I$4:$I$20,$E1566))</f>
        <v/>
      </c>
      <c r="G1566" s="18" t="str">
        <f>IF($A1566="","",INDEX('Logic &amp; Lists'!$J$4:$J$20,$E1566))</f>
        <v/>
      </c>
      <c r="H1566" s="6" t="str">
        <f t="shared" si="121"/>
        <v/>
      </c>
      <c r="I1566" s="18" t="str">
        <f t="shared" ca="1" si="122"/>
        <v/>
      </c>
      <c r="J1566" s="5" t="str">
        <f t="shared" si="123"/>
        <v/>
      </c>
      <c r="K1566" s="25"/>
      <c r="L1566" s="5" t="str">
        <f t="shared" si="124"/>
        <v/>
      </c>
      <c r="M1566" s="7"/>
      <c r="N1566" s="7"/>
      <c r="O1566" s="7"/>
      <c r="P1566" s="20" t="str">
        <f>IF($A1566="","",INDEX(Project_Tracker!$I$2:$I$101,INT((ROW()-6)/17)+1))</f>
        <v/>
      </c>
      <c r="Q1566" s="20" t="str">
        <f>IF($A1566="","",INDEX(Project_Tracker!$K$2:$K$101,INT((ROW()-6)/17)+1))</f>
        <v/>
      </c>
    </row>
    <row r="1567" spans="1:17" x14ac:dyDescent="0.2">
      <c r="A1567" s="20" t="str">
        <f>IF(INDEX(Project_Tracker!$AL$2:$AL$101,INT((ROW()-6)/17)+1)="","",INDEX(Project_Tracker!$AL$2:$AL$101,INT((ROW()-6)/17)+1))</f>
        <v/>
      </c>
      <c r="B1567" s="21" t="str">
        <f>IF($A1567="","",INDEX(Project_Tracker!$AM$2:$AM$101,INT((ROW()-6)/17)+1))</f>
        <v/>
      </c>
      <c r="C1567" s="20" t="str">
        <f>IF($A1567="","",INDEX(Project_Tracker!$C$2:$C$101,INT((ROW()-6)/17)+1))</f>
        <v/>
      </c>
      <c r="D1567" s="6" t="str">
        <f>IF($A1567="","",INDEX(Project_Tracker!$T$2:$T$101,INT((ROW()-6)/17)+1))</f>
        <v/>
      </c>
      <c r="E1567" s="18">
        <f t="shared" si="120"/>
        <v>15</v>
      </c>
      <c r="F1567" s="23" t="str">
        <f>IF($A1567="","",INDEX('Logic &amp; Lists'!$I$4:$I$20,$E1567))</f>
        <v/>
      </c>
      <c r="G1567" s="18" t="str">
        <f>IF($A1567="","",INDEX('Logic &amp; Lists'!$J$4:$J$20,$E1567))</f>
        <v/>
      </c>
      <c r="H1567" s="6" t="str">
        <f t="shared" si="121"/>
        <v/>
      </c>
      <c r="I1567" s="18" t="str">
        <f t="shared" ca="1" si="122"/>
        <v/>
      </c>
      <c r="J1567" s="5" t="str">
        <f t="shared" si="123"/>
        <v/>
      </c>
      <c r="K1567" s="25"/>
      <c r="L1567" s="5" t="str">
        <f t="shared" si="124"/>
        <v/>
      </c>
      <c r="M1567" s="7"/>
      <c r="N1567" s="7"/>
      <c r="O1567" s="7"/>
      <c r="P1567" s="20" t="str">
        <f>IF($A1567="","",INDEX(Project_Tracker!$I$2:$I$101,INT((ROW()-6)/17)+1))</f>
        <v/>
      </c>
      <c r="Q1567" s="20" t="str">
        <f>IF($A1567="","",INDEX(Project_Tracker!$K$2:$K$101,INT((ROW()-6)/17)+1))</f>
        <v/>
      </c>
    </row>
    <row r="1568" spans="1:17" x14ac:dyDescent="0.2">
      <c r="A1568" s="20" t="str">
        <f>IF(INDEX(Project_Tracker!$AL$2:$AL$101,INT((ROW()-6)/17)+1)="","",INDEX(Project_Tracker!$AL$2:$AL$101,INT((ROW()-6)/17)+1))</f>
        <v/>
      </c>
      <c r="B1568" s="21" t="str">
        <f>IF($A1568="","",INDEX(Project_Tracker!$AM$2:$AM$101,INT((ROW()-6)/17)+1))</f>
        <v/>
      </c>
      <c r="C1568" s="20" t="str">
        <f>IF($A1568="","",INDEX(Project_Tracker!$C$2:$C$101,INT((ROW()-6)/17)+1))</f>
        <v/>
      </c>
      <c r="D1568" s="6" t="str">
        <f>IF($A1568="","",INDEX(Project_Tracker!$T$2:$T$101,INT((ROW()-6)/17)+1))</f>
        <v/>
      </c>
      <c r="E1568" s="18">
        <f t="shared" si="120"/>
        <v>16</v>
      </c>
      <c r="F1568" s="23" t="str">
        <f>IF($A1568="","",INDEX('Logic &amp; Lists'!$I$4:$I$20,$E1568))</f>
        <v/>
      </c>
      <c r="G1568" s="18" t="str">
        <f>IF($A1568="","",INDEX('Logic &amp; Lists'!$J$4:$J$20,$E1568))</f>
        <v/>
      </c>
      <c r="H1568" s="6" t="str">
        <f t="shared" si="121"/>
        <v/>
      </c>
      <c r="I1568" s="18" t="str">
        <f t="shared" ca="1" si="122"/>
        <v/>
      </c>
      <c r="J1568" s="5" t="str">
        <f t="shared" si="123"/>
        <v/>
      </c>
      <c r="K1568" s="25"/>
      <c r="L1568" s="5" t="str">
        <f t="shared" si="124"/>
        <v/>
      </c>
      <c r="M1568" s="7"/>
      <c r="N1568" s="7"/>
      <c r="O1568" s="7"/>
      <c r="P1568" s="20" t="str">
        <f>IF($A1568="","",INDEX(Project_Tracker!$I$2:$I$101,INT((ROW()-6)/17)+1))</f>
        <v/>
      </c>
      <c r="Q1568" s="20" t="str">
        <f>IF($A1568="","",INDEX(Project_Tracker!$K$2:$K$101,INT((ROW()-6)/17)+1))</f>
        <v/>
      </c>
    </row>
    <row r="1569" spans="1:17" x14ac:dyDescent="0.2">
      <c r="A1569" s="20" t="str">
        <f>IF(INDEX(Project_Tracker!$AL$2:$AL$101,INT((ROW()-6)/17)+1)="","",INDEX(Project_Tracker!$AL$2:$AL$101,INT((ROW()-6)/17)+1))</f>
        <v/>
      </c>
      <c r="B1569" s="21" t="str">
        <f>IF($A1569="","",INDEX(Project_Tracker!$AM$2:$AM$101,INT((ROW()-6)/17)+1))</f>
        <v/>
      </c>
      <c r="C1569" s="20" t="str">
        <f>IF($A1569="","",INDEX(Project_Tracker!$C$2:$C$101,INT((ROW()-6)/17)+1))</f>
        <v/>
      </c>
      <c r="D1569" s="6" t="str">
        <f>IF($A1569="","",INDEX(Project_Tracker!$T$2:$T$101,INT((ROW()-6)/17)+1))</f>
        <v/>
      </c>
      <c r="E1569" s="18">
        <f t="shared" si="120"/>
        <v>17</v>
      </c>
      <c r="F1569" s="23" t="str">
        <f>IF($A1569="","",INDEX('Logic &amp; Lists'!$I$4:$I$20,$E1569))</f>
        <v/>
      </c>
      <c r="G1569" s="18" t="str">
        <f>IF($A1569="","",INDEX('Logic &amp; Lists'!$J$4:$J$20,$E1569))</f>
        <v/>
      </c>
      <c r="H1569" s="6" t="str">
        <f t="shared" si="121"/>
        <v/>
      </c>
      <c r="I1569" s="18" t="str">
        <f t="shared" ca="1" si="122"/>
        <v/>
      </c>
      <c r="J1569" s="5" t="str">
        <f t="shared" si="123"/>
        <v/>
      </c>
      <c r="K1569" s="25"/>
      <c r="L1569" s="5" t="str">
        <f t="shared" si="124"/>
        <v/>
      </c>
      <c r="M1569" s="7"/>
      <c r="N1569" s="7"/>
      <c r="O1569" s="7"/>
      <c r="P1569" s="20" t="str">
        <f>IF($A1569="","",INDEX(Project_Tracker!$I$2:$I$101,INT((ROW()-6)/17)+1))</f>
        <v/>
      </c>
      <c r="Q1569" s="20" t="str">
        <f>IF($A1569="","",INDEX(Project_Tracker!$K$2:$K$101,INT((ROW()-6)/17)+1))</f>
        <v/>
      </c>
    </row>
    <row r="1570" spans="1:17" x14ac:dyDescent="0.2">
      <c r="A1570" s="20" t="str">
        <f>IF(INDEX(Project_Tracker!$AL$2:$AL$101,INT((ROW()-6)/17)+1)="","",INDEX(Project_Tracker!$AL$2:$AL$101,INT((ROW()-6)/17)+1))</f>
        <v/>
      </c>
      <c r="B1570" s="21" t="str">
        <f>IF($A1570="","",INDEX(Project_Tracker!$AM$2:$AM$101,INT((ROW()-6)/17)+1))</f>
        <v/>
      </c>
      <c r="C1570" s="20" t="str">
        <f>IF($A1570="","",INDEX(Project_Tracker!$C$2:$C$101,INT((ROW()-6)/17)+1))</f>
        <v/>
      </c>
      <c r="D1570" s="6" t="str">
        <f>IF($A1570="","",INDEX(Project_Tracker!$T$2:$T$101,INT((ROW()-6)/17)+1))</f>
        <v/>
      </c>
      <c r="E1570" s="18">
        <f t="shared" si="120"/>
        <v>1</v>
      </c>
      <c r="F1570" s="23" t="str">
        <f>IF($A1570="","",INDEX('Logic &amp; Lists'!$I$4:$I$20,$E1570))</f>
        <v/>
      </c>
      <c r="G1570" s="18" t="str">
        <f>IF($A1570="","",INDEX('Logic &amp; Lists'!$J$4:$J$20,$E1570))</f>
        <v/>
      </c>
      <c r="H1570" s="6" t="str">
        <f t="shared" si="121"/>
        <v/>
      </c>
      <c r="I1570" s="18" t="str">
        <f t="shared" ca="1" si="122"/>
        <v/>
      </c>
      <c r="J1570" s="5" t="str">
        <f t="shared" si="123"/>
        <v/>
      </c>
      <c r="K1570" s="25"/>
      <c r="L1570" s="5" t="str">
        <f t="shared" si="124"/>
        <v/>
      </c>
      <c r="M1570" s="7"/>
      <c r="N1570" s="7"/>
      <c r="O1570" s="7"/>
      <c r="P1570" s="20" t="str">
        <f>IF($A1570="","",INDEX(Project_Tracker!$I$2:$I$101,INT((ROW()-6)/17)+1))</f>
        <v/>
      </c>
      <c r="Q1570" s="20" t="str">
        <f>IF($A1570="","",INDEX(Project_Tracker!$K$2:$K$101,INT((ROW()-6)/17)+1))</f>
        <v/>
      </c>
    </row>
    <row r="1571" spans="1:17" x14ac:dyDescent="0.2">
      <c r="A1571" s="20" t="str">
        <f>IF(INDEX(Project_Tracker!$AL$2:$AL$101,INT((ROW()-6)/17)+1)="","",INDEX(Project_Tracker!$AL$2:$AL$101,INT((ROW()-6)/17)+1))</f>
        <v/>
      </c>
      <c r="B1571" s="21" t="str">
        <f>IF($A1571="","",INDEX(Project_Tracker!$AM$2:$AM$101,INT((ROW()-6)/17)+1))</f>
        <v/>
      </c>
      <c r="C1571" s="20" t="str">
        <f>IF($A1571="","",INDEX(Project_Tracker!$C$2:$C$101,INT((ROW()-6)/17)+1))</f>
        <v/>
      </c>
      <c r="D1571" s="6" t="str">
        <f>IF($A1571="","",INDEX(Project_Tracker!$T$2:$T$101,INT((ROW()-6)/17)+1))</f>
        <v/>
      </c>
      <c r="E1571" s="18">
        <f t="shared" si="120"/>
        <v>2</v>
      </c>
      <c r="F1571" s="23" t="str">
        <f>IF($A1571="","",INDEX('Logic &amp; Lists'!$I$4:$I$20,$E1571))</f>
        <v/>
      </c>
      <c r="G1571" s="18" t="str">
        <f>IF($A1571="","",INDEX('Logic &amp; Lists'!$J$4:$J$20,$E1571))</f>
        <v/>
      </c>
      <c r="H1571" s="6" t="str">
        <f t="shared" si="121"/>
        <v/>
      </c>
      <c r="I1571" s="18" t="str">
        <f t="shared" ca="1" si="122"/>
        <v/>
      </c>
      <c r="J1571" s="5" t="str">
        <f t="shared" si="123"/>
        <v/>
      </c>
      <c r="K1571" s="25"/>
      <c r="L1571" s="5" t="str">
        <f t="shared" si="124"/>
        <v/>
      </c>
      <c r="M1571" s="7"/>
      <c r="N1571" s="7"/>
      <c r="O1571" s="7"/>
      <c r="P1571" s="20" t="str">
        <f>IF($A1571="","",INDEX(Project_Tracker!$I$2:$I$101,INT((ROW()-6)/17)+1))</f>
        <v/>
      </c>
      <c r="Q1571" s="20" t="str">
        <f>IF($A1571="","",INDEX(Project_Tracker!$K$2:$K$101,INT((ROW()-6)/17)+1))</f>
        <v/>
      </c>
    </row>
    <row r="1572" spans="1:17" x14ac:dyDescent="0.2">
      <c r="A1572" s="20" t="str">
        <f>IF(INDEX(Project_Tracker!$AL$2:$AL$101,INT((ROW()-6)/17)+1)="","",INDEX(Project_Tracker!$AL$2:$AL$101,INT((ROW()-6)/17)+1))</f>
        <v/>
      </c>
      <c r="B1572" s="21" t="str">
        <f>IF($A1572="","",INDEX(Project_Tracker!$AM$2:$AM$101,INT((ROW()-6)/17)+1))</f>
        <v/>
      </c>
      <c r="C1572" s="20" t="str">
        <f>IF($A1572="","",INDEX(Project_Tracker!$C$2:$C$101,INT((ROW()-6)/17)+1))</f>
        <v/>
      </c>
      <c r="D1572" s="6" t="str">
        <f>IF($A1572="","",INDEX(Project_Tracker!$T$2:$T$101,INT((ROW()-6)/17)+1))</f>
        <v/>
      </c>
      <c r="E1572" s="18">
        <f t="shared" si="120"/>
        <v>3</v>
      </c>
      <c r="F1572" s="23" t="str">
        <f>IF($A1572="","",INDEX('Logic &amp; Lists'!$I$4:$I$20,$E1572))</f>
        <v/>
      </c>
      <c r="G1572" s="18" t="str">
        <f>IF($A1572="","",INDEX('Logic &amp; Lists'!$J$4:$J$20,$E1572))</f>
        <v/>
      </c>
      <c r="H1572" s="6" t="str">
        <f t="shared" si="121"/>
        <v/>
      </c>
      <c r="I1572" s="18" t="str">
        <f t="shared" ca="1" si="122"/>
        <v/>
      </c>
      <c r="J1572" s="5" t="str">
        <f t="shared" si="123"/>
        <v/>
      </c>
      <c r="K1572" s="25"/>
      <c r="L1572" s="5" t="str">
        <f t="shared" si="124"/>
        <v/>
      </c>
      <c r="M1572" s="7"/>
      <c r="N1572" s="7"/>
      <c r="O1572" s="7"/>
      <c r="P1572" s="20" t="str">
        <f>IF($A1572="","",INDEX(Project_Tracker!$I$2:$I$101,INT((ROW()-6)/17)+1))</f>
        <v/>
      </c>
      <c r="Q1572" s="20" t="str">
        <f>IF($A1572="","",INDEX(Project_Tracker!$K$2:$K$101,INT((ROW()-6)/17)+1))</f>
        <v/>
      </c>
    </row>
    <row r="1573" spans="1:17" x14ac:dyDescent="0.2">
      <c r="A1573" s="20" t="str">
        <f>IF(INDEX(Project_Tracker!$AL$2:$AL$101,INT((ROW()-6)/17)+1)="","",INDEX(Project_Tracker!$AL$2:$AL$101,INT((ROW()-6)/17)+1))</f>
        <v/>
      </c>
      <c r="B1573" s="21" t="str">
        <f>IF($A1573="","",INDEX(Project_Tracker!$AM$2:$AM$101,INT((ROW()-6)/17)+1))</f>
        <v/>
      </c>
      <c r="C1573" s="20" t="str">
        <f>IF($A1573="","",INDEX(Project_Tracker!$C$2:$C$101,INT((ROW()-6)/17)+1))</f>
        <v/>
      </c>
      <c r="D1573" s="6" t="str">
        <f>IF($A1573="","",INDEX(Project_Tracker!$T$2:$T$101,INT((ROW()-6)/17)+1))</f>
        <v/>
      </c>
      <c r="E1573" s="18">
        <f t="shared" si="120"/>
        <v>4</v>
      </c>
      <c r="F1573" s="23" t="str">
        <f>IF($A1573="","",INDEX('Logic &amp; Lists'!$I$4:$I$20,$E1573))</f>
        <v/>
      </c>
      <c r="G1573" s="18" t="str">
        <f>IF($A1573="","",INDEX('Logic &amp; Lists'!$J$4:$J$20,$E1573))</f>
        <v/>
      </c>
      <c r="H1573" s="6" t="str">
        <f t="shared" si="121"/>
        <v/>
      </c>
      <c r="I1573" s="18" t="str">
        <f t="shared" ca="1" si="122"/>
        <v/>
      </c>
      <c r="J1573" s="5" t="str">
        <f t="shared" si="123"/>
        <v/>
      </c>
      <c r="K1573" s="25"/>
      <c r="L1573" s="5" t="str">
        <f t="shared" si="124"/>
        <v/>
      </c>
      <c r="M1573" s="7"/>
      <c r="N1573" s="7"/>
      <c r="O1573" s="7"/>
      <c r="P1573" s="20" t="str">
        <f>IF($A1573="","",INDEX(Project_Tracker!$I$2:$I$101,INT((ROW()-6)/17)+1))</f>
        <v/>
      </c>
      <c r="Q1573" s="20" t="str">
        <f>IF($A1573="","",INDEX(Project_Tracker!$K$2:$K$101,INT((ROW()-6)/17)+1))</f>
        <v/>
      </c>
    </row>
    <row r="1574" spans="1:17" x14ac:dyDescent="0.2">
      <c r="A1574" s="20" t="str">
        <f>IF(INDEX(Project_Tracker!$AL$2:$AL$101,INT((ROW()-6)/17)+1)="","",INDEX(Project_Tracker!$AL$2:$AL$101,INT((ROW()-6)/17)+1))</f>
        <v/>
      </c>
      <c r="B1574" s="21" t="str">
        <f>IF($A1574="","",INDEX(Project_Tracker!$AM$2:$AM$101,INT((ROW()-6)/17)+1))</f>
        <v/>
      </c>
      <c r="C1574" s="20" t="str">
        <f>IF($A1574="","",INDEX(Project_Tracker!$C$2:$C$101,INT((ROW()-6)/17)+1))</f>
        <v/>
      </c>
      <c r="D1574" s="6" t="str">
        <f>IF($A1574="","",INDEX(Project_Tracker!$T$2:$T$101,INT((ROW()-6)/17)+1))</f>
        <v/>
      </c>
      <c r="E1574" s="18">
        <f t="shared" si="120"/>
        <v>5</v>
      </c>
      <c r="F1574" s="23" t="str">
        <f>IF($A1574="","",INDEX('Logic &amp; Lists'!$I$4:$I$20,$E1574))</f>
        <v/>
      </c>
      <c r="G1574" s="18" t="str">
        <f>IF($A1574="","",INDEX('Logic &amp; Lists'!$J$4:$J$20,$E1574))</f>
        <v/>
      </c>
      <c r="H1574" s="6" t="str">
        <f t="shared" si="121"/>
        <v/>
      </c>
      <c r="I1574" s="18" t="str">
        <f t="shared" ca="1" si="122"/>
        <v/>
      </c>
      <c r="J1574" s="5" t="str">
        <f t="shared" si="123"/>
        <v/>
      </c>
      <c r="K1574" s="25"/>
      <c r="L1574" s="5" t="str">
        <f t="shared" si="124"/>
        <v/>
      </c>
      <c r="M1574" s="7"/>
      <c r="N1574" s="7"/>
      <c r="O1574" s="7"/>
      <c r="P1574" s="20" t="str">
        <f>IF($A1574="","",INDEX(Project_Tracker!$I$2:$I$101,INT((ROW()-6)/17)+1))</f>
        <v/>
      </c>
      <c r="Q1574" s="20" t="str">
        <f>IF($A1574="","",INDEX(Project_Tracker!$K$2:$K$101,INT((ROW()-6)/17)+1))</f>
        <v/>
      </c>
    </row>
    <row r="1575" spans="1:17" x14ac:dyDescent="0.2">
      <c r="A1575" s="20" t="str">
        <f>IF(INDEX(Project_Tracker!$AL$2:$AL$101,INT((ROW()-6)/17)+1)="","",INDEX(Project_Tracker!$AL$2:$AL$101,INT((ROW()-6)/17)+1))</f>
        <v/>
      </c>
      <c r="B1575" s="21" t="str">
        <f>IF($A1575="","",INDEX(Project_Tracker!$AM$2:$AM$101,INT((ROW()-6)/17)+1))</f>
        <v/>
      </c>
      <c r="C1575" s="20" t="str">
        <f>IF($A1575="","",INDEX(Project_Tracker!$C$2:$C$101,INT((ROW()-6)/17)+1))</f>
        <v/>
      </c>
      <c r="D1575" s="6" t="str">
        <f>IF($A1575="","",INDEX(Project_Tracker!$T$2:$T$101,INT((ROW()-6)/17)+1))</f>
        <v/>
      </c>
      <c r="E1575" s="18">
        <f t="shared" si="120"/>
        <v>6</v>
      </c>
      <c r="F1575" s="23" t="str">
        <f>IF($A1575="","",INDEX('Logic &amp; Lists'!$I$4:$I$20,$E1575))</f>
        <v/>
      </c>
      <c r="G1575" s="18" t="str">
        <f>IF($A1575="","",INDEX('Logic &amp; Lists'!$J$4:$J$20,$E1575))</f>
        <v/>
      </c>
      <c r="H1575" s="6" t="str">
        <f t="shared" si="121"/>
        <v/>
      </c>
      <c r="I1575" s="18" t="str">
        <f t="shared" ca="1" si="122"/>
        <v/>
      </c>
      <c r="J1575" s="5" t="str">
        <f t="shared" si="123"/>
        <v/>
      </c>
      <c r="K1575" s="25"/>
      <c r="L1575" s="5" t="str">
        <f t="shared" si="124"/>
        <v/>
      </c>
      <c r="M1575" s="7"/>
      <c r="N1575" s="7"/>
      <c r="O1575" s="7"/>
      <c r="P1575" s="20" t="str">
        <f>IF($A1575="","",INDEX(Project_Tracker!$I$2:$I$101,INT((ROW()-6)/17)+1))</f>
        <v/>
      </c>
      <c r="Q1575" s="20" t="str">
        <f>IF($A1575="","",INDEX(Project_Tracker!$K$2:$K$101,INT((ROW()-6)/17)+1))</f>
        <v/>
      </c>
    </row>
    <row r="1576" spans="1:17" x14ac:dyDescent="0.2">
      <c r="A1576" s="20" t="str">
        <f>IF(INDEX(Project_Tracker!$AL$2:$AL$101,INT((ROW()-6)/17)+1)="","",INDEX(Project_Tracker!$AL$2:$AL$101,INT((ROW()-6)/17)+1))</f>
        <v/>
      </c>
      <c r="B1576" s="21" t="str">
        <f>IF($A1576="","",INDEX(Project_Tracker!$AM$2:$AM$101,INT((ROW()-6)/17)+1))</f>
        <v/>
      </c>
      <c r="C1576" s="20" t="str">
        <f>IF($A1576="","",INDEX(Project_Tracker!$C$2:$C$101,INT((ROW()-6)/17)+1))</f>
        <v/>
      </c>
      <c r="D1576" s="6" t="str">
        <f>IF($A1576="","",INDEX(Project_Tracker!$T$2:$T$101,INT((ROW()-6)/17)+1))</f>
        <v/>
      </c>
      <c r="E1576" s="18">
        <f t="shared" si="120"/>
        <v>7</v>
      </c>
      <c r="F1576" s="23" t="str">
        <f>IF($A1576="","",INDEX('Logic &amp; Lists'!$I$4:$I$20,$E1576))</f>
        <v/>
      </c>
      <c r="G1576" s="18" t="str">
        <f>IF($A1576="","",INDEX('Logic &amp; Lists'!$J$4:$J$20,$E1576))</f>
        <v/>
      </c>
      <c r="H1576" s="6" t="str">
        <f t="shared" si="121"/>
        <v/>
      </c>
      <c r="I1576" s="18" t="str">
        <f t="shared" ca="1" si="122"/>
        <v/>
      </c>
      <c r="J1576" s="5" t="str">
        <f t="shared" si="123"/>
        <v/>
      </c>
      <c r="K1576" s="25"/>
      <c r="L1576" s="5" t="str">
        <f t="shared" si="124"/>
        <v/>
      </c>
      <c r="M1576" s="7"/>
      <c r="N1576" s="7"/>
      <c r="O1576" s="7"/>
      <c r="P1576" s="20" t="str">
        <f>IF($A1576="","",INDEX(Project_Tracker!$I$2:$I$101,INT((ROW()-6)/17)+1))</f>
        <v/>
      </c>
      <c r="Q1576" s="20" t="str">
        <f>IF($A1576="","",INDEX(Project_Tracker!$K$2:$K$101,INT((ROW()-6)/17)+1))</f>
        <v/>
      </c>
    </row>
    <row r="1577" spans="1:17" x14ac:dyDescent="0.2">
      <c r="A1577" s="20" t="str">
        <f>IF(INDEX(Project_Tracker!$AL$2:$AL$101,INT((ROW()-6)/17)+1)="","",INDEX(Project_Tracker!$AL$2:$AL$101,INT((ROW()-6)/17)+1))</f>
        <v/>
      </c>
      <c r="B1577" s="21" t="str">
        <f>IF($A1577="","",INDEX(Project_Tracker!$AM$2:$AM$101,INT((ROW()-6)/17)+1))</f>
        <v/>
      </c>
      <c r="C1577" s="20" t="str">
        <f>IF($A1577="","",INDEX(Project_Tracker!$C$2:$C$101,INT((ROW()-6)/17)+1))</f>
        <v/>
      </c>
      <c r="D1577" s="6" t="str">
        <f>IF($A1577="","",INDEX(Project_Tracker!$T$2:$T$101,INT((ROW()-6)/17)+1))</f>
        <v/>
      </c>
      <c r="E1577" s="18">
        <f t="shared" si="120"/>
        <v>8</v>
      </c>
      <c r="F1577" s="23" t="str">
        <f>IF($A1577="","",INDEX('Logic &amp; Lists'!$I$4:$I$20,$E1577))</f>
        <v/>
      </c>
      <c r="G1577" s="18" t="str">
        <f>IF($A1577="","",INDEX('Logic &amp; Lists'!$J$4:$J$20,$E1577))</f>
        <v/>
      </c>
      <c r="H1577" s="6" t="str">
        <f t="shared" si="121"/>
        <v/>
      </c>
      <c r="I1577" s="18" t="str">
        <f t="shared" ca="1" si="122"/>
        <v/>
      </c>
      <c r="J1577" s="5" t="str">
        <f t="shared" si="123"/>
        <v/>
      </c>
      <c r="K1577" s="25"/>
      <c r="L1577" s="5" t="str">
        <f t="shared" si="124"/>
        <v/>
      </c>
      <c r="M1577" s="7"/>
      <c r="N1577" s="7"/>
      <c r="O1577" s="7"/>
      <c r="P1577" s="20" t="str">
        <f>IF($A1577="","",INDEX(Project_Tracker!$I$2:$I$101,INT((ROW()-6)/17)+1))</f>
        <v/>
      </c>
      <c r="Q1577" s="20" t="str">
        <f>IF($A1577="","",INDEX(Project_Tracker!$K$2:$K$101,INT((ROW()-6)/17)+1))</f>
        <v/>
      </c>
    </row>
    <row r="1578" spans="1:17" x14ac:dyDescent="0.2">
      <c r="A1578" s="20" t="str">
        <f>IF(INDEX(Project_Tracker!$AL$2:$AL$101,INT((ROW()-6)/17)+1)="","",INDEX(Project_Tracker!$AL$2:$AL$101,INT((ROW()-6)/17)+1))</f>
        <v/>
      </c>
      <c r="B1578" s="21" t="str">
        <f>IF($A1578="","",INDEX(Project_Tracker!$AM$2:$AM$101,INT((ROW()-6)/17)+1))</f>
        <v/>
      </c>
      <c r="C1578" s="20" t="str">
        <f>IF($A1578="","",INDEX(Project_Tracker!$C$2:$C$101,INT((ROW()-6)/17)+1))</f>
        <v/>
      </c>
      <c r="D1578" s="6" t="str">
        <f>IF($A1578="","",INDEX(Project_Tracker!$T$2:$T$101,INT((ROW()-6)/17)+1))</f>
        <v/>
      </c>
      <c r="E1578" s="18">
        <f t="shared" si="120"/>
        <v>9</v>
      </c>
      <c r="F1578" s="23" t="str">
        <f>IF($A1578="","",INDEX('Logic &amp; Lists'!$I$4:$I$20,$E1578))</f>
        <v/>
      </c>
      <c r="G1578" s="18" t="str">
        <f>IF($A1578="","",INDEX('Logic &amp; Lists'!$J$4:$J$20,$E1578))</f>
        <v/>
      </c>
      <c r="H1578" s="6" t="str">
        <f t="shared" si="121"/>
        <v/>
      </c>
      <c r="I1578" s="18" t="str">
        <f t="shared" ca="1" si="122"/>
        <v/>
      </c>
      <c r="J1578" s="5" t="str">
        <f t="shared" si="123"/>
        <v/>
      </c>
      <c r="K1578" s="25"/>
      <c r="L1578" s="5" t="str">
        <f t="shared" si="124"/>
        <v/>
      </c>
      <c r="M1578" s="7"/>
      <c r="N1578" s="7"/>
      <c r="O1578" s="7"/>
      <c r="P1578" s="20" t="str">
        <f>IF($A1578="","",INDEX(Project_Tracker!$I$2:$I$101,INT((ROW()-6)/17)+1))</f>
        <v/>
      </c>
      <c r="Q1578" s="20" t="str">
        <f>IF($A1578="","",INDEX(Project_Tracker!$K$2:$K$101,INT((ROW()-6)/17)+1))</f>
        <v/>
      </c>
    </row>
    <row r="1579" spans="1:17" x14ac:dyDescent="0.2">
      <c r="A1579" s="20" t="str">
        <f>IF(INDEX(Project_Tracker!$AL$2:$AL$101,INT((ROW()-6)/17)+1)="","",INDEX(Project_Tracker!$AL$2:$AL$101,INT((ROW()-6)/17)+1))</f>
        <v/>
      </c>
      <c r="B1579" s="21" t="str">
        <f>IF($A1579="","",INDEX(Project_Tracker!$AM$2:$AM$101,INT((ROW()-6)/17)+1))</f>
        <v/>
      </c>
      <c r="C1579" s="20" t="str">
        <f>IF($A1579="","",INDEX(Project_Tracker!$C$2:$C$101,INT((ROW()-6)/17)+1))</f>
        <v/>
      </c>
      <c r="D1579" s="6" t="str">
        <f>IF($A1579="","",INDEX(Project_Tracker!$T$2:$T$101,INT((ROW()-6)/17)+1))</f>
        <v/>
      </c>
      <c r="E1579" s="18">
        <f t="shared" si="120"/>
        <v>10</v>
      </c>
      <c r="F1579" s="23" t="str">
        <f>IF($A1579="","",INDEX('Logic &amp; Lists'!$I$4:$I$20,$E1579))</f>
        <v/>
      </c>
      <c r="G1579" s="18" t="str">
        <f>IF($A1579="","",INDEX('Logic &amp; Lists'!$J$4:$J$20,$E1579))</f>
        <v/>
      </c>
      <c r="H1579" s="6" t="str">
        <f t="shared" si="121"/>
        <v/>
      </c>
      <c r="I1579" s="18" t="str">
        <f t="shared" ca="1" si="122"/>
        <v/>
      </c>
      <c r="J1579" s="5" t="str">
        <f t="shared" si="123"/>
        <v/>
      </c>
      <c r="K1579" s="25"/>
      <c r="L1579" s="5" t="str">
        <f t="shared" si="124"/>
        <v/>
      </c>
      <c r="M1579" s="7"/>
      <c r="N1579" s="7"/>
      <c r="O1579" s="7"/>
      <c r="P1579" s="20" t="str">
        <f>IF($A1579="","",INDEX(Project_Tracker!$I$2:$I$101,INT((ROW()-6)/17)+1))</f>
        <v/>
      </c>
      <c r="Q1579" s="20" t="str">
        <f>IF($A1579="","",INDEX(Project_Tracker!$K$2:$K$101,INT((ROW()-6)/17)+1))</f>
        <v/>
      </c>
    </row>
    <row r="1580" spans="1:17" x14ac:dyDescent="0.2">
      <c r="A1580" s="20" t="str">
        <f>IF(INDEX(Project_Tracker!$AL$2:$AL$101,INT((ROW()-6)/17)+1)="","",INDEX(Project_Tracker!$AL$2:$AL$101,INT((ROW()-6)/17)+1))</f>
        <v/>
      </c>
      <c r="B1580" s="21" t="str">
        <f>IF($A1580="","",INDEX(Project_Tracker!$AM$2:$AM$101,INT((ROW()-6)/17)+1))</f>
        <v/>
      </c>
      <c r="C1580" s="20" t="str">
        <f>IF($A1580="","",INDEX(Project_Tracker!$C$2:$C$101,INT((ROW()-6)/17)+1))</f>
        <v/>
      </c>
      <c r="D1580" s="6" t="str">
        <f>IF($A1580="","",INDEX(Project_Tracker!$T$2:$T$101,INT((ROW()-6)/17)+1))</f>
        <v/>
      </c>
      <c r="E1580" s="18">
        <f t="shared" si="120"/>
        <v>11</v>
      </c>
      <c r="F1580" s="23" t="str">
        <f>IF($A1580="","",INDEX('Logic &amp; Lists'!$I$4:$I$20,$E1580))</f>
        <v/>
      </c>
      <c r="G1580" s="18" t="str">
        <f>IF($A1580="","",INDEX('Logic &amp; Lists'!$J$4:$J$20,$E1580))</f>
        <v/>
      </c>
      <c r="H1580" s="6" t="str">
        <f t="shared" si="121"/>
        <v/>
      </c>
      <c r="I1580" s="18" t="str">
        <f t="shared" ca="1" si="122"/>
        <v/>
      </c>
      <c r="J1580" s="5" t="str">
        <f t="shared" si="123"/>
        <v/>
      </c>
      <c r="K1580" s="25"/>
      <c r="L1580" s="5" t="str">
        <f t="shared" si="124"/>
        <v/>
      </c>
      <c r="M1580" s="7"/>
      <c r="N1580" s="7"/>
      <c r="O1580" s="7"/>
      <c r="P1580" s="20" t="str">
        <f>IF($A1580="","",INDEX(Project_Tracker!$I$2:$I$101,INT((ROW()-6)/17)+1))</f>
        <v/>
      </c>
      <c r="Q1580" s="20" t="str">
        <f>IF($A1580="","",INDEX(Project_Tracker!$K$2:$K$101,INT((ROW()-6)/17)+1))</f>
        <v/>
      </c>
    </row>
    <row r="1581" spans="1:17" x14ac:dyDescent="0.2">
      <c r="A1581" s="20" t="str">
        <f>IF(INDEX(Project_Tracker!$AL$2:$AL$101,INT((ROW()-6)/17)+1)="","",INDEX(Project_Tracker!$AL$2:$AL$101,INT((ROW()-6)/17)+1))</f>
        <v/>
      </c>
      <c r="B1581" s="21" t="str">
        <f>IF($A1581="","",INDEX(Project_Tracker!$AM$2:$AM$101,INT((ROW()-6)/17)+1))</f>
        <v/>
      </c>
      <c r="C1581" s="20" t="str">
        <f>IF($A1581="","",INDEX(Project_Tracker!$C$2:$C$101,INT((ROW()-6)/17)+1))</f>
        <v/>
      </c>
      <c r="D1581" s="6" t="str">
        <f>IF($A1581="","",INDEX(Project_Tracker!$T$2:$T$101,INT((ROW()-6)/17)+1))</f>
        <v/>
      </c>
      <c r="E1581" s="18">
        <f t="shared" si="120"/>
        <v>12</v>
      </c>
      <c r="F1581" s="23" t="str">
        <f>IF($A1581="","",INDEX('Logic &amp; Lists'!$I$4:$I$20,$E1581))</f>
        <v/>
      </c>
      <c r="G1581" s="18" t="str">
        <f>IF($A1581="","",INDEX('Logic &amp; Lists'!$J$4:$J$20,$E1581))</f>
        <v/>
      </c>
      <c r="H1581" s="6" t="str">
        <f t="shared" si="121"/>
        <v/>
      </c>
      <c r="I1581" s="18" t="str">
        <f t="shared" ca="1" si="122"/>
        <v/>
      </c>
      <c r="J1581" s="5" t="str">
        <f t="shared" si="123"/>
        <v/>
      </c>
      <c r="K1581" s="25"/>
      <c r="L1581" s="5" t="str">
        <f t="shared" si="124"/>
        <v/>
      </c>
      <c r="M1581" s="7"/>
      <c r="N1581" s="7"/>
      <c r="O1581" s="7"/>
      <c r="P1581" s="20" t="str">
        <f>IF($A1581="","",INDEX(Project_Tracker!$I$2:$I$101,INT((ROW()-6)/17)+1))</f>
        <v/>
      </c>
      <c r="Q1581" s="20" t="str">
        <f>IF($A1581="","",INDEX(Project_Tracker!$K$2:$K$101,INT((ROW()-6)/17)+1))</f>
        <v/>
      </c>
    </row>
    <row r="1582" spans="1:17" x14ac:dyDescent="0.2">
      <c r="A1582" s="20" t="str">
        <f>IF(INDEX(Project_Tracker!$AL$2:$AL$101,INT((ROW()-6)/17)+1)="","",INDEX(Project_Tracker!$AL$2:$AL$101,INT((ROW()-6)/17)+1))</f>
        <v/>
      </c>
      <c r="B1582" s="21" t="str">
        <f>IF($A1582="","",INDEX(Project_Tracker!$AM$2:$AM$101,INT((ROW()-6)/17)+1))</f>
        <v/>
      </c>
      <c r="C1582" s="20" t="str">
        <f>IF($A1582="","",INDEX(Project_Tracker!$C$2:$C$101,INT((ROW()-6)/17)+1))</f>
        <v/>
      </c>
      <c r="D1582" s="6" t="str">
        <f>IF($A1582="","",INDEX(Project_Tracker!$T$2:$T$101,INT((ROW()-6)/17)+1))</f>
        <v/>
      </c>
      <c r="E1582" s="18">
        <f t="shared" si="120"/>
        <v>13</v>
      </c>
      <c r="F1582" s="23" t="str">
        <f>IF($A1582="","",INDEX('Logic &amp; Lists'!$I$4:$I$20,$E1582))</f>
        <v/>
      </c>
      <c r="G1582" s="18" t="str">
        <f>IF($A1582="","",INDEX('Logic &amp; Lists'!$J$4:$J$20,$E1582))</f>
        <v/>
      </c>
      <c r="H1582" s="6" t="str">
        <f t="shared" si="121"/>
        <v/>
      </c>
      <c r="I1582" s="18" t="str">
        <f t="shared" ca="1" si="122"/>
        <v/>
      </c>
      <c r="J1582" s="5" t="str">
        <f t="shared" si="123"/>
        <v/>
      </c>
      <c r="K1582" s="25"/>
      <c r="L1582" s="5" t="str">
        <f t="shared" si="124"/>
        <v/>
      </c>
      <c r="M1582" s="7"/>
      <c r="N1582" s="7"/>
      <c r="O1582" s="7"/>
      <c r="P1582" s="20" t="str">
        <f>IF($A1582="","",INDEX(Project_Tracker!$I$2:$I$101,INT((ROW()-6)/17)+1))</f>
        <v/>
      </c>
      <c r="Q1582" s="20" t="str">
        <f>IF($A1582="","",INDEX(Project_Tracker!$K$2:$K$101,INT((ROW()-6)/17)+1))</f>
        <v/>
      </c>
    </row>
    <row r="1583" spans="1:17" x14ac:dyDescent="0.2">
      <c r="A1583" s="20" t="str">
        <f>IF(INDEX(Project_Tracker!$AL$2:$AL$101,INT((ROW()-6)/17)+1)="","",INDEX(Project_Tracker!$AL$2:$AL$101,INT((ROW()-6)/17)+1))</f>
        <v/>
      </c>
      <c r="B1583" s="21" t="str">
        <f>IF($A1583="","",INDEX(Project_Tracker!$AM$2:$AM$101,INT((ROW()-6)/17)+1))</f>
        <v/>
      </c>
      <c r="C1583" s="20" t="str">
        <f>IF($A1583="","",INDEX(Project_Tracker!$C$2:$C$101,INT((ROW()-6)/17)+1))</f>
        <v/>
      </c>
      <c r="D1583" s="6" t="str">
        <f>IF($A1583="","",INDEX(Project_Tracker!$T$2:$T$101,INT((ROW()-6)/17)+1))</f>
        <v/>
      </c>
      <c r="E1583" s="18">
        <f t="shared" si="120"/>
        <v>14</v>
      </c>
      <c r="F1583" s="23" t="str">
        <f>IF($A1583="","",INDEX('Logic &amp; Lists'!$I$4:$I$20,$E1583))</f>
        <v/>
      </c>
      <c r="G1583" s="18" t="str">
        <f>IF($A1583="","",INDEX('Logic &amp; Lists'!$J$4:$J$20,$E1583))</f>
        <v/>
      </c>
      <c r="H1583" s="6" t="str">
        <f t="shared" si="121"/>
        <v/>
      </c>
      <c r="I1583" s="18" t="str">
        <f t="shared" ca="1" si="122"/>
        <v/>
      </c>
      <c r="J1583" s="5" t="str">
        <f t="shared" si="123"/>
        <v/>
      </c>
      <c r="K1583" s="25"/>
      <c r="L1583" s="5" t="str">
        <f t="shared" si="124"/>
        <v/>
      </c>
      <c r="M1583" s="7"/>
      <c r="N1583" s="7"/>
      <c r="O1583" s="7"/>
      <c r="P1583" s="20" t="str">
        <f>IF($A1583="","",INDEX(Project_Tracker!$I$2:$I$101,INT((ROW()-6)/17)+1))</f>
        <v/>
      </c>
      <c r="Q1583" s="20" t="str">
        <f>IF($A1583="","",INDEX(Project_Tracker!$K$2:$K$101,INT((ROW()-6)/17)+1))</f>
        <v/>
      </c>
    </row>
    <row r="1584" spans="1:17" x14ac:dyDescent="0.2">
      <c r="A1584" s="20" t="str">
        <f>IF(INDEX(Project_Tracker!$AL$2:$AL$101,INT((ROW()-6)/17)+1)="","",INDEX(Project_Tracker!$AL$2:$AL$101,INT((ROW()-6)/17)+1))</f>
        <v/>
      </c>
      <c r="B1584" s="21" t="str">
        <f>IF($A1584="","",INDEX(Project_Tracker!$AM$2:$AM$101,INT((ROW()-6)/17)+1))</f>
        <v/>
      </c>
      <c r="C1584" s="20" t="str">
        <f>IF($A1584="","",INDEX(Project_Tracker!$C$2:$C$101,INT((ROW()-6)/17)+1))</f>
        <v/>
      </c>
      <c r="D1584" s="6" t="str">
        <f>IF($A1584="","",INDEX(Project_Tracker!$T$2:$T$101,INT((ROW()-6)/17)+1))</f>
        <v/>
      </c>
      <c r="E1584" s="18">
        <f t="shared" si="120"/>
        <v>15</v>
      </c>
      <c r="F1584" s="23" t="str">
        <f>IF($A1584="","",INDEX('Logic &amp; Lists'!$I$4:$I$20,$E1584))</f>
        <v/>
      </c>
      <c r="G1584" s="18" t="str">
        <f>IF($A1584="","",INDEX('Logic &amp; Lists'!$J$4:$J$20,$E1584))</f>
        <v/>
      </c>
      <c r="H1584" s="6" t="str">
        <f t="shared" si="121"/>
        <v/>
      </c>
      <c r="I1584" s="18" t="str">
        <f t="shared" ca="1" si="122"/>
        <v/>
      </c>
      <c r="J1584" s="5" t="str">
        <f t="shared" si="123"/>
        <v/>
      </c>
      <c r="K1584" s="25"/>
      <c r="L1584" s="5" t="str">
        <f t="shared" si="124"/>
        <v/>
      </c>
      <c r="M1584" s="7"/>
      <c r="N1584" s="7"/>
      <c r="O1584" s="7"/>
      <c r="P1584" s="20" t="str">
        <f>IF($A1584="","",INDEX(Project_Tracker!$I$2:$I$101,INT((ROW()-6)/17)+1))</f>
        <v/>
      </c>
      <c r="Q1584" s="20" t="str">
        <f>IF($A1584="","",INDEX(Project_Tracker!$K$2:$K$101,INT((ROW()-6)/17)+1))</f>
        <v/>
      </c>
    </row>
    <row r="1585" spans="1:17" x14ac:dyDescent="0.2">
      <c r="A1585" s="20" t="str">
        <f>IF(INDEX(Project_Tracker!$AL$2:$AL$101,INT((ROW()-6)/17)+1)="","",INDEX(Project_Tracker!$AL$2:$AL$101,INT((ROW()-6)/17)+1))</f>
        <v/>
      </c>
      <c r="B1585" s="21" t="str">
        <f>IF($A1585="","",INDEX(Project_Tracker!$AM$2:$AM$101,INT((ROW()-6)/17)+1))</f>
        <v/>
      </c>
      <c r="C1585" s="20" t="str">
        <f>IF($A1585="","",INDEX(Project_Tracker!$C$2:$C$101,INT((ROW()-6)/17)+1))</f>
        <v/>
      </c>
      <c r="D1585" s="6" t="str">
        <f>IF($A1585="","",INDEX(Project_Tracker!$T$2:$T$101,INT((ROW()-6)/17)+1))</f>
        <v/>
      </c>
      <c r="E1585" s="18">
        <f t="shared" si="120"/>
        <v>16</v>
      </c>
      <c r="F1585" s="23" t="str">
        <f>IF($A1585="","",INDEX('Logic &amp; Lists'!$I$4:$I$20,$E1585))</f>
        <v/>
      </c>
      <c r="G1585" s="18" t="str">
        <f>IF($A1585="","",INDEX('Logic &amp; Lists'!$J$4:$J$20,$E1585))</f>
        <v/>
      </c>
      <c r="H1585" s="6" t="str">
        <f t="shared" si="121"/>
        <v/>
      </c>
      <c r="I1585" s="18" t="str">
        <f t="shared" ca="1" si="122"/>
        <v/>
      </c>
      <c r="J1585" s="5" t="str">
        <f t="shared" si="123"/>
        <v/>
      </c>
      <c r="K1585" s="25"/>
      <c r="L1585" s="5" t="str">
        <f t="shared" si="124"/>
        <v/>
      </c>
      <c r="M1585" s="7"/>
      <c r="N1585" s="7"/>
      <c r="O1585" s="7"/>
      <c r="P1585" s="20" t="str">
        <f>IF($A1585="","",INDEX(Project_Tracker!$I$2:$I$101,INT((ROW()-6)/17)+1))</f>
        <v/>
      </c>
      <c r="Q1585" s="20" t="str">
        <f>IF($A1585="","",INDEX(Project_Tracker!$K$2:$K$101,INT((ROW()-6)/17)+1))</f>
        <v/>
      </c>
    </row>
    <row r="1586" spans="1:17" x14ac:dyDescent="0.2">
      <c r="A1586" s="20" t="str">
        <f>IF(INDEX(Project_Tracker!$AL$2:$AL$101,INT((ROW()-6)/17)+1)="","",INDEX(Project_Tracker!$AL$2:$AL$101,INT((ROW()-6)/17)+1))</f>
        <v/>
      </c>
      <c r="B1586" s="21" t="str">
        <f>IF($A1586="","",INDEX(Project_Tracker!$AM$2:$AM$101,INT((ROW()-6)/17)+1))</f>
        <v/>
      </c>
      <c r="C1586" s="20" t="str">
        <f>IF($A1586="","",INDEX(Project_Tracker!$C$2:$C$101,INT((ROW()-6)/17)+1))</f>
        <v/>
      </c>
      <c r="D1586" s="6" t="str">
        <f>IF($A1586="","",INDEX(Project_Tracker!$T$2:$T$101,INT((ROW()-6)/17)+1))</f>
        <v/>
      </c>
      <c r="E1586" s="18">
        <f t="shared" si="120"/>
        <v>17</v>
      </c>
      <c r="F1586" s="23" t="str">
        <f>IF($A1586="","",INDEX('Logic &amp; Lists'!$I$4:$I$20,$E1586))</f>
        <v/>
      </c>
      <c r="G1586" s="18" t="str">
        <f>IF($A1586="","",INDEX('Logic &amp; Lists'!$J$4:$J$20,$E1586))</f>
        <v/>
      </c>
      <c r="H1586" s="6" t="str">
        <f t="shared" si="121"/>
        <v/>
      </c>
      <c r="I1586" s="18" t="str">
        <f t="shared" ca="1" si="122"/>
        <v/>
      </c>
      <c r="J1586" s="5" t="str">
        <f t="shared" si="123"/>
        <v/>
      </c>
      <c r="K1586" s="25"/>
      <c r="L1586" s="5" t="str">
        <f t="shared" si="124"/>
        <v/>
      </c>
      <c r="M1586" s="7"/>
      <c r="N1586" s="7"/>
      <c r="O1586" s="7"/>
      <c r="P1586" s="20" t="str">
        <f>IF($A1586="","",INDEX(Project_Tracker!$I$2:$I$101,INT((ROW()-6)/17)+1))</f>
        <v/>
      </c>
      <c r="Q1586" s="20" t="str">
        <f>IF($A1586="","",INDEX(Project_Tracker!$K$2:$K$101,INT((ROW()-6)/17)+1))</f>
        <v/>
      </c>
    </row>
    <row r="1587" spans="1:17" x14ac:dyDescent="0.2">
      <c r="A1587" s="20" t="str">
        <f>IF(INDEX(Project_Tracker!$AL$2:$AL$101,INT((ROW()-6)/17)+1)="","",INDEX(Project_Tracker!$AL$2:$AL$101,INT((ROW()-6)/17)+1))</f>
        <v/>
      </c>
      <c r="B1587" s="21" t="str">
        <f>IF($A1587="","",INDEX(Project_Tracker!$AM$2:$AM$101,INT((ROW()-6)/17)+1))</f>
        <v/>
      </c>
      <c r="C1587" s="20" t="str">
        <f>IF($A1587="","",INDEX(Project_Tracker!$C$2:$C$101,INT((ROW()-6)/17)+1))</f>
        <v/>
      </c>
      <c r="D1587" s="6" t="str">
        <f>IF($A1587="","",INDEX(Project_Tracker!$T$2:$T$101,INT((ROW()-6)/17)+1))</f>
        <v/>
      </c>
      <c r="E1587" s="18">
        <f t="shared" si="120"/>
        <v>1</v>
      </c>
      <c r="F1587" s="23" t="str">
        <f>IF($A1587="","",INDEX('Logic &amp; Lists'!$I$4:$I$20,$E1587))</f>
        <v/>
      </c>
      <c r="G1587" s="18" t="str">
        <f>IF($A1587="","",INDEX('Logic &amp; Lists'!$J$4:$J$20,$E1587))</f>
        <v/>
      </c>
      <c r="H1587" s="6" t="str">
        <f t="shared" si="121"/>
        <v/>
      </c>
      <c r="I1587" s="18" t="str">
        <f t="shared" ca="1" si="122"/>
        <v/>
      </c>
      <c r="J1587" s="5" t="str">
        <f t="shared" si="123"/>
        <v/>
      </c>
      <c r="K1587" s="25"/>
      <c r="L1587" s="5" t="str">
        <f t="shared" si="124"/>
        <v/>
      </c>
      <c r="M1587" s="7"/>
      <c r="N1587" s="7"/>
      <c r="O1587" s="7"/>
      <c r="P1587" s="20" t="str">
        <f>IF($A1587="","",INDEX(Project_Tracker!$I$2:$I$101,INT((ROW()-6)/17)+1))</f>
        <v/>
      </c>
      <c r="Q1587" s="20" t="str">
        <f>IF($A1587="","",INDEX(Project_Tracker!$K$2:$K$101,INT((ROW()-6)/17)+1))</f>
        <v/>
      </c>
    </row>
    <row r="1588" spans="1:17" x14ac:dyDescent="0.2">
      <c r="A1588" s="20" t="str">
        <f>IF(INDEX(Project_Tracker!$AL$2:$AL$101,INT((ROW()-6)/17)+1)="","",INDEX(Project_Tracker!$AL$2:$AL$101,INT((ROW()-6)/17)+1))</f>
        <v/>
      </c>
      <c r="B1588" s="21" t="str">
        <f>IF($A1588="","",INDEX(Project_Tracker!$AM$2:$AM$101,INT((ROW()-6)/17)+1))</f>
        <v/>
      </c>
      <c r="C1588" s="20" t="str">
        <f>IF($A1588="","",INDEX(Project_Tracker!$C$2:$C$101,INT((ROW()-6)/17)+1))</f>
        <v/>
      </c>
      <c r="D1588" s="6" t="str">
        <f>IF($A1588="","",INDEX(Project_Tracker!$T$2:$T$101,INT((ROW()-6)/17)+1))</f>
        <v/>
      </c>
      <c r="E1588" s="18">
        <f t="shared" si="120"/>
        <v>2</v>
      </c>
      <c r="F1588" s="23" t="str">
        <f>IF($A1588="","",INDEX('Logic &amp; Lists'!$I$4:$I$20,$E1588))</f>
        <v/>
      </c>
      <c r="G1588" s="18" t="str">
        <f>IF($A1588="","",INDEX('Logic &amp; Lists'!$J$4:$J$20,$E1588))</f>
        <v/>
      </c>
      <c r="H1588" s="6" t="str">
        <f t="shared" si="121"/>
        <v/>
      </c>
      <c r="I1588" s="18" t="str">
        <f t="shared" ca="1" si="122"/>
        <v/>
      </c>
      <c r="J1588" s="5" t="str">
        <f t="shared" si="123"/>
        <v/>
      </c>
      <c r="K1588" s="25"/>
      <c r="L1588" s="5" t="str">
        <f t="shared" si="124"/>
        <v/>
      </c>
      <c r="M1588" s="7"/>
      <c r="N1588" s="7"/>
      <c r="O1588" s="7"/>
      <c r="P1588" s="20" t="str">
        <f>IF($A1588="","",INDEX(Project_Tracker!$I$2:$I$101,INT((ROW()-6)/17)+1))</f>
        <v/>
      </c>
      <c r="Q1588" s="20" t="str">
        <f>IF($A1588="","",INDEX(Project_Tracker!$K$2:$K$101,INT((ROW()-6)/17)+1))</f>
        <v/>
      </c>
    </row>
    <row r="1589" spans="1:17" x14ac:dyDescent="0.2">
      <c r="A1589" s="20" t="str">
        <f>IF(INDEX(Project_Tracker!$AL$2:$AL$101,INT((ROW()-6)/17)+1)="","",INDEX(Project_Tracker!$AL$2:$AL$101,INT((ROW()-6)/17)+1))</f>
        <v/>
      </c>
      <c r="B1589" s="21" t="str">
        <f>IF($A1589="","",INDEX(Project_Tracker!$AM$2:$AM$101,INT((ROW()-6)/17)+1))</f>
        <v/>
      </c>
      <c r="C1589" s="20" t="str">
        <f>IF($A1589="","",INDEX(Project_Tracker!$C$2:$C$101,INT((ROW()-6)/17)+1))</f>
        <v/>
      </c>
      <c r="D1589" s="6" t="str">
        <f>IF($A1589="","",INDEX(Project_Tracker!$T$2:$T$101,INT((ROW()-6)/17)+1))</f>
        <v/>
      </c>
      <c r="E1589" s="18">
        <f t="shared" si="120"/>
        <v>3</v>
      </c>
      <c r="F1589" s="23" t="str">
        <f>IF($A1589="","",INDEX('Logic &amp; Lists'!$I$4:$I$20,$E1589))</f>
        <v/>
      </c>
      <c r="G1589" s="18" t="str">
        <f>IF($A1589="","",INDEX('Logic &amp; Lists'!$J$4:$J$20,$E1589))</f>
        <v/>
      </c>
      <c r="H1589" s="6" t="str">
        <f t="shared" si="121"/>
        <v/>
      </c>
      <c r="I1589" s="18" t="str">
        <f t="shared" ca="1" si="122"/>
        <v/>
      </c>
      <c r="J1589" s="5" t="str">
        <f t="shared" si="123"/>
        <v/>
      </c>
      <c r="K1589" s="25"/>
      <c r="L1589" s="5" t="str">
        <f t="shared" si="124"/>
        <v/>
      </c>
      <c r="M1589" s="7"/>
      <c r="N1589" s="7"/>
      <c r="O1589" s="7"/>
      <c r="P1589" s="20" t="str">
        <f>IF($A1589="","",INDEX(Project_Tracker!$I$2:$I$101,INT((ROW()-6)/17)+1))</f>
        <v/>
      </c>
      <c r="Q1589" s="20" t="str">
        <f>IF($A1589="","",INDEX(Project_Tracker!$K$2:$K$101,INT((ROW()-6)/17)+1))</f>
        <v/>
      </c>
    </row>
    <row r="1590" spans="1:17" x14ac:dyDescent="0.2">
      <c r="A1590" s="20" t="str">
        <f>IF(INDEX(Project_Tracker!$AL$2:$AL$101,INT((ROW()-6)/17)+1)="","",INDEX(Project_Tracker!$AL$2:$AL$101,INT((ROW()-6)/17)+1))</f>
        <v/>
      </c>
      <c r="B1590" s="21" t="str">
        <f>IF($A1590="","",INDEX(Project_Tracker!$AM$2:$AM$101,INT((ROW()-6)/17)+1))</f>
        <v/>
      </c>
      <c r="C1590" s="20" t="str">
        <f>IF($A1590="","",INDEX(Project_Tracker!$C$2:$C$101,INT((ROW()-6)/17)+1))</f>
        <v/>
      </c>
      <c r="D1590" s="6" t="str">
        <f>IF($A1590="","",INDEX(Project_Tracker!$T$2:$T$101,INT((ROW()-6)/17)+1))</f>
        <v/>
      </c>
      <c r="E1590" s="18">
        <f t="shared" si="120"/>
        <v>4</v>
      </c>
      <c r="F1590" s="23" t="str">
        <f>IF($A1590="","",INDEX('Logic &amp; Lists'!$I$4:$I$20,$E1590))</f>
        <v/>
      </c>
      <c r="G1590" s="18" t="str">
        <f>IF($A1590="","",INDEX('Logic &amp; Lists'!$J$4:$J$20,$E1590))</f>
        <v/>
      </c>
      <c r="H1590" s="6" t="str">
        <f t="shared" si="121"/>
        <v/>
      </c>
      <c r="I1590" s="18" t="str">
        <f t="shared" ca="1" si="122"/>
        <v/>
      </c>
      <c r="J1590" s="5" t="str">
        <f t="shared" si="123"/>
        <v/>
      </c>
      <c r="K1590" s="25"/>
      <c r="L1590" s="5" t="str">
        <f t="shared" si="124"/>
        <v/>
      </c>
      <c r="M1590" s="7"/>
      <c r="N1590" s="7"/>
      <c r="O1590" s="7"/>
      <c r="P1590" s="20" t="str">
        <f>IF($A1590="","",INDEX(Project_Tracker!$I$2:$I$101,INT((ROW()-6)/17)+1))</f>
        <v/>
      </c>
      <c r="Q1590" s="20" t="str">
        <f>IF($A1590="","",INDEX(Project_Tracker!$K$2:$K$101,INT((ROW()-6)/17)+1))</f>
        <v/>
      </c>
    </row>
    <row r="1591" spans="1:17" x14ac:dyDescent="0.2">
      <c r="A1591" s="20" t="str">
        <f>IF(INDEX(Project_Tracker!$AL$2:$AL$101,INT((ROW()-6)/17)+1)="","",INDEX(Project_Tracker!$AL$2:$AL$101,INT((ROW()-6)/17)+1))</f>
        <v/>
      </c>
      <c r="B1591" s="21" t="str">
        <f>IF($A1591="","",INDEX(Project_Tracker!$AM$2:$AM$101,INT((ROW()-6)/17)+1))</f>
        <v/>
      </c>
      <c r="C1591" s="20" t="str">
        <f>IF($A1591="","",INDEX(Project_Tracker!$C$2:$C$101,INT((ROW()-6)/17)+1))</f>
        <v/>
      </c>
      <c r="D1591" s="6" t="str">
        <f>IF($A1591="","",INDEX(Project_Tracker!$T$2:$T$101,INT((ROW()-6)/17)+1))</f>
        <v/>
      </c>
      <c r="E1591" s="18">
        <f t="shared" si="120"/>
        <v>5</v>
      </c>
      <c r="F1591" s="23" t="str">
        <f>IF($A1591="","",INDEX('Logic &amp; Lists'!$I$4:$I$20,$E1591))</f>
        <v/>
      </c>
      <c r="G1591" s="18" t="str">
        <f>IF($A1591="","",INDEX('Logic &amp; Lists'!$J$4:$J$20,$E1591))</f>
        <v/>
      </c>
      <c r="H1591" s="6" t="str">
        <f t="shared" si="121"/>
        <v/>
      </c>
      <c r="I1591" s="18" t="str">
        <f t="shared" ca="1" si="122"/>
        <v/>
      </c>
      <c r="J1591" s="5" t="str">
        <f t="shared" si="123"/>
        <v/>
      </c>
      <c r="K1591" s="25"/>
      <c r="L1591" s="5" t="str">
        <f t="shared" si="124"/>
        <v/>
      </c>
      <c r="M1591" s="7"/>
      <c r="N1591" s="7"/>
      <c r="O1591" s="7"/>
      <c r="P1591" s="20" t="str">
        <f>IF($A1591="","",INDEX(Project_Tracker!$I$2:$I$101,INT((ROW()-6)/17)+1))</f>
        <v/>
      </c>
      <c r="Q1591" s="20" t="str">
        <f>IF($A1591="","",INDEX(Project_Tracker!$K$2:$K$101,INT((ROW()-6)/17)+1))</f>
        <v/>
      </c>
    </row>
    <row r="1592" spans="1:17" x14ac:dyDescent="0.2">
      <c r="A1592" s="20" t="str">
        <f>IF(INDEX(Project_Tracker!$AL$2:$AL$101,INT((ROW()-6)/17)+1)="","",INDEX(Project_Tracker!$AL$2:$AL$101,INT((ROW()-6)/17)+1))</f>
        <v/>
      </c>
      <c r="B1592" s="21" t="str">
        <f>IF($A1592="","",INDEX(Project_Tracker!$AM$2:$AM$101,INT((ROW()-6)/17)+1))</f>
        <v/>
      </c>
      <c r="C1592" s="20" t="str">
        <f>IF($A1592="","",INDEX(Project_Tracker!$C$2:$C$101,INT((ROW()-6)/17)+1))</f>
        <v/>
      </c>
      <c r="D1592" s="6" t="str">
        <f>IF($A1592="","",INDEX(Project_Tracker!$T$2:$T$101,INT((ROW()-6)/17)+1))</f>
        <v/>
      </c>
      <c r="E1592" s="18">
        <f t="shared" si="120"/>
        <v>6</v>
      </c>
      <c r="F1592" s="23" t="str">
        <f>IF($A1592="","",INDEX('Logic &amp; Lists'!$I$4:$I$20,$E1592))</f>
        <v/>
      </c>
      <c r="G1592" s="18" t="str">
        <f>IF($A1592="","",INDEX('Logic &amp; Lists'!$J$4:$J$20,$E1592))</f>
        <v/>
      </c>
      <c r="H1592" s="6" t="str">
        <f t="shared" si="121"/>
        <v/>
      </c>
      <c r="I1592" s="18" t="str">
        <f t="shared" ca="1" si="122"/>
        <v/>
      </c>
      <c r="J1592" s="5" t="str">
        <f t="shared" si="123"/>
        <v/>
      </c>
      <c r="K1592" s="25"/>
      <c r="L1592" s="5" t="str">
        <f t="shared" si="124"/>
        <v/>
      </c>
      <c r="M1592" s="7"/>
      <c r="N1592" s="7"/>
      <c r="O1592" s="7"/>
      <c r="P1592" s="20" t="str">
        <f>IF($A1592="","",INDEX(Project_Tracker!$I$2:$I$101,INT((ROW()-6)/17)+1))</f>
        <v/>
      </c>
      <c r="Q1592" s="20" t="str">
        <f>IF($A1592="","",INDEX(Project_Tracker!$K$2:$K$101,INT((ROW()-6)/17)+1))</f>
        <v/>
      </c>
    </row>
    <row r="1593" spans="1:17" x14ac:dyDescent="0.2">
      <c r="A1593" s="20" t="str">
        <f>IF(INDEX(Project_Tracker!$AL$2:$AL$101,INT((ROW()-6)/17)+1)="","",INDEX(Project_Tracker!$AL$2:$AL$101,INT((ROW()-6)/17)+1))</f>
        <v/>
      </c>
      <c r="B1593" s="21" t="str">
        <f>IF($A1593="","",INDEX(Project_Tracker!$AM$2:$AM$101,INT((ROW()-6)/17)+1))</f>
        <v/>
      </c>
      <c r="C1593" s="20" t="str">
        <f>IF($A1593="","",INDEX(Project_Tracker!$C$2:$C$101,INT((ROW()-6)/17)+1))</f>
        <v/>
      </c>
      <c r="D1593" s="6" t="str">
        <f>IF($A1593="","",INDEX(Project_Tracker!$T$2:$T$101,INT((ROW()-6)/17)+1))</f>
        <v/>
      </c>
      <c r="E1593" s="18">
        <f t="shared" si="120"/>
        <v>7</v>
      </c>
      <c r="F1593" s="23" t="str">
        <f>IF($A1593="","",INDEX('Logic &amp; Lists'!$I$4:$I$20,$E1593))</f>
        <v/>
      </c>
      <c r="G1593" s="18" t="str">
        <f>IF($A1593="","",INDEX('Logic &amp; Lists'!$J$4:$J$20,$E1593))</f>
        <v/>
      </c>
      <c r="H1593" s="6" t="str">
        <f t="shared" si="121"/>
        <v/>
      </c>
      <c r="I1593" s="18" t="str">
        <f t="shared" ca="1" si="122"/>
        <v/>
      </c>
      <c r="J1593" s="5" t="str">
        <f t="shared" si="123"/>
        <v/>
      </c>
      <c r="K1593" s="25"/>
      <c r="L1593" s="5" t="str">
        <f t="shared" si="124"/>
        <v/>
      </c>
      <c r="M1593" s="7"/>
      <c r="N1593" s="7"/>
      <c r="O1593" s="7"/>
      <c r="P1593" s="20" t="str">
        <f>IF($A1593="","",INDEX(Project_Tracker!$I$2:$I$101,INT((ROW()-6)/17)+1))</f>
        <v/>
      </c>
      <c r="Q1593" s="20" t="str">
        <f>IF($A1593="","",INDEX(Project_Tracker!$K$2:$K$101,INT((ROW()-6)/17)+1))</f>
        <v/>
      </c>
    </row>
    <row r="1594" spans="1:17" x14ac:dyDescent="0.2">
      <c r="A1594" s="20" t="str">
        <f>IF(INDEX(Project_Tracker!$AL$2:$AL$101,INT((ROW()-6)/17)+1)="","",INDEX(Project_Tracker!$AL$2:$AL$101,INT((ROW()-6)/17)+1))</f>
        <v/>
      </c>
      <c r="B1594" s="21" t="str">
        <f>IF($A1594="","",INDEX(Project_Tracker!$AM$2:$AM$101,INT((ROW()-6)/17)+1))</f>
        <v/>
      </c>
      <c r="C1594" s="20" t="str">
        <f>IF($A1594="","",INDEX(Project_Tracker!$C$2:$C$101,INT((ROW()-6)/17)+1))</f>
        <v/>
      </c>
      <c r="D1594" s="6" t="str">
        <f>IF($A1594="","",INDEX(Project_Tracker!$T$2:$T$101,INT((ROW()-6)/17)+1))</f>
        <v/>
      </c>
      <c r="E1594" s="18">
        <f t="shared" si="120"/>
        <v>8</v>
      </c>
      <c r="F1594" s="23" t="str">
        <f>IF($A1594="","",INDEX('Logic &amp; Lists'!$I$4:$I$20,$E1594))</f>
        <v/>
      </c>
      <c r="G1594" s="18" t="str">
        <f>IF($A1594="","",INDEX('Logic &amp; Lists'!$J$4:$J$20,$E1594))</f>
        <v/>
      </c>
      <c r="H1594" s="6" t="str">
        <f t="shared" si="121"/>
        <v/>
      </c>
      <c r="I1594" s="18" t="str">
        <f t="shared" ca="1" si="122"/>
        <v/>
      </c>
      <c r="J1594" s="5" t="str">
        <f t="shared" si="123"/>
        <v/>
      </c>
      <c r="K1594" s="25"/>
      <c r="L1594" s="5" t="str">
        <f t="shared" si="124"/>
        <v/>
      </c>
      <c r="M1594" s="7"/>
      <c r="N1594" s="7"/>
      <c r="O1594" s="7"/>
      <c r="P1594" s="20" t="str">
        <f>IF($A1594="","",INDEX(Project_Tracker!$I$2:$I$101,INT((ROW()-6)/17)+1))</f>
        <v/>
      </c>
      <c r="Q1594" s="20" t="str">
        <f>IF($A1594="","",INDEX(Project_Tracker!$K$2:$K$101,INT((ROW()-6)/17)+1))</f>
        <v/>
      </c>
    </row>
    <row r="1595" spans="1:17" x14ac:dyDescent="0.2">
      <c r="A1595" s="20" t="str">
        <f>IF(INDEX(Project_Tracker!$AL$2:$AL$101,INT((ROW()-6)/17)+1)="","",INDEX(Project_Tracker!$AL$2:$AL$101,INT((ROW()-6)/17)+1))</f>
        <v/>
      </c>
      <c r="B1595" s="21" t="str">
        <f>IF($A1595="","",INDEX(Project_Tracker!$AM$2:$AM$101,INT((ROW()-6)/17)+1))</f>
        <v/>
      </c>
      <c r="C1595" s="20" t="str">
        <f>IF($A1595="","",INDEX(Project_Tracker!$C$2:$C$101,INT((ROW()-6)/17)+1))</f>
        <v/>
      </c>
      <c r="D1595" s="6" t="str">
        <f>IF($A1595="","",INDEX(Project_Tracker!$T$2:$T$101,INT((ROW()-6)/17)+1))</f>
        <v/>
      </c>
      <c r="E1595" s="18">
        <f t="shared" si="120"/>
        <v>9</v>
      </c>
      <c r="F1595" s="23" t="str">
        <f>IF($A1595="","",INDEX('Logic &amp; Lists'!$I$4:$I$20,$E1595))</f>
        <v/>
      </c>
      <c r="G1595" s="18" t="str">
        <f>IF($A1595="","",INDEX('Logic &amp; Lists'!$J$4:$J$20,$E1595))</f>
        <v/>
      </c>
      <c r="H1595" s="6" t="str">
        <f t="shared" si="121"/>
        <v/>
      </c>
      <c r="I1595" s="18" t="str">
        <f t="shared" ca="1" si="122"/>
        <v/>
      </c>
      <c r="J1595" s="5" t="str">
        <f t="shared" si="123"/>
        <v/>
      </c>
      <c r="K1595" s="25"/>
      <c r="L1595" s="5" t="str">
        <f t="shared" si="124"/>
        <v/>
      </c>
      <c r="M1595" s="7"/>
      <c r="N1595" s="7"/>
      <c r="O1595" s="7"/>
      <c r="P1595" s="20" t="str">
        <f>IF($A1595="","",INDEX(Project_Tracker!$I$2:$I$101,INT((ROW()-6)/17)+1))</f>
        <v/>
      </c>
      <c r="Q1595" s="20" t="str">
        <f>IF($A1595="","",INDEX(Project_Tracker!$K$2:$K$101,INT((ROW()-6)/17)+1))</f>
        <v/>
      </c>
    </row>
    <row r="1596" spans="1:17" x14ac:dyDescent="0.2">
      <c r="A1596" s="20" t="str">
        <f>IF(INDEX(Project_Tracker!$AL$2:$AL$101,INT((ROW()-6)/17)+1)="","",INDEX(Project_Tracker!$AL$2:$AL$101,INT((ROW()-6)/17)+1))</f>
        <v/>
      </c>
      <c r="B1596" s="21" t="str">
        <f>IF($A1596="","",INDEX(Project_Tracker!$AM$2:$AM$101,INT((ROW()-6)/17)+1))</f>
        <v/>
      </c>
      <c r="C1596" s="20" t="str">
        <f>IF($A1596="","",INDEX(Project_Tracker!$C$2:$C$101,INT((ROW()-6)/17)+1))</f>
        <v/>
      </c>
      <c r="D1596" s="6" t="str">
        <f>IF($A1596="","",INDEX(Project_Tracker!$T$2:$T$101,INT((ROW()-6)/17)+1))</f>
        <v/>
      </c>
      <c r="E1596" s="18">
        <f t="shared" si="120"/>
        <v>10</v>
      </c>
      <c r="F1596" s="23" t="str">
        <f>IF($A1596="","",INDEX('Logic &amp; Lists'!$I$4:$I$20,$E1596))</f>
        <v/>
      </c>
      <c r="G1596" s="18" t="str">
        <f>IF($A1596="","",INDEX('Logic &amp; Lists'!$J$4:$J$20,$E1596))</f>
        <v/>
      </c>
      <c r="H1596" s="6" t="str">
        <f t="shared" si="121"/>
        <v/>
      </c>
      <c r="I1596" s="18" t="str">
        <f t="shared" ca="1" si="122"/>
        <v/>
      </c>
      <c r="J1596" s="5" t="str">
        <f t="shared" si="123"/>
        <v/>
      </c>
      <c r="K1596" s="25"/>
      <c r="L1596" s="5" t="str">
        <f t="shared" si="124"/>
        <v/>
      </c>
      <c r="M1596" s="7"/>
      <c r="N1596" s="7"/>
      <c r="O1596" s="7"/>
      <c r="P1596" s="20" t="str">
        <f>IF($A1596="","",INDEX(Project_Tracker!$I$2:$I$101,INT((ROW()-6)/17)+1))</f>
        <v/>
      </c>
      <c r="Q1596" s="20" t="str">
        <f>IF($A1596="","",INDEX(Project_Tracker!$K$2:$K$101,INT((ROW()-6)/17)+1))</f>
        <v/>
      </c>
    </row>
    <row r="1597" spans="1:17" x14ac:dyDescent="0.2">
      <c r="A1597" s="20" t="str">
        <f>IF(INDEX(Project_Tracker!$AL$2:$AL$101,INT((ROW()-6)/17)+1)="","",INDEX(Project_Tracker!$AL$2:$AL$101,INT((ROW()-6)/17)+1))</f>
        <v/>
      </c>
      <c r="B1597" s="21" t="str">
        <f>IF($A1597="","",INDEX(Project_Tracker!$AM$2:$AM$101,INT((ROW()-6)/17)+1))</f>
        <v/>
      </c>
      <c r="C1597" s="20" t="str">
        <f>IF($A1597="","",INDEX(Project_Tracker!$C$2:$C$101,INT((ROW()-6)/17)+1))</f>
        <v/>
      </c>
      <c r="D1597" s="6" t="str">
        <f>IF($A1597="","",INDEX(Project_Tracker!$T$2:$T$101,INT((ROW()-6)/17)+1))</f>
        <v/>
      </c>
      <c r="E1597" s="18">
        <f t="shared" si="120"/>
        <v>11</v>
      </c>
      <c r="F1597" s="23" t="str">
        <f>IF($A1597="","",INDEX('Logic &amp; Lists'!$I$4:$I$20,$E1597))</f>
        <v/>
      </c>
      <c r="G1597" s="18" t="str">
        <f>IF($A1597="","",INDEX('Logic &amp; Lists'!$J$4:$J$20,$E1597))</f>
        <v/>
      </c>
      <c r="H1597" s="6" t="str">
        <f t="shared" si="121"/>
        <v/>
      </c>
      <c r="I1597" s="18" t="str">
        <f t="shared" ca="1" si="122"/>
        <v/>
      </c>
      <c r="J1597" s="5" t="str">
        <f t="shared" si="123"/>
        <v/>
      </c>
      <c r="K1597" s="25"/>
      <c r="L1597" s="5" t="str">
        <f t="shared" si="124"/>
        <v/>
      </c>
      <c r="M1597" s="7"/>
      <c r="N1597" s="7"/>
      <c r="O1597" s="7"/>
      <c r="P1597" s="20" t="str">
        <f>IF($A1597="","",INDEX(Project_Tracker!$I$2:$I$101,INT((ROW()-6)/17)+1))</f>
        <v/>
      </c>
      <c r="Q1597" s="20" t="str">
        <f>IF($A1597="","",INDEX(Project_Tracker!$K$2:$K$101,INT((ROW()-6)/17)+1))</f>
        <v/>
      </c>
    </row>
    <row r="1598" spans="1:17" x14ac:dyDescent="0.2">
      <c r="A1598" s="20" t="str">
        <f>IF(INDEX(Project_Tracker!$AL$2:$AL$101,INT((ROW()-6)/17)+1)="","",INDEX(Project_Tracker!$AL$2:$AL$101,INT((ROW()-6)/17)+1))</f>
        <v/>
      </c>
      <c r="B1598" s="21" t="str">
        <f>IF($A1598="","",INDEX(Project_Tracker!$AM$2:$AM$101,INT((ROW()-6)/17)+1))</f>
        <v/>
      </c>
      <c r="C1598" s="20" t="str">
        <f>IF($A1598="","",INDEX(Project_Tracker!$C$2:$C$101,INT((ROW()-6)/17)+1))</f>
        <v/>
      </c>
      <c r="D1598" s="6" t="str">
        <f>IF($A1598="","",INDEX(Project_Tracker!$T$2:$T$101,INT((ROW()-6)/17)+1))</f>
        <v/>
      </c>
      <c r="E1598" s="18">
        <f t="shared" si="120"/>
        <v>12</v>
      </c>
      <c r="F1598" s="23" t="str">
        <f>IF($A1598="","",INDEX('Logic &amp; Lists'!$I$4:$I$20,$E1598))</f>
        <v/>
      </c>
      <c r="G1598" s="18" t="str">
        <f>IF($A1598="","",INDEX('Logic &amp; Lists'!$J$4:$J$20,$E1598))</f>
        <v/>
      </c>
      <c r="H1598" s="6" t="str">
        <f t="shared" si="121"/>
        <v/>
      </c>
      <c r="I1598" s="18" t="str">
        <f t="shared" ca="1" si="122"/>
        <v/>
      </c>
      <c r="J1598" s="5" t="str">
        <f t="shared" si="123"/>
        <v/>
      </c>
      <c r="K1598" s="25"/>
      <c r="L1598" s="5" t="str">
        <f t="shared" si="124"/>
        <v/>
      </c>
      <c r="M1598" s="7"/>
      <c r="N1598" s="7"/>
      <c r="O1598" s="7"/>
      <c r="P1598" s="20" t="str">
        <f>IF($A1598="","",INDEX(Project_Tracker!$I$2:$I$101,INT((ROW()-6)/17)+1))</f>
        <v/>
      </c>
      <c r="Q1598" s="20" t="str">
        <f>IF($A1598="","",INDEX(Project_Tracker!$K$2:$K$101,INT((ROW()-6)/17)+1))</f>
        <v/>
      </c>
    </row>
    <row r="1599" spans="1:17" x14ac:dyDescent="0.2">
      <c r="A1599" s="20" t="str">
        <f>IF(INDEX(Project_Tracker!$AL$2:$AL$101,INT((ROW()-6)/17)+1)="","",INDEX(Project_Tracker!$AL$2:$AL$101,INT((ROW()-6)/17)+1))</f>
        <v/>
      </c>
      <c r="B1599" s="21" t="str">
        <f>IF($A1599="","",INDEX(Project_Tracker!$AM$2:$AM$101,INT((ROW()-6)/17)+1))</f>
        <v/>
      </c>
      <c r="C1599" s="20" t="str">
        <f>IF($A1599="","",INDEX(Project_Tracker!$C$2:$C$101,INT((ROW()-6)/17)+1))</f>
        <v/>
      </c>
      <c r="D1599" s="6" t="str">
        <f>IF($A1599="","",INDEX(Project_Tracker!$T$2:$T$101,INT((ROW()-6)/17)+1))</f>
        <v/>
      </c>
      <c r="E1599" s="18">
        <f t="shared" si="120"/>
        <v>13</v>
      </c>
      <c r="F1599" s="23" t="str">
        <f>IF($A1599="","",INDEX('Logic &amp; Lists'!$I$4:$I$20,$E1599))</f>
        <v/>
      </c>
      <c r="G1599" s="18" t="str">
        <f>IF($A1599="","",INDEX('Logic &amp; Lists'!$J$4:$J$20,$E1599))</f>
        <v/>
      </c>
      <c r="H1599" s="6" t="str">
        <f t="shared" si="121"/>
        <v/>
      </c>
      <c r="I1599" s="18" t="str">
        <f t="shared" ca="1" si="122"/>
        <v/>
      </c>
      <c r="J1599" s="5" t="str">
        <f t="shared" si="123"/>
        <v/>
      </c>
      <c r="K1599" s="25"/>
      <c r="L1599" s="5" t="str">
        <f t="shared" si="124"/>
        <v/>
      </c>
      <c r="M1599" s="7"/>
      <c r="N1599" s="7"/>
      <c r="O1599" s="7"/>
      <c r="P1599" s="20" t="str">
        <f>IF($A1599="","",INDEX(Project_Tracker!$I$2:$I$101,INT((ROW()-6)/17)+1))</f>
        <v/>
      </c>
      <c r="Q1599" s="20" t="str">
        <f>IF($A1599="","",INDEX(Project_Tracker!$K$2:$K$101,INT((ROW()-6)/17)+1))</f>
        <v/>
      </c>
    </row>
    <row r="1600" spans="1:17" x14ac:dyDescent="0.2">
      <c r="A1600" s="20" t="str">
        <f>IF(INDEX(Project_Tracker!$AL$2:$AL$101,INT((ROW()-6)/17)+1)="","",INDEX(Project_Tracker!$AL$2:$AL$101,INT((ROW()-6)/17)+1))</f>
        <v/>
      </c>
      <c r="B1600" s="21" t="str">
        <f>IF($A1600="","",INDEX(Project_Tracker!$AM$2:$AM$101,INT((ROW()-6)/17)+1))</f>
        <v/>
      </c>
      <c r="C1600" s="20" t="str">
        <f>IF($A1600="","",INDEX(Project_Tracker!$C$2:$C$101,INT((ROW()-6)/17)+1))</f>
        <v/>
      </c>
      <c r="D1600" s="6" t="str">
        <f>IF($A1600="","",INDEX(Project_Tracker!$T$2:$T$101,INT((ROW()-6)/17)+1))</f>
        <v/>
      </c>
      <c r="E1600" s="18">
        <f t="shared" si="120"/>
        <v>14</v>
      </c>
      <c r="F1600" s="23" t="str">
        <f>IF($A1600="","",INDEX('Logic &amp; Lists'!$I$4:$I$20,$E1600))</f>
        <v/>
      </c>
      <c r="G1600" s="18" t="str">
        <f>IF($A1600="","",INDEX('Logic &amp; Lists'!$J$4:$J$20,$E1600))</f>
        <v/>
      </c>
      <c r="H1600" s="6" t="str">
        <f t="shared" si="121"/>
        <v/>
      </c>
      <c r="I1600" s="18" t="str">
        <f t="shared" ca="1" si="122"/>
        <v/>
      </c>
      <c r="J1600" s="5" t="str">
        <f t="shared" si="123"/>
        <v/>
      </c>
      <c r="K1600" s="25"/>
      <c r="L1600" s="5" t="str">
        <f t="shared" si="124"/>
        <v/>
      </c>
      <c r="M1600" s="7"/>
      <c r="N1600" s="7"/>
      <c r="O1600" s="7"/>
      <c r="P1600" s="20" t="str">
        <f>IF($A1600="","",INDEX(Project_Tracker!$I$2:$I$101,INT((ROW()-6)/17)+1))</f>
        <v/>
      </c>
      <c r="Q1600" s="20" t="str">
        <f>IF($A1600="","",INDEX(Project_Tracker!$K$2:$K$101,INT((ROW()-6)/17)+1))</f>
        <v/>
      </c>
    </row>
    <row r="1601" spans="1:17" x14ac:dyDescent="0.2">
      <c r="A1601" s="20" t="str">
        <f>IF(INDEX(Project_Tracker!$AL$2:$AL$101,INT((ROW()-6)/17)+1)="","",INDEX(Project_Tracker!$AL$2:$AL$101,INT((ROW()-6)/17)+1))</f>
        <v/>
      </c>
      <c r="B1601" s="21" t="str">
        <f>IF($A1601="","",INDEX(Project_Tracker!$AM$2:$AM$101,INT((ROW()-6)/17)+1))</f>
        <v/>
      </c>
      <c r="C1601" s="20" t="str">
        <f>IF($A1601="","",INDEX(Project_Tracker!$C$2:$C$101,INT((ROW()-6)/17)+1))</f>
        <v/>
      </c>
      <c r="D1601" s="6" t="str">
        <f>IF($A1601="","",INDEX(Project_Tracker!$T$2:$T$101,INT((ROW()-6)/17)+1))</f>
        <v/>
      </c>
      <c r="E1601" s="18">
        <f t="shared" si="120"/>
        <v>15</v>
      </c>
      <c r="F1601" s="23" t="str">
        <f>IF($A1601="","",INDEX('Logic &amp; Lists'!$I$4:$I$20,$E1601))</f>
        <v/>
      </c>
      <c r="G1601" s="18" t="str">
        <f>IF($A1601="","",INDEX('Logic &amp; Lists'!$J$4:$J$20,$E1601))</f>
        <v/>
      </c>
      <c r="H1601" s="6" t="str">
        <f t="shared" si="121"/>
        <v/>
      </c>
      <c r="I1601" s="18" t="str">
        <f t="shared" ca="1" si="122"/>
        <v/>
      </c>
      <c r="J1601" s="5" t="str">
        <f t="shared" si="123"/>
        <v/>
      </c>
      <c r="K1601" s="25"/>
      <c r="L1601" s="5" t="str">
        <f t="shared" si="124"/>
        <v/>
      </c>
      <c r="M1601" s="7"/>
      <c r="N1601" s="7"/>
      <c r="O1601" s="7"/>
      <c r="P1601" s="20" t="str">
        <f>IF($A1601="","",INDEX(Project_Tracker!$I$2:$I$101,INT((ROW()-6)/17)+1))</f>
        <v/>
      </c>
      <c r="Q1601" s="20" t="str">
        <f>IF($A1601="","",INDEX(Project_Tracker!$K$2:$K$101,INT((ROW()-6)/17)+1))</f>
        <v/>
      </c>
    </row>
    <row r="1602" spans="1:17" x14ac:dyDescent="0.2">
      <c r="A1602" s="20" t="str">
        <f>IF(INDEX(Project_Tracker!$AL$2:$AL$101,INT((ROW()-6)/17)+1)="","",INDEX(Project_Tracker!$AL$2:$AL$101,INT((ROW()-6)/17)+1))</f>
        <v/>
      </c>
      <c r="B1602" s="21" t="str">
        <f>IF($A1602="","",INDEX(Project_Tracker!$AM$2:$AM$101,INT((ROW()-6)/17)+1))</f>
        <v/>
      </c>
      <c r="C1602" s="20" t="str">
        <f>IF($A1602="","",INDEX(Project_Tracker!$C$2:$C$101,INT((ROW()-6)/17)+1))</f>
        <v/>
      </c>
      <c r="D1602" s="6" t="str">
        <f>IF($A1602="","",INDEX(Project_Tracker!$T$2:$T$101,INT((ROW()-6)/17)+1))</f>
        <v/>
      </c>
      <c r="E1602" s="18">
        <f t="shared" si="120"/>
        <v>16</v>
      </c>
      <c r="F1602" s="23" t="str">
        <f>IF($A1602="","",INDEX('Logic &amp; Lists'!$I$4:$I$20,$E1602))</f>
        <v/>
      </c>
      <c r="G1602" s="18" t="str">
        <f>IF($A1602="","",INDEX('Logic &amp; Lists'!$J$4:$J$20,$E1602))</f>
        <v/>
      </c>
      <c r="H1602" s="6" t="str">
        <f t="shared" si="121"/>
        <v/>
      </c>
      <c r="I1602" s="18" t="str">
        <f t="shared" ca="1" si="122"/>
        <v/>
      </c>
      <c r="J1602" s="5" t="str">
        <f t="shared" si="123"/>
        <v/>
      </c>
      <c r="K1602" s="25"/>
      <c r="L1602" s="5" t="str">
        <f t="shared" si="124"/>
        <v/>
      </c>
      <c r="M1602" s="7"/>
      <c r="N1602" s="7"/>
      <c r="O1602" s="7"/>
      <c r="P1602" s="20" t="str">
        <f>IF($A1602="","",INDEX(Project_Tracker!$I$2:$I$101,INT((ROW()-6)/17)+1))</f>
        <v/>
      </c>
      <c r="Q1602" s="20" t="str">
        <f>IF($A1602="","",INDEX(Project_Tracker!$K$2:$K$101,INT((ROW()-6)/17)+1))</f>
        <v/>
      </c>
    </row>
    <row r="1603" spans="1:17" x14ac:dyDescent="0.2">
      <c r="A1603" s="20" t="str">
        <f>IF(INDEX(Project_Tracker!$AL$2:$AL$101,INT((ROW()-6)/17)+1)="","",INDEX(Project_Tracker!$AL$2:$AL$101,INT((ROW()-6)/17)+1))</f>
        <v/>
      </c>
      <c r="B1603" s="21" t="str">
        <f>IF($A1603="","",INDEX(Project_Tracker!$AM$2:$AM$101,INT((ROW()-6)/17)+1))</f>
        <v/>
      </c>
      <c r="C1603" s="20" t="str">
        <f>IF($A1603="","",INDEX(Project_Tracker!$C$2:$C$101,INT((ROW()-6)/17)+1))</f>
        <v/>
      </c>
      <c r="D1603" s="6" t="str">
        <f>IF($A1603="","",INDEX(Project_Tracker!$T$2:$T$101,INT((ROW()-6)/17)+1))</f>
        <v/>
      </c>
      <c r="E1603" s="18">
        <f t="shared" si="120"/>
        <v>17</v>
      </c>
      <c r="F1603" s="23" t="str">
        <f>IF($A1603="","",INDEX('Logic &amp; Lists'!$I$4:$I$20,$E1603))</f>
        <v/>
      </c>
      <c r="G1603" s="18" t="str">
        <f>IF($A1603="","",INDEX('Logic &amp; Lists'!$J$4:$J$20,$E1603))</f>
        <v/>
      </c>
      <c r="H1603" s="6" t="str">
        <f t="shared" si="121"/>
        <v/>
      </c>
      <c r="I1603" s="18" t="str">
        <f t="shared" ca="1" si="122"/>
        <v/>
      </c>
      <c r="J1603" s="5" t="str">
        <f t="shared" si="123"/>
        <v/>
      </c>
      <c r="K1603" s="25"/>
      <c r="L1603" s="5" t="str">
        <f t="shared" si="124"/>
        <v/>
      </c>
      <c r="M1603" s="7"/>
      <c r="N1603" s="7"/>
      <c r="O1603" s="7"/>
      <c r="P1603" s="20" t="str">
        <f>IF($A1603="","",INDEX(Project_Tracker!$I$2:$I$101,INT((ROW()-6)/17)+1))</f>
        <v/>
      </c>
      <c r="Q1603" s="20" t="str">
        <f>IF($A1603="","",INDEX(Project_Tracker!$K$2:$K$101,INT((ROW()-6)/17)+1))</f>
        <v/>
      </c>
    </row>
    <row r="1604" spans="1:17" x14ac:dyDescent="0.2">
      <c r="A1604" s="20" t="str">
        <f>IF(INDEX(Project_Tracker!$AL$2:$AL$101,INT((ROW()-6)/17)+1)="","",INDEX(Project_Tracker!$AL$2:$AL$101,INT((ROW()-6)/17)+1))</f>
        <v/>
      </c>
      <c r="B1604" s="21" t="str">
        <f>IF($A1604="","",INDEX(Project_Tracker!$AM$2:$AM$101,INT((ROW()-6)/17)+1))</f>
        <v/>
      </c>
      <c r="C1604" s="20" t="str">
        <f>IF($A1604="","",INDEX(Project_Tracker!$C$2:$C$101,INT((ROW()-6)/17)+1))</f>
        <v/>
      </c>
      <c r="D1604" s="6" t="str">
        <f>IF($A1604="","",INDEX(Project_Tracker!$T$2:$T$101,INT((ROW()-6)/17)+1))</f>
        <v/>
      </c>
      <c r="E1604" s="18">
        <f t="shared" si="120"/>
        <v>1</v>
      </c>
      <c r="F1604" s="23" t="str">
        <f>IF($A1604="","",INDEX('Logic &amp; Lists'!$I$4:$I$20,$E1604))</f>
        <v/>
      </c>
      <c r="G1604" s="18" t="str">
        <f>IF($A1604="","",INDEX('Logic &amp; Lists'!$J$4:$J$20,$E1604))</f>
        <v/>
      </c>
      <c r="H1604" s="6" t="str">
        <f t="shared" si="121"/>
        <v/>
      </c>
      <c r="I1604" s="18" t="str">
        <f t="shared" ca="1" si="122"/>
        <v/>
      </c>
      <c r="J1604" s="5" t="str">
        <f t="shared" si="123"/>
        <v/>
      </c>
      <c r="K1604" s="25"/>
      <c r="L1604" s="5" t="str">
        <f t="shared" si="124"/>
        <v/>
      </c>
      <c r="M1604" s="7"/>
      <c r="N1604" s="7"/>
      <c r="O1604" s="7"/>
      <c r="P1604" s="20" t="str">
        <f>IF($A1604="","",INDEX(Project_Tracker!$I$2:$I$101,INT((ROW()-6)/17)+1))</f>
        <v/>
      </c>
      <c r="Q1604" s="20" t="str">
        <f>IF($A1604="","",INDEX(Project_Tracker!$K$2:$K$101,INT((ROW()-6)/17)+1))</f>
        <v/>
      </c>
    </row>
    <row r="1605" spans="1:17" x14ac:dyDescent="0.2">
      <c r="A1605" s="20" t="str">
        <f>IF(INDEX(Project_Tracker!$AL$2:$AL$101,INT((ROW()-6)/17)+1)="","",INDEX(Project_Tracker!$AL$2:$AL$101,INT((ROW()-6)/17)+1))</f>
        <v/>
      </c>
      <c r="B1605" s="21" t="str">
        <f>IF($A1605="","",INDEX(Project_Tracker!$AM$2:$AM$101,INT((ROW()-6)/17)+1))</f>
        <v/>
      </c>
      <c r="C1605" s="20" t="str">
        <f>IF($A1605="","",INDEX(Project_Tracker!$C$2:$C$101,INT((ROW()-6)/17)+1))</f>
        <v/>
      </c>
      <c r="D1605" s="6" t="str">
        <f>IF($A1605="","",INDEX(Project_Tracker!$T$2:$T$101,INT((ROW()-6)/17)+1))</f>
        <v/>
      </c>
      <c r="E1605" s="18">
        <f t="shared" si="120"/>
        <v>2</v>
      </c>
      <c r="F1605" s="23" t="str">
        <f>IF($A1605="","",INDEX('Logic &amp; Lists'!$I$4:$I$20,$E1605))</f>
        <v/>
      </c>
      <c r="G1605" s="18" t="str">
        <f>IF($A1605="","",INDEX('Logic &amp; Lists'!$J$4:$J$20,$E1605))</f>
        <v/>
      </c>
      <c r="H1605" s="6" t="str">
        <f t="shared" si="121"/>
        <v/>
      </c>
      <c r="I1605" s="18" t="str">
        <f t="shared" ca="1" si="122"/>
        <v/>
      </c>
      <c r="J1605" s="5" t="str">
        <f t="shared" si="123"/>
        <v/>
      </c>
      <c r="K1605" s="25"/>
      <c r="L1605" s="5" t="str">
        <f t="shared" si="124"/>
        <v/>
      </c>
      <c r="M1605" s="7"/>
      <c r="N1605" s="7"/>
      <c r="O1605" s="7"/>
      <c r="P1605" s="20" t="str">
        <f>IF($A1605="","",INDEX(Project_Tracker!$I$2:$I$101,INT((ROW()-6)/17)+1))</f>
        <v/>
      </c>
      <c r="Q1605" s="20" t="str">
        <f>IF($A1605="","",INDEX(Project_Tracker!$K$2:$K$101,INT((ROW()-6)/17)+1))</f>
        <v/>
      </c>
    </row>
    <row r="1606" spans="1:17" x14ac:dyDescent="0.2">
      <c r="A1606" s="20" t="str">
        <f>IF(INDEX(Project_Tracker!$AL$2:$AL$101,INT((ROW()-6)/17)+1)="","",INDEX(Project_Tracker!$AL$2:$AL$101,INT((ROW()-6)/17)+1))</f>
        <v/>
      </c>
      <c r="B1606" s="21" t="str">
        <f>IF($A1606="","",INDEX(Project_Tracker!$AM$2:$AM$101,INT((ROW()-6)/17)+1))</f>
        <v/>
      </c>
      <c r="C1606" s="20" t="str">
        <f>IF($A1606="","",INDEX(Project_Tracker!$C$2:$C$101,INT((ROW()-6)/17)+1))</f>
        <v/>
      </c>
      <c r="D1606" s="6" t="str">
        <f>IF($A1606="","",INDEX(Project_Tracker!$T$2:$T$101,INT((ROW()-6)/17)+1))</f>
        <v/>
      </c>
      <c r="E1606" s="18">
        <f t="shared" ref="E1606:E1669" si="125">MOD(ROW()-6,17)+1</f>
        <v>3</v>
      </c>
      <c r="F1606" s="23" t="str">
        <f>IF($A1606="","",INDEX('Logic &amp; Lists'!$I$4:$I$20,$E1606))</f>
        <v/>
      </c>
      <c r="G1606" s="18" t="str">
        <f>IF($A1606="","",INDEX('Logic &amp; Lists'!$J$4:$J$20,$E1606))</f>
        <v/>
      </c>
      <c r="H1606" s="6" t="str">
        <f t="shared" ref="H1606:H1669" si="126">IF($D1606="","",$D1606-$G1606)</f>
        <v/>
      </c>
      <c r="I1606" s="18" t="str">
        <f t="shared" ref="I1606:I1669" ca="1" si="127">IF($H1606="","",$H1606-TODAY())</f>
        <v/>
      </c>
      <c r="J1606" s="5" t="str">
        <f t="shared" ref="J1606:J1669" si="128">IF($A1606="","",IF($K1606&lt;&gt;"","ORDERED",IF($I1606&lt;0,"OVERDUE",IF($I1606&lt;=7,"URGENT",IF($I1606&lt;=14,"PREPARE","OK")))))</f>
        <v/>
      </c>
      <c r="K1606" s="25"/>
      <c r="L1606" s="5" t="str">
        <f t="shared" ref="L1606:L1669" si="129">IF($A1606="","",IF($K1606="",$J1606,IF($K1606&lt;=$H1606,"Ordered On Time","Ordered Late")))</f>
        <v/>
      </c>
      <c r="M1606" s="7"/>
      <c r="N1606" s="7"/>
      <c r="O1606" s="7"/>
      <c r="P1606" s="20" t="str">
        <f>IF($A1606="","",INDEX(Project_Tracker!$I$2:$I$101,INT((ROW()-6)/17)+1))</f>
        <v/>
      </c>
      <c r="Q1606" s="20" t="str">
        <f>IF($A1606="","",INDEX(Project_Tracker!$K$2:$K$101,INT((ROW()-6)/17)+1))</f>
        <v/>
      </c>
    </row>
    <row r="1607" spans="1:17" x14ac:dyDescent="0.2">
      <c r="A1607" s="20" t="str">
        <f>IF(INDEX(Project_Tracker!$AL$2:$AL$101,INT((ROW()-6)/17)+1)="","",INDEX(Project_Tracker!$AL$2:$AL$101,INT((ROW()-6)/17)+1))</f>
        <v/>
      </c>
      <c r="B1607" s="21" t="str">
        <f>IF($A1607="","",INDEX(Project_Tracker!$AM$2:$AM$101,INT((ROW()-6)/17)+1))</f>
        <v/>
      </c>
      <c r="C1607" s="20" t="str">
        <f>IF($A1607="","",INDEX(Project_Tracker!$C$2:$C$101,INT((ROW()-6)/17)+1))</f>
        <v/>
      </c>
      <c r="D1607" s="6" t="str">
        <f>IF($A1607="","",INDEX(Project_Tracker!$T$2:$T$101,INT((ROW()-6)/17)+1))</f>
        <v/>
      </c>
      <c r="E1607" s="18">
        <f t="shared" si="125"/>
        <v>4</v>
      </c>
      <c r="F1607" s="23" t="str">
        <f>IF($A1607="","",INDEX('Logic &amp; Lists'!$I$4:$I$20,$E1607))</f>
        <v/>
      </c>
      <c r="G1607" s="18" t="str">
        <f>IF($A1607="","",INDEX('Logic &amp; Lists'!$J$4:$J$20,$E1607))</f>
        <v/>
      </c>
      <c r="H1607" s="6" t="str">
        <f t="shared" si="126"/>
        <v/>
      </c>
      <c r="I1607" s="18" t="str">
        <f t="shared" ca="1" si="127"/>
        <v/>
      </c>
      <c r="J1607" s="5" t="str">
        <f t="shared" si="128"/>
        <v/>
      </c>
      <c r="K1607" s="25"/>
      <c r="L1607" s="5" t="str">
        <f t="shared" si="129"/>
        <v/>
      </c>
      <c r="M1607" s="7"/>
      <c r="N1607" s="7"/>
      <c r="O1607" s="7"/>
      <c r="P1607" s="20" t="str">
        <f>IF($A1607="","",INDEX(Project_Tracker!$I$2:$I$101,INT((ROW()-6)/17)+1))</f>
        <v/>
      </c>
      <c r="Q1607" s="20" t="str">
        <f>IF($A1607="","",INDEX(Project_Tracker!$K$2:$K$101,INT((ROW()-6)/17)+1))</f>
        <v/>
      </c>
    </row>
    <row r="1608" spans="1:17" x14ac:dyDescent="0.2">
      <c r="A1608" s="20" t="str">
        <f>IF(INDEX(Project_Tracker!$AL$2:$AL$101,INT((ROW()-6)/17)+1)="","",INDEX(Project_Tracker!$AL$2:$AL$101,INT((ROW()-6)/17)+1))</f>
        <v/>
      </c>
      <c r="B1608" s="21" t="str">
        <f>IF($A1608="","",INDEX(Project_Tracker!$AM$2:$AM$101,INT((ROW()-6)/17)+1))</f>
        <v/>
      </c>
      <c r="C1608" s="20" t="str">
        <f>IF($A1608="","",INDEX(Project_Tracker!$C$2:$C$101,INT((ROW()-6)/17)+1))</f>
        <v/>
      </c>
      <c r="D1608" s="6" t="str">
        <f>IF($A1608="","",INDEX(Project_Tracker!$T$2:$T$101,INT((ROW()-6)/17)+1))</f>
        <v/>
      </c>
      <c r="E1608" s="18">
        <f t="shared" si="125"/>
        <v>5</v>
      </c>
      <c r="F1608" s="23" t="str">
        <f>IF($A1608="","",INDEX('Logic &amp; Lists'!$I$4:$I$20,$E1608))</f>
        <v/>
      </c>
      <c r="G1608" s="18" t="str">
        <f>IF($A1608="","",INDEX('Logic &amp; Lists'!$J$4:$J$20,$E1608))</f>
        <v/>
      </c>
      <c r="H1608" s="6" t="str">
        <f t="shared" si="126"/>
        <v/>
      </c>
      <c r="I1608" s="18" t="str">
        <f t="shared" ca="1" si="127"/>
        <v/>
      </c>
      <c r="J1608" s="5" t="str">
        <f t="shared" si="128"/>
        <v/>
      </c>
      <c r="K1608" s="25"/>
      <c r="L1608" s="5" t="str">
        <f t="shared" si="129"/>
        <v/>
      </c>
      <c r="M1608" s="7"/>
      <c r="N1608" s="7"/>
      <c r="O1608" s="7"/>
      <c r="P1608" s="20" t="str">
        <f>IF($A1608="","",INDEX(Project_Tracker!$I$2:$I$101,INT((ROW()-6)/17)+1))</f>
        <v/>
      </c>
      <c r="Q1608" s="20" t="str">
        <f>IF($A1608="","",INDEX(Project_Tracker!$K$2:$K$101,INT((ROW()-6)/17)+1))</f>
        <v/>
      </c>
    </row>
    <row r="1609" spans="1:17" x14ac:dyDescent="0.2">
      <c r="A1609" s="20" t="str">
        <f>IF(INDEX(Project_Tracker!$AL$2:$AL$101,INT((ROW()-6)/17)+1)="","",INDEX(Project_Tracker!$AL$2:$AL$101,INT((ROW()-6)/17)+1))</f>
        <v/>
      </c>
      <c r="B1609" s="21" t="str">
        <f>IF($A1609="","",INDEX(Project_Tracker!$AM$2:$AM$101,INT((ROW()-6)/17)+1))</f>
        <v/>
      </c>
      <c r="C1609" s="20" t="str">
        <f>IF($A1609="","",INDEX(Project_Tracker!$C$2:$C$101,INT((ROW()-6)/17)+1))</f>
        <v/>
      </c>
      <c r="D1609" s="6" t="str">
        <f>IF($A1609="","",INDEX(Project_Tracker!$T$2:$T$101,INT((ROW()-6)/17)+1))</f>
        <v/>
      </c>
      <c r="E1609" s="18">
        <f t="shared" si="125"/>
        <v>6</v>
      </c>
      <c r="F1609" s="23" t="str">
        <f>IF($A1609="","",INDEX('Logic &amp; Lists'!$I$4:$I$20,$E1609))</f>
        <v/>
      </c>
      <c r="G1609" s="18" t="str">
        <f>IF($A1609="","",INDEX('Logic &amp; Lists'!$J$4:$J$20,$E1609))</f>
        <v/>
      </c>
      <c r="H1609" s="6" t="str">
        <f t="shared" si="126"/>
        <v/>
      </c>
      <c r="I1609" s="18" t="str">
        <f t="shared" ca="1" si="127"/>
        <v/>
      </c>
      <c r="J1609" s="5" t="str">
        <f t="shared" si="128"/>
        <v/>
      </c>
      <c r="K1609" s="25"/>
      <c r="L1609" s="5" t="str">
        <f t="shared" si="129"/>
        <v/>
      </c>
      <c r="M1609" s="7"/>
      <c r="N1609" s="7"/>
      <c r="O1609" s="7"/>
      <c r="P1609" s="20" t="str">
        <f>IF($A1609="","",INDEX(Project_Tracker!$I$2:$I$101,INT((ROW()-6)/17)+1))</f>
        <v/>
      </c>
      <c r="Q1609" s="20" t="str">
        <f>IF($A1609="","",INDEX(Project_Tracker!$K$2:$K$101,INT((ROW()-6)/17)+1))</f>
        <v/>
      </c>
    </row>
    <row r="1610" spans="1:17" x14ac:dyDescent="0.2">
      <c r="A1610" s="20" t="str">
        <f>IF(INDEX(Project_Tracker!$AL$2:$AL$101,INT((ROW()-6)/17)+1)="","",INDEX(Project_Tracker!$AL$2:$AL$101,INT((ROW()-6)/17)+1))</f>
        <v/>
      </c>
      <c r="B1610" s="21" t="str">
        <f>IF($A1610="","",INDEX(Project_Tracker!$AM$2:$AM$101,INT((ROW()-6)/17)+1))</f>
        <v/>
      </c>
      <c r="C1610" s="20" t="str">
        <f>IF($A1610="","",INDEX(Project_Tracker!$C$2:$C$101,INT((ROW()-6)/17)+1))</f>
        <v/>
      </c>
      <c r="D1610" s="6" t="str">
        <f>IF($A1610="","",INDEX(Project_Tracker!$T$2:$T$101,INT((ROW()-6)/17)+1))</f>
        <v/>
      </c>
      <c r="E1610" s="18">
        <f t="shared" si="125"/>
        <v>7</v>
      </c>
      <c r="F1610" s="23" t="str">
        <f>IF($A1610="","",INDEX('Logic &amp; Lists'!$I$4:$I$20,$E1610))</f>
        <v/>
      </c>
      <c r="G1610" s="18" t="str">
        <f>IF($A1610="","",INDEX('Logic &amp; Lists'!$J$4:$J$20,$E1610))</f>
        <v/>
      </c>
      <c r="H1610" s="6" t="str">
        <f t="shared" si="126"/>
        <v/>
      </c>
      <c r="I1610" s="18" t="str">
        <f t="shared" ca="1" si="127"/>
        <v/>
      </c>
      <c r="J1610" s="5" t="str">
        <f t="shared" si="128"/>
        <v/>
      </c>
      <c r="K1610" s="25"/>
      <c r="L1610" s="5" t="str">
        <f t="shared" si="129"/>
        <v/>
      </c>
      <c r="M1610" s="7"/>
      <c r="N1610" s="7"/>
      <c r="O1610" s="7"/>
      <c r="P1610" s="20" t="str">
        <f>IF($A1610="","",INDEX(Project_Tracker!$I$2:$I$101,INT((ROW()-6)/17)+1))</f>
        <v/>
      </c>
      <c r="Q1610" s="20" t="str">
        <f>IF($A1610="","",INDEX(Project_Tracker!$K$2:$K$101,INT((ROW()-6)/17)+1))</f>
        <v/>
      </c>
    </row>
    <row r="1611" spans="1:17" x14ac:dyDescent="0.2">
      <c r="A1611" s="20" t="str">
        <f>IF(INDEX(Project_Tracker!$AL$2:$AL$101,INT((ROW()-6)/17)+1)="","",INDEX(Project_Tracker!$AL$2:$AL$101,INT((ROW()-6)/17)+1))</f>
        <v/>
      </c>
      <c r="B1611" s="21" t="str">
        <f>IF($A1611="","",INDEX(Project_Tracker!$AM$2:$AM$101,INT((ROW()-6)/17)+1))</f>
        <v/>
      </c>
      <c r="C1611" s="20" t="str">
        <f>IF($A1611="","",INDEX(Project_Tracker!$C$2:$C$101,INT((ROW()-6)/17)+1))</f>
        <v/>
      </c>
      <c r="D1611" s="6" t="str">
        <f>IF($A1611="","",INDEX(Project_Tracker!$T$2:$T$101,INT((ROW()-6)/17)+1))</f>
        <v/>
      </c>
      <c r="E1611" s="18">
        <f t="shared" si="125"/>
        <v>8</v>
      </c>
      <c r="F1611" s="23" t="str">
        <f>IF($A1611="","",INDEX('Logic &amp; Lists'!$I$4:$I$20,$E1611))</f>
        <v/>
      </c>
      <c r="G1611" s="18" t="str">
        <f>IF($A1611="","",INDEX('Logic &amp; Lists'!$J$4:$J$20,$E1611))</f>
        <v/>
      </c>
      <c r="H1611" s="6" t="str">
        <f t="shared" si="126"/>
        <v/>
      </c>
      <c r="I1611" s="18" t="str">
        <f t="shared" ca="1" si="127"/>
        <v/>
      </c>
      <c r="J1611" s="5" t="str">
        <f t="shared" si="128"/>
        <v/>
      </c>
      <c r="K1611" s="25"/>
      <c r="L1611" s="5" t="str">
        <f t="shared" si="129"/>
        <v/>
      </c>
      <c r="M1611" s="7"/>
      <c r="N1611" s="7"/>
      <c r="O1611" s="7"/>
      <c r="P1611" s="20" t="str">
        <f>IF($A1611="","",INDEX(Project_Tracker!$I$2:$I$101,INT((ROW()-6)/17)+1))</f>
        <v/>
      </c>
      <c r="Q1611" s="20" t="str">
        <f>IF($A1611="","",INDEX(Project_Tracker!$K$2:$K$101,INT((ROW()-6)/17)+1))</f>
        <v/>
      </c>
    </row>
    <row r="1612" spans="1:17" x14ac:dyDescent="0.2">
      <c r="A1612" s="20" t="str">
        <f>IF(INDEX(Project_Tracker!$AL$2:$AL$101,INT((ROW()-6)/17)+1)="","",INDEX(Project_Tracker!$AL$2:$AL$101,INT((ROW()-6)/17)+1))</f>
        <v/>
      </c>
      <c r="B1612" s="21" t="str">
        <f>IF($A1612="","",INDEX(Project_Tracker!$AM$2:$AM$101,INT((ROW()-6)/17)+1))</f>
        <v/>
      </c>
      <c r="C1612" s="20" t="str">
        <f>IF($A1612="","",INDEX(Project_Tracker!$C$2:$C$101,INT((ROW()-6)/17)+1))</f>
        <v/>
      </c>
      <c r="D1612" s="6" t="str">
        <f>IF($A1612="","",INDEX(Project_Tracker!$T$2:$T$101,INT((ROW()-6)/17)+1))</f>
        <v/>
      </c>
      <c r="E1612" s="18">
        <f t="shared" si="125"/>
        <v>9</v>
      </c>
      <c r="F1612" s="23" t="str">
        <f>IF($A1612="","",INDEX('Logic &amp; Lists'!$I$4:$I$20,$E1612))</f>
        <v/>
      </c>
      <c r="G1612" s="18" t="str">
        <f>IF($A1612="","",INDEX('Logic &amp; Lists'!$J$4:$J$20,$E1612))</f>
        <v/>
      </c>
      <c r="H1612" s="6" t="str">
        <f t="shared" si="126"/>
        <v/>
      </c>
      <c r="I1612" s="18" t="str">
        <f t="shared" ca="1" si="127"/>
        <v/>
      </c>
      <c r="J1612" s="5" t="str">
        <f t="shared" si="128"/>
        <v/>
      </c>
      <c r="K1612" s="25"/>
      <c r="L1612" s="5" t="str">
        <f t="shared" si="129"/>
        <v/>
      </c>
      <c r="M1612" s="7"/>
      <c r="N1612" s="7"/>
      <c r="O1612" s="7"/>
      <c r="P1612" s="20" t="str">
        <f>IF($A1612="","",INDEX(Project_Tracker!$I$2:$I$101,INT((ROW()-6)/17)+1))</f>
        <v/>
      </c>
      <c r="Q1612" s="20" t="str">
        <f>IF($A1612="","",INDEX(Project_Tracker!$K$2:$K$101,INT((ROW()-6)/17)+1))</f>
        <v/>
      </c>
    </row>
    <row r="1613" spans="1:17" x14ac:dyDescent="0.2">
      <c r="A1613" s="20" t="str">
        <f>IF(INDEX(Project_Tracker!$AL$2:$AL$101,INT((ROW()-6)/17)+1)="","",INDEX(Project_Tracker!$AL$2:$AL$101,INT((ROW()-6)/17)+1))</f>
        <v/>
      </c>
      <c r="B1613" s="21" t="str">
        <f>IF($A1613="","",INDEX(Project_Tracker!$AM$2:$AM$101,INT((ROW()-6)/17)+1))</f>
        <v/>
      </c>
      <c r="C1613" s="20" t="str">
        <f>IF($A1613="","",INDEX(Project_Tracker!$C$2:$C$101,INT((ROW()-6)/17)+1))</f>
        <v/>
      </c>
      <c r="D1613" s="6" t="str">
        <f>IF($A1613="","",INDEX(Project_Tracker!$T$2:$T$101,INT((ROW()-6)/17)+1))</f>
        <v/>
      </c>
      <c r="E1613" s="18">
        <f t="shared" si="125"/>
        <v>10</v>
      </c>
      <c r="F1613" s="23" t="str">
        <f>IF($A1613="","",INDEX('Logic &amp; Lists'!$I$4:$I$20,$E1613))</f>
        <v/>
      </c>
      <c r="G1613" s="18" t="str">
        <f>IF($A1613="","",INDEX('Logic &amp; Lists'!$J$4:$J$20,$E1613))</f>
        <v/>
      </c>
      <c r="H1613" s="6" t="str">
        <f t="shared" si="126"/>
        <v/>
      </c>
      <c r="I1613" s="18" t="str">
        <f t="shared" ca="1" si="127"/>
        <v/>
      </c>
      <c r="J1613" s="5" t="str">
        <f t="shared" si="128"/>
        <v/>
      </c>
      <c r="K1613" s="25"/>
      <c r="L1613" s="5" t="str">
        <f t="shared" si="129"/>
        <v/>
      </c>
      <c r="M1613" s="7"/>
      <c r="N1613" s="7"/>
      <c r="O1613" s="7"/>
      <c r="P1613" s="20" t="str">
        <f>IF($A1613="","",INDEX(Project_Tracker!$I$2:$I$101,INT((ROW()-6)/17)+1))</f>
        <v/>
      </c>
      <c r="Q1613" s="20" t="str">
        <f>IF($A1613="","",INDEX(Project_Tracker!$K$2:$K$101,INT((ROW()-6)/17)+1))</f>
        <v/>
      </c>
    </row>
    <row r="1614" spans="1:17" x14ac:dyDescent="0.2">
      <c r="A1614" s="20" t="str">
        <f>IF(INDEX(Project_Tracker!$AL$2:$AL$101,INT((ROW()-6)/17)+1)="","",INDEX(Project_Tracker!$AL$2:$AL$101,INT((ROW()-6)/17)+1))</f>
        <v/>
      </c>
      <c r="B1614" s="21" t="str">
        <f>IF($A1614="","",INDEX(Project_Tracker!$AM$2:$AM$101,INT((ROW()-6)/17)+1))</f>
        <v/>
      </c>
      <c r="C1614" s="20" t="str">
        <f>IF($A1614="","",INDEX(Project_Tracker!$C$2:$C$101,INT((ROW()-6)/17)+1))</f>
        <v/>
      </c>
      <c r="D1614" s="6" t="str">
        <f>IF($A1614="","",INDEX(Project_Tracker!$T$2:$T$101,INT((ROW()-6)/17)+1))</f>
        <v/>
      </c>
      <c r="E1614" s="18">
        <f t="shared" si="125"/>
        <v>11</v>
      </c>
      <c r="F1614" s="23" t="str">
        <f>IF($A1614="","",INDEX('Logic &amp; Lists'!$I$4:$I$20,$E1614))</f>
        <v/>
      </c>
      <c r="G1614" s="18" t="str">
        <f>IF($A1614="","",INDEX('Logic &amp; Lists'!$J$4:$J$20,$E1614))</f>
        <v/>
      </c>
      <c r="H1614" s="6" t="str">
        <f t="shared" si="126"/>
        <v/>
      </c>
      <c r="I1614" s="18" t="str">
        <f t="shared" ca="1" si="127"/>
        <v/>
      </c>
      <c r="J1614" s="5" t="str">
        <f t="shared" si="128"/>
        <v/>
      </c>
      <c r="K1614" s="25"/>
      <c r="L1614" s="5" t="str">
        <f t="shared" si="129"/>
        <v/>
      </c>
      <c r="M1614" s="7"/>
      <c r="N1614" s="7"/>
      <c r="O1614" s="7"/>
      <c r="P1614" s="20" t="str">
        <f>IF($A1614="","",INDEX(Project_Tracker!$I$2:$I$101,INT((ROW()-6)/17)+1))</f>
        <v/>
      </c>
      <c r="Q1614" s="20" t="str">
        <f>IF($A1614="","",INDEX(Project_Tracker!$K$2:$K$101,INT((ROW()-6)/17)+1))</f>
        <v/>
      </c>
    </row>
    <row r="1615" spans="1:17" x14ac:dyDescent="0.2">
      <c r="A1615" s="20" t="str">
        <f>IF(INDEX(Project_Tracker!$AL$2:$AL$101,INT((ROW()-6)/17)+1)="","",INDEX(Project_Tracker!$AL$2:$AL$101,INT((ROW()-6)/17)+1))</f>
        <v/>
      </c>
      <c r="B1615" s="21" t="str">
        <f>IF($A1615="","",INDEX(Project_Tracker!$AM$2:$AM$101,INT((ROW()-6)/17)+1))</f>
        <v/>
      </c>
      <c r="C1615" s="20" t="str">
        <f>IF($A1615="","",INDEX(Project_Tracker!$C$2:$C$101,INT((ROW()-6)/17)+1))</f>
        <v/>
      </c>
      <c r="D1615" s="6" t="str">
        <f>IF($A1615="","",INDEX(Project_Tracker!$T$2:$T$101,INT((ROW()-6)/17)+1))</f>
        <v/>
      </c>
      <c r="E1615" s="18">
        <f t="shared" si="125"/>
        <v>12</v>
      </c>
      <c r="F1615" s="23" t="str">
        <f>IF($A1615="","",INDEX('Logic &amp; Lists'!$I$4:$I$20,$E1615))</f>
        <v/>
      </c>
      <c r="G1615" s="18" t="str">
        <f>IF($A1615="","",INDEX('Logic &amp; Lists'!$J$4:$J$20,$E1615))</f>
        <v/>
      </c>
      <c r="H1615" s="6" t="str">
        <f t="shared" si="126"/>
        <v/>
      </c>
      <c r="I1615" s="18" t="str">
        <f t="shared" ca="1" si="127"/>
        <v/>
      </c>
      <c r="J1615" s="5" t="str">
        <f t="shared" si="128"/>
        <v/>
      </c>
      <c r="K1615" s="25"/>
      <c r="L1615" s="5" t="str">
        <f t="shared" si="129"/>
        <v/>
      </c>
      <c r="M1615" s="7"/>
      <c r="N1615" s="7"/>
      <c r="O1615" s="7"/>
      <c r="P1615" s="20" t="str">
        <f>IF($A1615="","",INDEX(Project_Tracker!$I$2:$I$101,INT((ROW()-6)/17)+1))</f>
        <v/>
      </c>
      <c r="Q1615" s="20" t="str">
        <f>IF($A1615="","",INDEX(Project_Tracker!$K$2:$K$101,INT((ROW()-6)/17)+1))</f>
        <v/>
      </c>
    </row>
    <row r="1616" spans="1:17" x14ac:dyDescent="0.2">
      <c r="A1616" s="20" t="str">
        <f>IF(INDEX(Project_Tracker!$AL$2:$AL$101,INT((ROW()-6)/17)+1)="","",INDEX(Project_Tracker!$AL$2:$AL$101,INT((ROW()-6)/17)+1))</f>
        <v/>
      </c>
      <c r="B1616" s="21" t="str">
        <f>IF($A1616="","",INDEX(Project_Tracker!$AM$2:$AM$101,INT((ROW()-6)/17)+1))</f>
        <v/>
      </c>
      <c r="C1616" s="20" t="str">
        <f>IF($A1616="","",INDEX(Project_Tracker!$C$2:$C$101,INT((ROW()-6)/17)+1))</f>
        <v/>
      </c>
      <c r="D1616" s="6" t="str">
        <f>IF($A1616="","",INDEX(Project_Tracker!$T$2:$T$101,INT((ROW()-6)/17)+1))</f>
        <v/>
      </c>
      <c r="E1616" s="18">
        <f t="shared" si="125"/>
        <v>13</v>
      </c>
      <c r="F1616" s="23" t="str">
        <f>IF($A1616="","",INDEX('Logic &amp; Lists'!$I$4:$I$20,$E1616))</f>
        <v/>
      </c>
      <c r="G1616" s="18" t="str">
        <f>IF($A1616="","",INDEX('Logic &amp; Lists'!$J$4:$J$20,$E1616))</f>
        <v/>
      </c>
      <c r="H1616" s="6" t="str">
        <f t="shared" si="126"/>
        <v/>
      </c>
      <c r="I1616" s="18" t="str">
        <f t="shared" ca="1" si="127"/>
        <v/>
      </c>
      <c r="J1616" s="5" t="str">
        <f t="shared" si="128"/>
        <v/>
      </c>
      <c r="K1616" s="25"/>
      <c r="L1616" s="5" t="str">
        <f t="shared" si="129"/>
        <v/>
      </c>
      <c r="M1616" s="7"/>
      <c r="N1616" s="7"/>
      <c r="O1616" s="7"/>
      <c r="P1616" s="20" t="str">
        <f>IF($A1616="","",INDEX(Project_Tracker!$I$2:$I$101,INT((ROW()-6)/17)+1))</f>
        <v/>
      </c>
      <c r="Q1616" s="20" t="str">
        <f>IF($A1616="","",INDEX(Project_Tracker!$K$2:$K$101,INT((ROW()-6)/17)+1))</f>
        <v/>
      </c>
    </row>
    <row r="1617" spans="1:17" x14ac:dyDescent="0.2">
      <c r="A1617" s="20" t="str">
        <f>IF(INDEX(Project_Tracker!$AL$2:$AL$101,INT((ROW()-6)/17)+1)="","",INDEX(Project_Tracker!$AL$2:$AL$101,INT((ROW()-6)/17)+1))</f>
        <v/>
      </c>
      <c r="B1617" s="21" t="str">
        <f>IF($A1617="","",INDEX(Project_Tracker!$AM$2:$AM$101,INT((ROW()-6)/17)+1))</f>
        <v/>
      </c>
      <c r="C1617" s="20" t="str">
        <f>IF($A1617="","",INDEX(Project_Tracker!$C$2:$C$101,INT((ROW()-6)/17)+1))</f>
        <v/>
      </c>
      <c r="D1617" s="6" t="str">
        <f>IF($A1617="","",INDEX(Project_Tracker!$T$2:$T$101,INT((ROW()-6)/17)+1))</f>
        <v/>
      </c>
      <c r="E1617" s="18">
        <f t="shared" si="125"/>
        <v>14</v>
      </c>
      <c r="F1617" s="23" t="str">
        <f>IF($A1617="","",INDEX('Logic &amp; Lists'!$I$4:$I$20,$E1617))</f>
        <v/>
      </c>
      <c r="G1617" s="18" t="str">
        <f>IF($A1617="","",INDEX('Logic &amp; Lists'!$J$4:$J$20,$E1617))</f>
        <v/>
      </c>
      <c r="H1617" s="6" t="str">
        <f t="shared" si="126"/>
        <v/>
      </c>
      <c r="I1617" s="18" t="str">
        <f t="shared" ca="1" si="127"/>
        <v/>
      </c>
      <c r="J1617" s="5" t="str">
        <f t="shared" si="128"/>
        <v/>
      </c>
      <c r="K1617" s="25"/>
      <c r="L1617" s="5" t="str">
        <f t="shared" si="129"/>
        <v/>
      </c>
      <c r="M1617" s="7"/>
      <c r="N1617" s="7"/>
      <c r="O1617" s="7"/>
      <c r="P1617" s="20" t="str">
        <f>IF($A1617="","",INDEX(Project_Tracker!$I$2:$I$101,INT((ROW()-6)/17)+1))</f>
        <v/>
      </c>
      <c r="Q1617" s="20" t="str">
        <f>IF($A1617="","",INDEX(Project_Tracker!$K$2:$K$101,INT((ROW()-6)/17)+1))</f>
        <v/>
      </c>
    </row>
    <row r="1618" spans="1:17" x14ac:dyDescent="0.2">
      <c r="A1618" s="20" t="str">
        <f>IF(INDEX(Project_Tracker!$AL$2:$AL$101,INT((ROW()-6)/17)+1)="","",INDEX(Project_Tracker!$AL$2:$AL$101,INT((ROW()-6)/17)+1))</f>
        <v/>
      </c>
      <c r="B1618" s="21" t="str">
        <f>IF($A1618="","",INDEX(Project_Tracker!$AM$2:$AM$101,INT((ROW()-6)/17)+1))</f>
        <v/>
      </c>
      <c r="C1618" s="20" t="str">
        <f>IF($A1618="","",INDEX(Project_Tracker!$C$2:$C$101,INT((ROW()-6)/17)+1))</f>
        <v/>
      </c>
      <c r="D1618" s="6" t="str">
        <f>IF($A1618="","",INDEX(Project_Tracker!$T$2:$T$101,INT((ROW()-6)/17)+1))</f>
        <v/>
      </c>
      <c r="E1618" s="18">
        <f t="shared" si="125"/>
        <v>15</v>
      </c>
      <c r="F1618" s="23" t="str">
        <f>IF($A1618="","",INDEX('Logic &amp; Lists'!$I$4:$I$20,$E1618))</f>
        <v/>
      </c>
      <c r="G1618" s="18" t="str">
        <f>IF($A1618="","",INDEX('Logic &amp; Lists'!$J$4:$J$20,$E1618))</f>
        <v/>
      </c>
      <c r="H1618" s="6" t="str">
        <f t="shared" si="126"/>
        <v/>
      </c>
      <c r="I1618" s="18" t="str">
        <f t="shared" ca="1" si="127"/>
        <v/>
      </c>
      <c r="J1618" s="5" t="str">
        <f t="shared" si="128"/>
        <v/>
      </c>
      <c r="K1618" s="25"/>
      <c r="L1618" s="5" t="str">
        <f t="shared" si="129"/>
        <v/>
      </c>
      <c r="M1618" s="7"/>
      <c r="N1618" s="7"/>
      <c r="O1618" s="7"/>
      <c r="P1618" s="20" t="str">
        <f>IF($A1618="","",INDEX(Project_Tracker!$I$2:$I$101,INT((ROW()-6)/17)+1))</f>
        <v/>
      </c>
      <c r="Q1618" s="20" t="str">
        <f>IF($A1618="","",INDEX(Project_Tracker!$K$2:$K$101,INT((ROW()-6)/17)+1))</f>
        <v/>
      </c>
    </row>
    <row r="1619" spans="1:17" x14ac:dyDescent="0.2">
      <c r="A1619" s="20" t="str">
        <f>IF(INDEX(Project_Tracker!$AL$2:$AL$101,INT((ROW()-6)/17)+1)="","",INDEX(Project_Tracker!$AL$2:$AL$101,INT((ROW()-6)/17)+1))</f>
        <v/>
      </c>
      <c r="B1619" s="21" t="str">
        <f>IF($A1619="","",INDEX(Project_Tracker!$AM$2:$AM$101,INT((ROW()-6)/17)+1))</f>
        <v/>
      </c>
      <c r="C1619" s="20" t="str">
        <f>IF($A1619="","",INDEX(Project_Tracker!$C$2:$C$101,INT((ROW()-6)/17)+1))</f>
        <v/>
      </c>
      <c r="D1619" s="6" t="str">
        <f>IF($A1619="","",INDEX(Project_Tracker!$T$2:$T$101,INT((ROW()-6)/17)+1))</f>
        <v/>
      </c>
      <c r="E1619" s="18">
        <f t="shared" si="125"/>
        <v>16</v>
      </c>
      <c r="F1619" s="23" t="str">
        <f>IF($A1619="","",INDEX('Logic &amp; Lists'!$I$4:$I$20,$E1619))</f>
        <v/>
      </c>
      <c r="G1619" s="18" t="str">
        <f>IF($A1619="","",INDEX('Logic &amp; Lists'!$J$4:$J$20,$E1619))</f>
        <v/>
      </c>
      <c r="H1619" s="6" t="str">
        <f t="shared" si="126"/>
        <v/>
      </c>
      <c r="I1619" s="18" t="str">
        <f t="shared" ca="1" si="127"/>
        <v/>
      </c>
      <c r="J1619" s="5" t="str">
        <f t="shared" si="128"/>
        <v/>
      </c>
      <c r="K1619" s="25"/>
      <c r="L1619" s="5" t="str">
        <f t="shared" si="129"/>
        <v/>
      </c>
      <c r="M1619" s="7"/>
      <c r="N1619" s="7"/>
      <c r="O1619" s="7"/>
      <c r="P1619" s="20" t="str">
        <f>IF($A1619="","",INDEX(Project_Tracker!$I$2:$I$101,INT((ROW()-6)/17)+1))</f>
        <v/>
      </c>
      <c r="Q1619" s="20" t="str">
        <f>IF($A1619="","",INDEX(Project_Tracker!$K$2:$K$101,INT((ROW()-6)/17)+1))</f>
        <v/>
      </c>
    </row>
    <row r="1620" spans="1:17" x14ac:dyDescent="0.2">
      <c r="A1620" s="20" t="str">
        <f>IF(INDEX(Project_Tracker!$AL$2:$AL$101,INT((ROW()-6)/17)+1)="","",INDEX(Project_Tracker!$AL$2:$AL$101,INT((ROW()-6)/17)+1))</f>
        <v/>
      </c>
      <c r="B1620" s="21" t="str">
        <f>IF($A1620="","",INDEX(Project_Tracker!$AM$2:$AM$101,INT((ROW()-6)/17)+1))</f>
        <v/>
      </c>
      <c r="C1620" s="20" t="str">
        <f>IF($A1620="","",INDEX(Project_Tracker!$C$2:$C$101,INT((ROW()-6)/17)+1))</f>
        <v/>
      </c>
      <c r="D1620" s="6" t="str">
        <f>IF($A1620="","",INDEX(Project_Tracker!$T$2:$T$101,INT((ROW()-6)/17)+1))</f>
        <v/>
      </c>
      <c r="E1620" s="18">
        <f t="shared" si="125"/>
        <v>17</v>
      </c>
      <c r="F1620" s="23" t="str">
        <f>IF($A1620="","",INDEX('Logic &amp; Lists'!$I$4:$I$20,$E1620))</f>
        <v/>
      </c>
      <c r="G1620" s="18" t="str">
        <f>IF($A1620="","",INDEX('Logic &amp; Lists'!$J$4:$J$20,$E1620))</f>
        <v/>
      </c>
      <c r="H1620" s="6" t="str">
        <f t="shared" si="126"/>
        <v/>
      </c>
      <c r="I1620" s="18" t="str">
        <f t="shared" ca="1" si="127"/>
        <v/>
      </c>
      <c r="J1620" s="5" t="str">
        <f t="shared" si="128"/>
        <v/>
      </c>
      <c r="K1620" s="25"/>
      <c r="L1620" s="5" t="str">
        <f t="shared" si="129"/>
        <v/>
      </c>
      <c r="M1620" s="7"/>
      <c r="N1620" s="7"/>
      <c r="O1620" s="7"/>
      <c r="P1620" s="20" t="str">
        <f>IF($A1620="","",INDEX(Project_Tracker!$I$2:$I$101,INT((ROW()-6)/17)+1))</f>
        <v/>
      </c>
      <c r="Q1620" s="20" t="str">
        <f>IF($A1620="","",INDEX(Project_Tracker!$K$2:$K$101,INT((ROW()-6)/17)+1))</f>
        <v/>
      </c>
    </row>
    <row r="1621" spans="1:17" x14ac:dyDescent="0.2">
      <c r="A1621" s="20" t="str">
        <f>IF(INDEX(Project_Tracker!$AL$2:$AL$101,INT((ROW()-6)/17)+1)="","",INDEX(Project_Tracker!$AL$2:$AL$101,INT((ROW()-6)/17)+1))</f>
        <v/>
      </c>
      <c r="B1621" s="21" t="str">
        <f>IF($A1621="","",INDEX(Project_Tracker!$AM$2:$AM$101,INT((ROW()-6)/17)+1))</f>
        <v/>
      </c>
      <c r="C1621" s="20" t="str">
        <f>IF($A1621="","",INDEX(Project_Tracker!$C$2:$C$101,INT((ROW()-6)/17)+1))</f>
        <v/>
      </c>
      <c r="D1621" s="6" t="str">
        <f>IF($A1621="","",INDEX(Project_Tracker!$T$2:$T$101,INT((ROW()-6)/17)+1))</f>
        <v/>
      </c>
      <c r="E1621" s="18">
        <f t="shared" si="125"/>
        <v>1</v>
      </c>
      <c r="F1621" s="23" t="str">
        <f>IF($A1621="","",INDEX('Logic &amp; Lists'!$I$4:$I$20,$E1621))</f>
        <v/>
      </c>
      <c r="G1621" s="18" t="str">
        <f>IF($A1621="","",INDEX('Logic &amp; Lists'!$J$4:$J$20,$E1621))</f>
        <v/>
      </c>
      <c r="H1621" s="6" t="str">
        <f t="shared" si="126"/>
        <v/>
      </c>
      <c r="I1621" s="18" t="str">
        <f t="shared" ca="1" si="127"/>
        <v/>
      </c>
      <c r="J1621" s="5" t="str">
        <f t="shared" si="128"/>
        <v/>
      </c>
      <c r="K1621" s="25"/>
      <c r="L1621" s="5" t="str">
        <f t="shared" si="129"/>
        <v/>
      </c>
      <c r="M1621" s="7"/>
      <c r="N1621" s="7"/>
      <c r="O1621" s="7"/>
      <c r="P1621" s="20" t="str">
        <f>IF($A1621="","",INDEX(Project_Tracker!$I$2:$I$101,INT((ROW()-6)/17)+1))</f>
        <v/>
      </c>
      <c r="Q1621" s="20" t="str">
        <f>IF($A1621="","",INDEX(Project_Tracker!$K$2:$K$101,INT((ROW()-6)/17)+1))</f>
        <v/>
      </c>
    </row>
    <row r="1622" spans="1:17" x14ac:dyDescent="0.2">
      <c r="A1622" s="20" t="str">
        <f>IF(INDEX(Project_Tracker!$AL$2:$AL$101,INT((ROW()-6)/17)+1)="","",INDEX(Project_Tracker!$AL$2:$AL$101,INT((ROW()-6)/17)+1))</f>
        <v/>
      </c>
      <c r="B1622" s="21" t="str">
        <f>IF($A1622="","",INDEX(Project_Tracker!$AM$2:$AM$101,INT((ROW()-6)/17)+1))</f>
        <v/>
      </c>
      <c r="C1622" s="20" t="str">
        <f>IF($A1622="","",INDEX(Project_Tracker!$C$2:$C$101,INT((ROW()-6)/17)+1))</f>
        <v/>
      </c>
      <c r="D1622" s="6" t="str">
        <f>IF($A1622="","",INDEX(Project_Tracker!$T$2:$T$101,INT((ROW()-6)/17)+1))</f>
        <v/>
      </c>
      <c r="E1622" s="18">
        <f t="shared" si="125"/>
        <v>2</v>
      </c>
      <c r="F1622" s="23" t="str">
        <f>IF($A1622="","",INDEX('Logic &amp; Lists'!$I$4:$I$20,$E1622))</f>
        <v/>
      </c>
      <c r="G1622" s="18" t="str">
        <f>IF($A1622="","",INDEX('Logic &amp; Lists'!$J$4:$J$20,$E1622))</f>
        <v/>
      </c>
      <c r="H1622" s="6" t="str">
        <f t="shared" si="126"/>
        <v/>
      </c>
      <c r="I1622" s="18" t="str">
        <f t="shared" ca="1" si="127"/>
        <v/>
      </c>
      <c r="J1622" s="5" t="str">
        <f t="shared" si="128"/>
        <v/>
      </c>
      <c r="K1622" s="25"/>
      <c r="L1622" s="5" t="str">
        <f t="shared" si="129"/>
        <v/>
      </c>
      <c r="M1622" s="7"/>
      <c r="N1622" s="7"/>
      <c r="O1622" s="7"/>
      <c r="P1622" s="20" t="str">
        <f>IF($A1622="","",INDEX(Project_Tracker!$I$2:$I$101,INT((ROW()-6)/17)+1))</f>
        <v/>
      </c>
      <c r="Q1622" s="20" t="str">
        <f>IF($A1622="","",INDEX(Project_Tracker!$K$2:$K$101,INT((ROW()-6)/17)+1))</f>
        <v/>
      </c>
    </row>
    <row r="1623" spans="1:17" x14ac:dyDescent="0.2">
      <c r="A1623" s="20" t="str">
        <f>IF(INDEX(Project_Tracker!$AL$2:$AL$101,INT((ROW()-6)/17)+1)="","",INDEX(Project_Tracker!$AL$2:$AL$101,INT((ROW()-6)/17)+1))</f>
        <v/>
      </c>
      <c r="B1623" s="21" t="str">
        <f>IF($A1623="","",INDEX(Project_Tracker!$AM$2:$AM$101,INT((ROW()-6)/17)+1))</f>
        <v/>
      </c>
      <c r="C1623" s="20" t="str">
        <f>IF($A1623="","",INDEX(Project_Tracker!$C$2:$C$101,INT((ROW()-6)/17)+1))</f>
        <v/>
      </c>
      <c r="D1623" s="6" t="str">
        <f>IF($A1623="","",INDEX(Project_Tracker!$T$2:$T$101,INT((ROW()-6)/17)+1))</f>
        <v/>
      </c>
      <c r="E1623" s="18">
        <f t="shared" si="125"/>
        <v>3</v>
      </c>
      <c r="F1623" s="23" t="str">
        <f>IF($A1623="","",INDEX('Logic &amp; Lists'!$I$4:$I$20,$E1623))</f>
        <v/>
      </c>
      <c r="G1623" s="18" t="str">
        <f>IF($A1623="","",INDEX('Logic &amp; Lists'!$J$4:$J$20,$E1623))</f>
        <v/>
      </c>
      <c r="H1623" s="6" t="str">
        <f t="shared" si="126"/>
        <v/>
      </c>
      <c r="I1623" s="18" t="str">
        <f t="shared" ca="1" si="127"/>
        <v/>
      </c>
      <c r="J1623" s="5" t="str">
        <f t="shared" si="128"/>
        <v/>
      </c>
      <c r="K1623" s="25"/>
      <c r="L1623" s="5" t="str">
        <f t="shared" si="129"/>
        <v/>
      </c>
      <c r="M1623" s="7"/>
      <c r="N1623" s="7"/>
      <c r="O1623" s="7"/>
      <c r="P1623" s="20" t="str">
        <f>IF($A1623="","",INDEX(Project_Tracker!$I$2:$I$101,INT((ROW()-6)/17)+1))</f>
        <v/>
      </c>
      <c r="Q1623" s="20" t="str">
        <f>IF($A1623="","",INDEX(Project_Tracker!$K$2:$K$101,INT((ROW()-6)/17)+1))</f>
        <v/>
      </c>
    </row>
    <row r="1624" spans="1:17" x14ac:dyDescent="0.2">
      <c r="A1624" s="20" t="str">
        <f>IF(INDEX(Project_Tracker!$AL$2:$AL$101,INT((ROW()-6)/17)+1)="","",INDEX(Project_Tracker!$AL$2:$AL$101,INT((ROW()-6)/17)+1))</f>
        <v/>
      </c>
      <c r="B1624" s="21" t="str">
        <f>IF($A1624="","",INDEX(Project_Tracker!$AM$2:$AM$101,INT((ROW()-6)/17)+1))</f>
        <v/>
      </c>
      <c r="C1624" s="20" t="str">
        <f>IF($A1624="","",INDEX(Project_Tracker!$C$2:$C$101,INT((ROW()-6)/17)+1))</f>
        <v/>
      </c>
      <c r="D1624" s="6" t="str">
        <f>IF($A1624="","",INDEX(Project_Tracker!$T$2:$T$101,INT((ROW()-6)/17)+1))</f>
        <v/>
      </c>
      <c r="E1624" s="18">
        <f t="shared" si="125"/>
        <v>4</v>
      </c>
      <c r="F1624" s="23" t="str">
        <f>IF($A1624="","",INDEX('Logic &amp; Lists'!$I$4:$I$20,$E1624))</f>
        <v/>
      </c>
      <c r="G1624" s="18" t="str">
        <f>IF($A1624="","",INDEX('Logic &amp; Lists'!$J$4:$J$20,$E1624))</f>
        <v/>
      </c>
      <c r="H1624" s="6" t="str">
        <f t="shared" si="126"/>
        <v/>
      </c>
      <c r="I1624" s="18" t="str">
        <f t="shared" ca="1" si="127"/>
        <v/>
      </c>
      <c r="J1624" s="5" t="str">
        <f t="shared" si="128"/>
        <v/>
      </c>
      <c r="K1624" s="25"/>
      <c r="L1624" s="5" t="str">
        <f t="shared" si="129"/>
        <v/>
      </c>
      <c r="M1624" s="7"/>
      <c r="N1624" s="7"/>
      <c r="O1624" s="7"/>
      <c r="P1624" s="20" t="str">
        <f>IF($A1624="","",INDEX(Project_Tracker!$I$2:$I$101,INT((ROW()-6)/17)+1))</f>
        <v/>
      </c>
      <c r="Q1624" s="20" t="str">
        <f>IF($A1624="","",INDEX(Project_Tracker!$K$2:$K$101,INT((ROW()-6)/17)+1))</f>
        <v/>
      </c>
    </row>
    <row r="1625" spans="1:17" x14ac:dyDescent="0.2">
      <c r="A1625" s="20" t="str">
        <f>IF(INDEX(Project_Tracker!$AL$2:$AL$101,INT((ROW()-6)/17)+1)="","",INDEX(Project_Tracker!$AL$2:$AL$101,INT((ROW()-6)/17)+1))</f>
        <v/>
      </c>
      <c r="B1625" s="21" t="str">
        <f>IF($A1625="","",INDEX(Project_Tracker!$AM$2:$AM$101,INT((ROW()-6)/17)+1))</f>
        <v/>
      </c>
      <c r="C1625" s="20" t="str">
        <f>IF($A1625="","",INDEX(Project_Tracker!$C$2:$C$101,INT((ROW()-6)/17)+1))</f>
        <v/>
      </c>
      <c r="D1625" s="6" t="str">
        <f>IF($A1625="","",INDEX(Project_Tracker!$T$2:$T$101,INT((ROW()-6)/17)+1))</f>
        <v/>
      </c>
      <c r="E1625" s="18">
        <f t="shared" si="125"/>
        <v>5</v>
      </c>
      <c r="F1625" s="23" t="str">
        <f>IF($A1625="","",INDEX('Logic &amp; Lists'!$I$4:$I$20,$E1625))</f>
        <v/>
      </c>
      <c r="G1625" s="18" t="str">
        <f>IF($A1625="","",INDEX('Logic &amp; Lists'!$J$4:$J$20,$E1625))</f>
        <v/>
      </c>
      <c r="H1625" s="6" t="str">
        <f t="shared" si="126"/>
        <v/>
      </c>
      <c r="I1625" s="18" t="str">
        <f t="shared" ca="1" si="127"/>
        <v/>
      </c>
      <c r="J1625" s="5" t="str">
        <f t="shared" si="128"/>
        <v/>
      </c>
      <c r="K1625" s="25"/>
      <c r="L1625" s="5" t="str">
        <f t="shared" si="129"/>
        <v/>
      </c>
      <c r="M1625" s="7"/>
      <c r="N1625" s="7"/>
      <c r="O1625" s="7"/>
      <c r="P1625" s="20" t="str">
        <f>IF($A1625="","",INDEX(Project_Tracker!$I$2:$I$101,INT((ROW()-6)/17)+1))</f>
        <v/>
      </c>
      <c r="Q1625" s="20" t="str">
        <f>IF($A1625="","",INDEX(Project_Tracker!$K$2:$K$101,INT((ROW()-6)/17)+1))</f>
        <v/>
      </c>
    </row>
    <row r="1626" spans="1:17" x14ac:dyDescent="0.2">
      <c r="A1626" s="20" t="str">
        <f>IF(INDEX(Project_Tracker!$AL$2:$AL$101,INT((ROW()-6)/17)+1)="","",INDEX(Project_Tracker!$AL$2:$AL$101,INT((ROW()-6)/17)+1))</f>
        <v/>
      </c>
      <c r="B1626" s="21" t="str">
        <f>IF($A1626="","",INDEX(Project_Tracker!$AM$2:$AM$101,INT((ROW()-6)/17)+1))</f>
        <v/>
      </c>
      <c r="C1626" s="20" t="str">
        <f>IF($A1626="","",INDEX(Project_Tracker!$C$2:$C$101,INT((ROW()-6)/17)+1))</f>
        <v/>
      </c>
      <c r="D1626" s="6" t="str">
        <f>IF($A1626="","",INDEX(Project_Tracker!$T$2:$T$101,INT((ROW()-6)/17)+1))</f>
        <v/>
      </c>
      <c r="E1626" s="18">
        <f t="shared" si="125"/>
        <v>6</v>
      </c>
      <c r="F1626" s="23" t="str">
        <f>IF($A1626="","",INDEX('Logic &amp; Lists'!$I$4:$I$20,$E1626))</f>
        <v/>
      </c>
      <c r="G1626" s="18" t="str">
        <f>IF($A1626="","",INDEX('Logic &amp; Lists'!$J$4:$J$20,$E1626))</f>
        <v/>
      </c>
      <c r="H1626" s="6" t="str">
        <f t="shared" si="126"/>
        <v/>
      </c>
      <c r="I1626" s="18" t="str">
        <f t="shared" ca="1" si="127"/>
        <v/>
      </c>
      <c r="J1626" s="5" t="str">
        <f t="shared" si="128"/>
        <v/>
      </c>
      <c r="K1626" s="25"/>
      <c r="L1626" s="5" t="str">
        <f t="shared" si="129"/>
        <v/>
      </c>
      <c r="M1626" s="7"/>
      <c r="N1626" s="7"/>
      <c r="O1626" s="7"/>
      <c r="P1626" s="20" t="str">
        <f>IF($A1626="","",INDEX(Project_Tracker!$I$2:$I$101,INT((ROW()-6)/17)+1))</f>
        <v/>
      </c>
      <c r="Q1626" s="20" t="str">
        <f>IF($A1626="","",INDEX(Project_Tracker!$K$2:$K$101,INT((ROW()-6)/17)+1))</f>
        <v/>
      </c>
    </row>
    <row r="1627" spans="1:17" x14ac:dyDescent="0.2">
      <c r="A1627" s="20" t="str">
        <f>IF(INDEX(Project_Tracker!$AL$2:$AL$101,INT((ROW()-6)/17)+1)="","",INDEX(Project_Tracker!$AL$2:$AL$101,INT((ROW()-6)/17)+1))</f>
        <v/>
      </c>
      <c r="B1627" s="21" t="str">
        <f>IF($A1627="","",INDEX(Project_Tracker!$AM$2:$AM$101,INT((ROW()-6)/17)+1))</f>
        <v/>
      </c>
      <c r="C1627" s="20" t="str">
        <f>IF($A1627="","",INDEX(Project_Tracker!$C$2:$C$101,INT((ROW()-6)/17)+1))</f>
        <v/>
      </c>
      <c r="D1627" s="6" t="str">
        <f>IF($A1627="","",INDEX(Project_Tracker!$T$2:$T$101,INT((ROW()-6)/17)+1))</f>
        <v/>
      </c>
      <c r="E1627" s="18">
        <f t="shared" si="125"/>
        <v>7</v>
      </c>
      <c r="F1627" s="23" t="str">
        <f>IF($A1627="","",INDEX('Logic &amp; Lists'!$I$4:$I$20,$E1627))</f>
        <v/>
      </c>
      <c r="G1627" s="18" t="str">
        <f>IF($A1627="","",INDEX('Logic &amp; Lists'!$J$4:$J$20,$E1627))</f>
        <v/>
      </c>
      <c r="H1627" s="6" t="str">
        <f t="shared" si="126"/>
        <v/>
      </c>
      <c r="I1627" s="18" t="str">
        <f t="shared" ca="1" si="127"/>
        <v/>
      </c>
      <c r="J1627" s="5" t="str">
        <f t="shared" si="128"/>
        <v/>
      </c>
      <c r="K1627" s="25"/>
      <c r="L1627" s="5" t="str">
        <f t="shared" si="129"/>
        <v/>
      </c>
      <c r="M1627" s="7"/>
      <c r="N1627" s="7"/>
      <c r="O1627" s="7"/>
      <c r="P1627" s="20" t="str">
        <f>IF($A1627="","",INDEX(Project_Tracker!$I$2:$I$101,INT((ROW()-6)/17)+1))</f>
        <v/>
      </c>
      <c r="Q1627" s="20" t="str">
        <f>IF($A1627="","",INDEX(Project_Tracker!$K$2:$K$101,INT((ROW()-6)/17)+1))</f>
        <v/>
      </c>
    </row>
    <row r="1628" spans="1:17" x14ac:dyDescent="0.2">
      <c r="A1628" s="20" t="str">
        <f>IF(INDEX(Project_Tracker!$AL$2:$AL$101,INT((ROW()-6)/17)+1)="","",INDEX(Project_Tracker!$AL$2:$AL$101,INT((ROW()-6)/17)+1))</f>
        <v/>
      </c>
      <c r="B1628" s="21" t="str">
        <f>IF($A1628="","",INDEX(Project_Tracker!$AM$2:$AM$101,INT((ROW()-6)/17)+1))</f>
        <v/>
      </c>
      <c r="C1628" s="20" t="str">
        <f>IF($A1628="","",INDEX(Project_Tracker!$C$2:$C$101,INT((ROW()-6)/17)+1))</f>
        <v/>
      </c>
      <c r="D1628" s="6" t="str">
        <f>IF($A1628="","",INDEX(Project_Tracker!$T$2:$T$101,INT((ROW()-6)/17)+1))</f>
        <v/>
      </c>
      <c r="E1628" s="18">
        <f t="shared" si="125"/>
        <v>8</v>
      </c>
      <c r="F1628" s="23" t="str">
        <f>IF($A1628="","",INDEX('Logic &amp; Lists'!$I$4:$I$20,$E1628))</f>
        <v/>
      </c>
      <c r="G1628" s="18" t="str">
        <f>IF($A1628="","",INDEX('Logic &amp; Lists'!$J$4:$J$20,$E1628))</f>
        <v/>
      </c>
      <c r="H1628" s="6" t="str">
        <f t="shared" si="126"/>
        <v/>
      </c>
      <c r="I1628" s="18" t="str">
        <f t="shared" ca="1" si="127"/>
        <v/>
      </c>
      <c r="J1628" s="5" t="str">
        <f t="shared" si="128"/>
        <v/>
      </c>
      <c r="K1628" s="25"/>
      <c r="L1628" s="5" t="str">
        <f t="shared" si="129"/>
        <v/>
      </c>
      <c r="M1628" s="7"/>
      <c r="N1628" s="7"/>
      <c r="O1628" s="7"/>
      <c r="P1628" s="20" t="str">
        <f>IF($A1628="","",INDEX(Project_Tracker!$I$2:$I$101,INT((ROW()-6)/17)+1))</f>
        <v/>
      </c>
      <c r="Q1628" s="20" t="str">
        <f>IF($A1628="","",INDEX(Project_Tracker!$K$2:$K$101,INT((ROW()-6)/17)+1))</f>
        <v/>
      </c>
    </row>
    <row r="1629" spans="1:17" x14ac:dyDescent="0.2">
      <c r="A1629" s="20" t="str">
        <f>IF(INDEX(Project_Tracker!$AL$2:$AL$101,INT((ROW()-6)/17)+1)="","",INDEX(Project_Tracker!$AL$2:$AL$101,INT((ROW()-6)/17)+1))</f>
        <v/>
      </c>
      <c r="B1629" s="21" t="str">
        <f>IF($A1629="","",INDEX(Project_Tracker!$AM$2:$AM$101,INT((ROW()-6)/17)+1))</f>
        <v/>
      </c>
      <c r="C1629" s="20" t="str">
        <f>IF($A1629="","",INDEX(Project_Tracker!$C$2:$C$101,INT((ROW()-6)/17)+1))</f>
        <v/>
      </c>
      <c r="D1629" s="6" t="str">
        <f>IF($A1629="","",INDEX(Project_Tracker!$T$2:$T$101,INT((ROW()-6)/17)+1))</f>
        <v/>
      </c>
      <c r="E1629" s="18">
        <f t="shared" si="125"/>
        <v>9</v>
      </c>
      <c r="F1629" s="23" t="str">
        <f>IF($A1629="","",INDEX('Logic &amp; Lists'!$I$4:$I$20,$E1629))</f>
        <v/>
      </c>
      <c r="G1629" s="18" t="str">
        <f>IF($A1629="","",INDEX('Logic &amp; Lists'!$J$4:$J$20,$E1629))</f>
        <v/>
      </c>
      <c r="H1629" s="6" t="str">
        <f t="shared" si="126"/>
        <v/>
      </c>
      <c r="I1629" s="18" t="str">
        <f t="shared" ca="1" si="127"/>
        <v/>
      </c>
      <c r="J1629" s="5" t="str">
        <f t="shared" si="128"/>
        <v/>
      </c>
      <c r="K1629" s="25"/>
      <c r="L1629" s="5" t="str">
        <f t="shared" si="129"/>
        <v/>
      </c>
      <c r="M1629" s="7"/>
      <c r="N1629" s="7"/>
      <c r="O1629" s="7"/>
      <c r="P1629" s="20" t="str">
        <f>IF($A1629="","",INDEX(Project_Tracker!$I$2:$I$101,INT((ROW()-6)/17)+1))</f>
        <v/>
      </c>
      <c r="Q1629" s="20" t="str">
        <f>IF($A1629="","",INDEX(Project_Tracker!$K$2:$K$101,INT((ROW()-6)/17)+1))</f>
        <v/>
      </c>
    </row>
    <row r="1630" spans="1:17" x14ac:dyDescent="0.2">
      <c r="A1630" s="20" t="str">
        <f>IF(INDEX(Project_Tracker!$AL$2:$AL$101,INT((ROW()-6)/17)+1)="","",INDEX(Project_Tracker!$AL$2:$AL$101,INT((ROW()-6)/17)+1))</f>
        <v/>
      </c>
      <c r="B1630" s="21" t="str">
        <f>IF($A1630="","",INDEX(Project_Tracker!$AM$2:$AM$101,INT((ROW()-6)/17)+1))</f>
        <v/>
      </c>
      <c r="C1630" s="20" t="str">
        <f>IF($A1630="","",INDEX(Project_Tracker!$C$2:$C$101,INT((ROW()-6)/17)+1))</f>
        <v/>
      </c>
      <c r="D1630" s="6" t="str">
        <f>IF($A1630="","",INDEX(Project_Tracker!$T$2:$T$101,INT((ROW()-6)/17)+1))</f>
        <v/>
      </c>
      <c r="E1630" s="18">
        <f t="shared" si="125"/>
        <v>10</v>
      </c>
      <c r="F1630" s="23" t="str">
        <f>IF($A1630="","",INDEX('Logic &amp; Lists'!$I$4:$I$20,$E1630))</f>
        <v/>
      </c>
      <c r="G1630" s="18" t="str">
        <f>IF($A1630="","",INDEX('Logic &amp; Lists'!$J$4:$J$20,$E1630))</f>
        <v/>
      </c>
      <c r="H1630" s="6" t="str">
        <f t="shared" si="126"/>
        <v/>
      </c>
      <c r="I1630" s="18" t="str">
        <f t="shared" ca="1" si="127"/>
        <v/>
      </c>
      <c r="J1630" s="5" t="str">
        <f t="shared" si="128"/>
        <v/>
      </c>
      <c r="K1630" s="25"/>
      <c r="L1630" s="5" t="str">
        <f t="shared" si="129"/>
        <v/>
      </c>
      <c r="M1630" s="7"/>
      <c r="N1630" s="7"/>
      <c r="O1630" s="7"/>
      <c r="P1630" s="20" t="str">
        <f>IF($A1630="","",INDEX(Project_Tracker!$I$2:$I$101,INT((ROW()-6)/17)+1))</f>
        <v/>
      </c>
      <c r="Q1630" s="20" t="str">
        <f>IF($A1630="","",INDEX(Project_Tracker!$K$2:$K$101,INT((ROW()-6)/17)+1))</f>
        <v/>
      </c>
    </row>
    <row r="1631" spans="1:17" x14ac:dyDescent="0.2">
      <c r="A1631" s="20" t="str">
        <f>IF(INDEX(Project_Tracker!$AL$2:$AL$101,INT((ROW()-6)/17)+1)="","",INDEX(Project_Tracker!$AL$2:$AL$101,INT((ROW()-6)/17)+1))</f>
        <v/>
      </c>
      <c r="B1631" s="21" t="str">
        <f>IF($A1631="","",INDEX(Project_Tracker!$AM$2:$AM$101,INT((ROW()-6)/17)+1))</f>
        <v/>
      </c>
      <c r="C1631" s="20" t="str">
        <f>IF($A1631="","",INDEX(Project_Tracker!$C$2:$C$101,INT((ROW()-6)/17)+1))</f>
        <v/>
      </c>
      <c r="D1631" s="6" t="str">
        <f>IF($A1631="","",INDEX(Project_Tracker!$T$2:$T$101,INT((ROW()-6)/17)+1))</f>
        <v/>
      </c>
      <c r="E1631" s="18">
        <f t="shared" si="125"/>
        <v>11</v>
      </c>
      <c r="F1631" s="23" t="str">
        <f>IF($A1631="","",INDEX('Logic &amp; Lists'!$I$4:$I$20,$E1631))</f>
        <v/>
      </c>
      <c r="G1631" s="18" t="str">
        <f>IF($A1631="","",INDEX('Logic &amp; Lists'!$J$4:$J$20,$E1631))</f>
        <v/>
      </c>
      <c r="H1631" s="6" t="str">
        <f t="shared" si="126"/>
        <v/>
      </c>
      <c r="I1631" s="18" t="str">
        <f t="shared" ca="1" si="127"/>
        <v/>
      </c>
      <c r="J1631" s="5" t="str">
        <f t="shared" si="128"/>
        <v/>
      </c>
      <c r="K1631" s="25"/>
      <c r="L1631" s="5" t="str">
        <f t="shared" si="129"/>
        <v/>
      </c>
      <c r="M1631" s="7"/>
      <c r="N1631" s="7"/>
      <c r="O1631" s="7"/>
      <c r="P1631" s="20" t="str">
        <f>IF($A1631="","",INDEX(Project_Tracker!$I$2:$I$101,INT((ROW()-6)/17)+1))</f>
        <v/>
      </c>
      <c r="Q1631" s="20" t="str">
        <f>IF($A1631="","",INDEX(Project_Tracker!$K$2:$K$101,INT((ROW()-6)/17)+1))</f>
        <v/>
      </c>
    </row>
    <row r="1632" spans="1:17" x14ac:dyDescent="0.2">
      <c r="A1632" s="20" t="str">
        <f>IF(INDEX(Project_Tracker!$AL$2:$AL$101,INT((ROW()-6)/17)+1)="","",INDEX(Project_Tracker!$AL$2:$AL$101,INT((ROW()-6)/17)+1))</f>
        <v/>
      </c>
      <c r="B1632" s="21" t="str">
        <f>IF($A1632="","",INDEX(Project_Tracker!$AM$2:$AM$101,INT((ROW()-6)/17)+1))</f>
        <v/>
      </c>
      <c r="C1632" s="20" t="str">
        <f>IF($A1632="","",INDEX(Project_Tracker!$C$2:$C$101,INT((ROW()-6)/17)+1))</f>
        <v/>
      </c>
      <c r="D1632" s="6" t="str">
        <f>IF($A1632="","",INDEX(Project_Tracker!$T$2:$T$101,INT((ROW()-6)/17)+1))</f>
        <v/>
      </c>
      <c r="E1632" s="18">
        <f t="shared" si="125"/>
        <v>12</v>
      </c>
      <c r="F1632" s="23" t="str">
        <f>IF($A1632="","",INDEX('Logic &amp; Lists'!$I$4:$I$20,$E1632))</f>
        <v/>
      </c>
      <c r="G1632" s="18" t="str">
        <f>IF($A1632="","",INDEX('Logic &amp; Lists'!$J$4:$J$20,$E1632))</f>
        <v/>
      </c>
      <c r="H1632" s="6" t="str">
        <f t="shared" si="126"/>
        <v/>
      </c>
      <c r="I1632" s="18" t="str">
        <f t="shared" ca="1" si="127"/>
        <v/>
      </c>
      <c r="J1632" s="5" t="str">
        <f t="shared" si="128"/>
        <v/>
      </c>
      <c r="K1632" s="25"/>
      <c r="L1632" s="5" t="str">
        <f t="shared" si="129"/>
        <v/>
      </c>
      <c r="M1632" s="7"/>
      <c r="N1632" s="7"/>
      <c r="O1632" s="7"/>
      <c r="P1632" s="20" t="str">
        <f>IF($A1632="","",INDEX(Project_Tracker!$I$2:$I$101,INT((ROW()-6)/17)+1))</f>
        <v/>
      </c>
      <c r="Q1632" s="20" t="str">
        <f>IF($A1632="","",INDEX(Project_Tracker!$K$2:$K$101,INT((ROW()-6)/17)+1))</f>
        <v/>
      </c>
    </row>
    <row r="1633" spans="1:17" x14ac:dyDescent="0.2">
      <c r="A1633" s="20" t="str">
        <f>IF(INDEX(Project_Tracker!$AL$2:$AL$101,INT((ROW()-6)/17)+1)="","",INDEX(Project_Tracker!$AL$2:$AL$101,INT((ROW()-6)/17)+1))</f>
        <v/>
      </c>
      <c r="B1633" s="21" t="str">
        <f>IF($A1633="","",INDEX(Project_Tracker!$AM$2:$AM$101,INT((ROW()-6)/17)+1))</f>
        <v/>
      </c>
      <c r="C1633" s="20" t="str">
        <f>IF($A1633="","",INDEX(Project_Tracker!$C$2:$C$101,INT((ROW()-6)/17)+1))</f>
        <v/>
      </c>
      <c r="D1633" s="6" t="str">
        <f>IF($A1633="","",INDEX(Project_Tracker!$T$2:$T$101,INT((ROW()-6)/17)+1))</f>
        <v/>
      </c>
      <c r="E1633" s="18">
        <f t="shared" si="125"/>
        <v>13</v>
      </c>
      <c r="F1633" s="23" t="str">
        <f>IF($A1633="","",INDEX('Logic &amp; Lists'!$I$4:$I$20,$E1633))</f>
        <v/>
      </c>
      <c r="G1633" s="18" t="str">
        <f>IF($A1633="","",INDEX('Logic &amp; Lists'!$J$4:$J$20,$E1633))</f>
        <v/>
      </c>
      <c r="H1633" s="6" t="str">
        <f t="shared" si="126"/>
        <v/>
      </c>
      <c r="I1633" s="18" t="str">
        <f t="shared" ca="1" si="127"/>
        <v/>
      </c>
      <c r="J1633" s="5" t="str">
        <f t="shared" si="128"/>
        <v/>
      </c>
      <c r="K1633" s="25"/>
      <c r="L1633" s="5" t="str">
        <f t="shared" si="129"/>
        <v/>
      </c>
      <c r="M1633" s="7"/>
      <c r="N1633" s="7"/>
      <c r="O1633" s="7"/>
      <c r="P1633" s="20" t="str">
        <f>IF($A1633="","",INDEX(Project_Tracker!$I$2:$I$101,INT((ROW()-6)/17)+1))</f>
        <v/>
      </c>
      <c r="Q1633" s="20" t="str">
        <f>IF($A1633="","",INDEX(Project_Tracker!$K$2:$K$101,INT((ROW()-6)/17)+1))</f>
        <v/>
      </c>
    </row>
    <row r="1634" spans="1:17" x14ac:dyDescent="0.2">
      <c r="A1634" s="20" t="str">
        <f>IF(INDEX(Project_Tracker!$AL$2:$AL$101,INT((ROW()-6)/17)+1)="","",INDEX(Project_Tracker!$AL$2:$AL$101,INT((ROW()-6)/17)+1))</f>
        <v/>
      </c>
      <c r="B1634" s="21" t="str">
        <f>IF($A1634="","",INDEX(Project_Tracker!$AM$2:$AM$101,INT((ROW()-6)/17)+1))</f>
        <v/>
      </c>
      <c r="C1634" s="20" t="str">
        <f>IF($A1634="","",INDEX(Project_Tracker!$C$2:$C$101,INT((ROW()-6)/17)+1))</f>
        <v/>
      </c>
      <c r="D1634" s="6" t="str">
        <f>IF($A1634="","",INDEX(Project_Tracker!$T$2:$T$101,INT((ROW()-6)/17)+1))</f>
        <v/>
      </c>
      <c r="E1634" s="18">
        <f t="shared" si="125"/>
        <v>14</v>
      </c>
      <c r="F1634" s="23" t="str">
        <f>IF($A1634="","",INDEX('Logic &amp; Lists'!$I$4:$I$20,$E1634))</f>
        <v/>
      </c>
      <c r="G1634" s="18" t="str">
        <f>IF($A1634="","",INDEX('Logic &amp; Lists'!$J$4:$J$20,$E1634))</f>
        <v/>
      </c>
      <c r="H1634" s="6" t="str">
        <f t="shared" si="126"/>
        <v/>
      </c>
      <c r="I1634" s="18" t="str">
        <f t="shared" ca="1" si="127"/>
        <v/>
      </c>
      <c r="J1634" s="5" t="str">
        <f t="shared" si="128"/>
        <v/>
      </c>
      <c r="K1634" s="25"/>
      <c r="L1634" s="5" t="str">
        <f t="shared" si="129"/>
        <v/>
      </c>
      <c r="M1634" s="7"/>
      <c r="N1634" s="7"/>
      <c r="O1634" s="7"/>
      <c r="P1634" s="20" t="str">
        <f>IF($A1634="","",INDEX(Project_Tracker!$I$2:$I$101,INT((ROW()-6)/17)+1))</f>
        <v/>
      </c>
      <c r="Q1634" s="20" t="str">
        <f>IF($A1634="","",INDEX(Project_Tracker!$K$2:$K$101,INT((ROW()-6)/17)+1))</f>
        <v/>
      </c>
    </row>
    <row r="1635" spans="1:17" x14ac:dyDescent="0.2">
      <c r="A1635" s="20" t="str">
        <f>IF(INDEX(Project_Tracker!$AL$2:$AL$101,INT((ROW()-6)/17)+1)="","",INDEX(Project_Tracker!$AL$2:$AL$101,INT((ROW()-6)/17)+1))</f>
        <v/>
      </c>
      <c r="B1635" s="21" t="str">
        <f>IF($A1635="","",INDEX(Project_Tracker!$AM$2:$AM$101,INT((ROW()-6)/17)+1))</f>
        <v/>
      </c>
      <c r="C1635" s="20" t="str">
        <f>IF($A1635="","",INDEX(Project_Tracker!$C$2:$C$101,INT((ROW()-6)/17)+1))</f>
        <v/>
      </c>
      <c r="D1635" s="6" t="str">
        <f>IF($A1635="","",INDEX(Project_Tracker!$T$2:$T$101,INT((ROW()-6)/17)+1))</f>
        <v/>
      </c>
      <c r="E1635" s="18">
        <f t="shared" si="125"/>
        <v>15</v>
      </c>
      <c r="F1635" s="23" t="str">
        <f>IF($A1635="","",INDEX('Logic &amp; Lists'!$I$4:$I$20,$E1635))</f>
        <v/>
      </c>
      <c r="G1635" s="18" t="str">
        <f>IF($A1635="","",INDEX('Logic &amp; Lists'!$J$4:$J$20,$E1635))</f>
        <v/>
      </c>
      <c r="H1635" s="6" t="str">
        <f t="shared" si="126"/>
        <v/>
      </c>
      <c r="I1635" s="18" t="str">
        <f t="shared" ca="1" si="127"/>
        <v/>
      </c>
      <c r="J1635" s="5" t="str">
        <f t="shared" si="128"/>
        <v/>
      </c>
      <c r="K1635" s="25"/>
      <c r="L1635" s="5" t="str">
        <f t="shared" si="129"/>
        <v/>
      </c>
      <c r="M1635" s="7"/>
      <c r="N1635" s="7"/>
      <c r="O1635" s="7"/>
      <c r="P1635" s="20" t="str">
        <f>IF($A1635="","",INDEX(Project_Tracker!$I$2:$I$101,INT((ROW()-6)/17)+1))</f>
        <v/>
      </c>
      <c r="Q1635" s="20" t="str">
        <f>IF($A1635="","",INDEX(Project_Tracker!$K$2:$K$101,INT((ROW()-6)/17)+1))</f>
        <v/>
      </c>
    </row>
    <row r="1636" spans="1:17" x14ac:dyDescent="0.2">
      <c r="A1636" s="20" t="str">
        <f>IF(INDEX(Project_Tracker!$AL$2:$AL$101,INT((ROW()-6)/17)+1)="","",INDEX(Project_Tracker!$AL$2:$AL$101,INT((ROW()-6)/17)+1))</f>
        <v/>
      </c>
      <c r="B1636" s="21" t="str">
        <f>IF($A1636="","",INDEX(Project_Tracker!$AM$2:$AM$101,INT((ROW()-6)/17)+1))</f>
        <v/>
      </c>
      <c r="C1636" s="20" t="str">
        <f>IF($A1636="","",INDEX(Project_Tracker!$C$2:$C$101,INT((ROW()-6)/17)+1))</f>
        <v/>
      </c>
      <c r="D1636" s="6" t="str">
        <f>IF($A1636="","",INDEX(Project_Tracker!$T$2:$T$101,INT((ROW()-6)/17)+1))</f>
        <v/>
      </c>
      <c r="E1636" s="18">
        <f t="shared" si="125"/>
        <v>16</v>
      </c>
      <c r="F1636" s="23" t="str">
        <f>IF($A1636="","",INDEX('Logic &amp; Lists'!$I$4:$I$20,$E1636))</f>
        <v/>
      </c>
      <c r="G1636" s="18" t="str">
        <f>IF($A1636="","",INDEX('Logic &amp; Lists'!$J$4:$J$20,$E1636))</f>
        <v/>
      </c>
      <c r="H1636" s="6" t="str">
        <f t="shared" si="126"/>
        <v/>
      </c>
      <c r="I1636" s="18" t="str">
        <f t="shared" ca="1" si="127"/>
        <v/>
      </c>
      <c r="J1636" s="5" t="str">
        <f t="shared" si="128"/>
        <v/>
      </c>
      <c r="K1636" s="25"/>
      <c r="L1636" s="5" t="str">
        <f t="shared" si="129"/>
        <v/>
      </c>
      <c r="M1636" s="7"/>
      <c r="N1636" s="7"/>
      <c r="O1636" s="7"/>
      <c r="P1636" s="20" t="str">
        <f>IF($A1636="","",INDEX(Project_Tracker!$I$2:$I$101,INT((ROW()-6)/17)+1))</f>
        <v/>
      </c>
      <c r="Q1636" s="20" t="str">
        <f>IF($A1636="","",INDEX(Project_Tracker!$K$2:$K$101,INT((ROW()-6)/17)+1))</f>
        <v/>
      </c>
    </row>
    <row r="1637" spans="1:17" x14ac:dyDescent="0.2">
      <c r="A1637" s="20" t="str">
        <f>IF(INDEX(Project_Tracker!$AL$2:$AL$101,INT((ROW()-6)/17)+1)="","",INDEX(Project_Tracker!$AL$2:$AL$101,INT((ROW()-6)/17)+1))</f>
        <v/>
      </c>
      <c r="B1637" s="21" t="str">
        <f>IF($A1637="","",INDEX(Project_Tracker!$AM$2:$AM$101,INT((ROW()-6)/17)+1))</f>
        <v/>
      </c>
      <c r="C1637" s="20" t="str">
        <f>IF($A1637="","",INDEX(Project_Tracker!$C$2:$C$101,INT((ROW()-6)/17)+1))</f>
        <v/>
      </c>
      <c r="D1637" s="6" t="str">
        <f>IF($A1637="","",INDEX(Project_Tracker!$T$2:$T$101,INT((ROW()-6)/17)+1))</f>
        <v/>
      </c>
      <c r="E1637" s="18">
        <f t="shared" si="125"/>
        <v>17</v>
      </c>
      <c r="F1637" s="23" t="str">
        <f>IF($A1637="","",INDEX('Logic &amp; Lists'!$I$4:$I$20,$E1637))</f>
        <v/>
      </c>
      <c r="G1637" s="18" t="str">
        <f>IF($A1637="","",INDEX('Logic &amp; Lists'!$J$4:$J$20,$E1637))</f>
        <v/>
      </c>
      <c r="H1637" s="6" t="str">
        <f t="shared" si="126"/>
        <v/>
      </c>
      <c r="I1637" s="18" t="str">
        <f t="shared" ca="1" si="127"/>
        <v/>
      </c>
      <c r="J1637" s="5" t="str">
        <f t="shared" si="128"/>
        <v/>
      </c>
      <c r="K1637" s="25"/>
      <c r="L1637" s="5" t="str">
        <f t="shared" si="129"/>
        <v/>
      </c>
      <c r="M1637" s="7"/>
      <c r="N1637" s="7"/>
      <c r="O1637" s="7"/>
      <c r="P1637" s="20" t="str">
        <f>IF($A1637="","",INDEX(Project_Tracker!$I$2:$I$101,INT((ROW()-6)/17)+1))</f>
        <v/>
      </c>
      <c r="Q1637" s="20" t="str">
        <f>IF($A1637="","",INDEX(Project_Tracker!$K$2:$K$101,INT((ROW()-6)/17)+1))</f>
        <v/>
      </c>
    </row>
    <row r="1638" spans="1:17" x14ac:dyDescent="0.2">
      <c r="A1638" s="20" t="str">
        <f>IF(INDEX(Project_Tracker!$AL$2:$AL$101,INT((ROW()-6)/17)+1)="","",INDEX(Project_Tracker!$AL$2:$AL$101,INT((ROW()-6)/17)+1))</f>
        <v/>
      </c>
      <c r="B1638" s="21" t="str">
        <f>IF($A1638="","",INDEX(Project_Tracker!$AM$2:$AM$101,INT((ROW()-6)/17)+1))</f>
        <v/>
      </c>
      <c r="C1638" s="20" t="str">
        <f>IF($A1638="","",INDEX(Project_Tracker!$C$2:$C$101,INT((ROW()-6)/17)+1))</f>
        <v/>
      </c>
      <c r="D1638" s="6" t="str">
        <f>IF($A1638="","",INDEX(Project_Tracker!$T$2:$T$101,INT((ROW()-6)/17)+1))</f>
        <v/>
      </c>
      <c r="E1638" s="18">
        <f t="shared" si="125"/>
        <v>1</v>
      </c>
      <c r="F1638" s="23" t="str">
        <f>IF($A1638="","",INDEX('Logic &amp; Lists'!$I$4:$I$20,$E1638))</f>
        <v/>
      </c>
      <c r="G1638" s="18" t="str">
        <f>IF($A1638="","",INDEX('Logic &amp; Lists'!$J$4:$J$20,$E1638))</f>
        <v/>
      </c>
      <c r="H1638" s="6" t="str">
        <f t="shared" si="126"/>
        <v/>
      </c>
      <c r="I1638" s="18" t="str">
        <f t="shared" ca="1" si="127"/>
        <v/>
      </c>
      <c r="J1638" s="5" t="str">
        <f t="shared" si="128"/>
        <v/>
      </c>
      <c r="K1638" s="25"/>
      <c r="L1638" s="5" t="str">
        <f t="shared" si="129"/>
        <v/>
      </c>
      <c r="M1638" s="7"/>
      <c r="N1638" s="7"/>
      <c r="O1638" s="7"/>
      <c r="P1638" s="20" t="str">
        <f>IF($A1638="","",INDEX(Project_Tracker!$I$2:$I$101,INT((ROW()-6)/17)+1))</f>
        <v/>
      </c>
      <c r="Q1638" s="20" t="str">
        <f>IF($A1638="","",INDEX(Project_Tracker!$K$2:$K$101,INT((ROW()-6)/17)+1))</f>
        <v/>
      </c>
    </row>
    <row r="1639" spans="1:17" x14ac:dyDescent="0.2">
      <c r="A1639" s="20" t="str">
        <f>IF(INDEX(Project_Tracker!$AL$2:$AL$101,INT((ROW()-6)/17)+1)="","",INDEX(Project_Tracker!$AL$2:$AL$101,INT((ROW()-6)/17)+1))</f>
        <v/>
      </c>
      <c r="B1639" s="21" t="str">
        <f>IF($A1639="","",INDEX(Project_Tracker!$AM$2:$AM$101,INT((ROW()-6)/17)+1))</f>
        <v/>
      </c>
      <c r="C1639" s="20" t="str">
        <f>IF($A1639="","",INDEX(Project_Tracker!$C$2:$C$101,INT((ROW()-6)/17)+1))</f>
        <v/>
      </c>
      <c r="D1639" s="6" t="str">
        <f>IF($A1639="","",INDEX(Project_Tracker!$T$2:$T$101,INT((ROW()-6)/17)+1))</f>
        <v/>
      </c>
      <c r="E1639" s="18">
        <f t="shared" si="125"/>
        <v>2</v>
      </c>
      <c r="F1639" s="23" t="str">
        <f>IF($A1639="","",INDEX('Logic &amp; Lists'!$I$4:$I$20,$E1639))</f>
        <v/>
      </c>
      <c r="G1639" s="18" t="str">
        <f>IF($A1639="","",INDEX('Logic &amp; Lists'!$J$4:$J$20,$E1639))</f>
        <v/>
      </c>
      <c r="H1639" s="6" t="str">
        <f t="shared" si="126"/>
        <v/>
      </c>
      <c r="I1639" s="18" t="str">
        <f t="shared" ca="1" si="127"/>
        <v/>
      </c>
      <c r="J1639" s="5" t="str">
        <f t="shared" si="128"/>
        <v/>
      </c>
      <c r="K1639" s="25"/>
      <c r="L1639" s="5" t="str">
        <f t="shared" si="129"/>
        <v/>
      </c>
      <c r="M1639" s="7"/>
      <c r="N1639" s="7"/>
      <c r="O1639" s="7"/>
      <c r="P1639" s="20" t="str">
        <f>IF($A1639="","",INDEX(Project_Tracker!$I$2:$I$101,INT((ROW()-6)/17)+1))</f>
        <v/>
      </c>
      <c r="Q1639" s="20" t="str">
        <f>IF($A1639="","",INDEX(Project_Tracker!$K$2:$K$101,INT((ROW()-6)/17)+1))</f>
        <v/>
      </c>
    </row>
    <row r="1640" spans="1:17" x14ac:dyDescent="0.2">
      <c r="A1640" s="20" t="str">
        <f>IF(INDEX(Project_Tracker!$AL$2:$AL$101,INT((ROW()-6)/17)+1)="","",INDEX(Project_Tracker!$AL$2:$AL$101,INT((ROW()-6)/17)+1))</f>
        <v/>
      </c>
      <c r="B1640" s="21" t="str">
        <f>IF($A1640="","",INDEX(Project_Tracker!$AM$2:$AM$101,INT((ROW()-6)/17)+1))</f>
        <v/>
      </c>
      <c r="C1640" s="20" t="str">
        <f>IF($A1640="","",INDEX(Project_Tracker!$C$2:$C$101,INT((ROW()-6)/17)+1))</f>
        <v/>
      </c>
      <c r="D1640" s="6" t="str">
        <f>IF($A1640="","",INDEX(Project_Tracker!$T$2:$T$101,INT((ROW()-6)/17)+1))</f>
        <v/>
      </c>
      <c r="E1640" s="18">
        <f t="shared" si="125"/>
        <v>3</v>
      </c>
      <c r="F1640" s="23" t="str">
        <f>IF($A1640="","",INDEX('Logic &amp; Lists'!$I$4:$I$20,$E1640))</f>
        <v/>
      </c>
      <c r="G1640" s="18" t="str">
        <f>IF($A1640="","",INDEX('Logic &amp; Lists'!$J$4:$J$20,$E1640))</f>
        <v/>
      </c>
      <c r="H1640" s="6" t="str">
        <f t="shared" si="126"/>
        <v/>
      </c>
      <c r="I1640" s="18" t="str">
        <f t="shared" ca="1" si="127"/>
        <v/>
      </c>
      <c r="J1640" s="5" t="str">
        <f t="shared" si="128"/>
        <v/>
      </c>
      <c r="K1640" s="25"/>
      <c r="L1640" s="5" t="str">
        <f t="shared" si="129"/>
        <v/>
      </c>
      <c r="M1640" s="7"/>
      <c r="N1640" s="7"/>
      <c r="O1640" s="7"/>
      <c r="P1640" s="20" t="str">
        <f>IF($A1640="","",INDEX(Project_Tracker!$I$2:$I$101,INT((ROW()-6)/17)+1))</f>
        <v/>
      </c>
      <c r="Q1640" s="20" t="str">
        <f>IF($A1640="","",INDEX(Project_Tracker!$K$2:$K$101,INT((ROW()-6)/17)+1))</f>
        <v/>
      </c>
    </row>
    <row r="1641" spans="1:17" x14ac:dyDescent="0.2">
      <c r="A1641" s="20" t="str">
        <f>IF(INDEX(Project_Tracker!$AL$2:$AL$101,INT((ROW()-6)/17)+1)="","",INDEX(Project_Tracker!$AL$2:$AL$101,INT((ROW()-6)/17)+1))</f>
        <v/>
      </c>
      <c r="B1641" s="21" t="str">
        <f>IF($A1641="","",INDEX(Project_Tracker!$AM$2:$AM$101,INT((ROW()-6)/17)+1))</f>
        <v/>
      </c>
      <c r="C1641" s="20" t="str">
        <f>IF($A1641="","",INDEX(Project_Tracker!$C$2:$C$101,INT((ROW()-6)/17)+1))</f>
        <v/>
      </c>
      <c r="D1641" s="6" t="str">
        <f>IF($A1641="","",INDEX(Project_Tracker!$T$2:$T$101,INT((ROW()-6)/17)+1))</f>
        <v/>
      </c>
      <c r="E1641" s="18">
        <f t="shared" si="125"/>
        <v>4</v>
      </c>
      <c r="F1641" s="23" t="str">
        <f>IF($A1641="","",INDEX('Logic &amp; Lists'!$I$4:$I$20,$E1641))</f>
        <v/>
      </c>
      <c r="G1641" s="18" t="str">
        <f>IF($A1641="","",INDEX('Logic &amp; Lists'!$J$4:$J$20,$E1641))</f>
        <v/>
      </c>
      <c r="H1641" s="6" t="str">
        <f t="shared" si="126"/>
        <v/>
      </c>
      <c r="I1641" s="18" t="str">
        <f t="shared" ca="1" si="127"/>
        <v/>
      </c>
      <c r="J1641" s="5" t="str">
        <f t="shared" si="128"/>
        <v/>
      </c>
      <c r="K1641" s="25"/>
      <c r="L1641" s="5" t="str">
        <f t="shared" si="129"/>
        <v/>
      </c>
      <c r="M1641" s="7"/>
      <c r="N1641" s="7"/>
      <c r="O1641" s="7"/>
      <c r="P1641" s="20" t="str">
        <f>IF($A1641="","",INDEX(Project_Tracker!$I$2:$I$101,INT((ROW()-6)/17)+1))</f>
        <v/>
      </c>
      <c r="Q1641" s="20" t="str">
        <f>IF($A1641="","",INDEX(Project_Tracker!$K$2:$K$101,INT((ROW()-6)/17)+1))</f>
        <v/>
      </c>
    </row>
    <row r="1642" spans="1:17" x14ac:dyDescent="0.2">
      <c r="A1642" s="20" t="str">
        <f>IF(INDEX(Project_Tracker!$AL$2:$AL$101,INT((ROW()-6)/17)+1)="","",INDEX(Project_Tracker!$AL$2:$AL$101,INT((ROW()-6)/17)+1))</f>
        <v/>
      </c>
      <c r="B1642" s="21" t="str">
        <f>IF($A1642="","",INDEX(Project_Tracker!$AM$2:$AM$101,INT((ROW()-6)/17)+1))</f>
        <v/>
      </c>
      <c r="C1642" s="20" t="str">
        <f>IF($A1642="","",INDEX(Project_Tracker!$C$2:$C$101,INT((ROW()-6)/17)+1))</f>
        <v/>
      </c>
      <c r="D1642" s="6" t="str">
        <f>IF($A1642="","",INDEX(Project_Tracker!$T$2:$T$101,INT((ROW()-6)/17)+1))</f>
        <v/>
      </c>
      <c r="E1642" s="18">
        <f t="shared" si="125"/>
        <v>5</v>
      </c>
      <c r="F1642" s="23" t="str">
        <f>IF($A1642="","",INDEX('Logic &amp; Lists'!$I$4:$I$20,$E1642))</f>
        <v/>
      </c>
      <c r="G1642" s="18" t="str">
        <f>IF($A1642="","",INDEX('Logic &amp; Lists'!$J$4:$J$20,$E1642))</f>
        <v/>
      </c>
      <c r="H1642" s="6" t="str">
        <f t="shared" si="126"/>
        <v/>
      </c>
      <c r="I1642" s="18" t="str">
        <f t="shared" ca="1" si="127"/>
        <v/>
      </c>
      <c r="J1642" s="5" t="str">
        <f t="shared" si="128"/>
        <v/>
      </c>
      <c r="K1642" s="25"/>
      <c r="L1642" s="5" t="str">
        <f t="shared" si="129"/>
        <v/>
      </c>
      <c r="M1642" s="7"/>
      <c r="N1642" s="7"/>
      <c r="O1642" s="7"/>
      <c r="P1642" s="20" t="str">
        <f>IF($A1642="","",INDEX(Project_Tracker!$I$2:$I$101,INT((ROW()-6)/17)+1))</f>
        <v/>
      </c>
      <c r="Q1642" s="20" t="str">
        <f>IF($A1642="","",INDEX(Project_Tracker!$K$2:$K$101,INT((ROW()-6)/17)+1))</f>
        <v/>
      </c>
    </row>
    <row r="1643" spans="1:17" x14ac:dyDescent="0.2">
      <c r="A1643" s="20" t="str">
        <f>IF(INDEX(Project_Tracker!$AL$2:$AL$101,INT((ROW()-6)/17)+1)="","",INDEX(Project_Tracker!$AL$2:$AL$101,INT((ROW()-6)/17)+1))</f>
        <v/>
      </c>
      <c r="B1643" s="21" t="str">
        <f>IF($A1643="","",INDEX(Project_Tracker!$AM$2:$AM$101,INT((ROW()-6)/17)+1))</f>
        <v/>
      </c>
      <c r="C1643" s="20" t="str">
        <f>IF($A1643="","",INDEX(Project_Tracker!$C$2:$C$101,INT((ROW()-6)/17)+1))</f>
        <v/>
      </c>
      <c r="D1643" s="6" t="str">
        <f>IF($A1643="","",INDEX(Project_Tracker!$T$2:$T$101,INT((ROW()-6)/17)+1))</f>
        <v/>
      </c>
      <c r="E1643" s="18">
        <f t="shared" si="125"/>
        <v>6</v>
      </c>
      <c r="F1643" s="23" t="str">
        <f>IF($A1643="","",INDEX('Logic &amp; Lists'!$I$4:$I$20,$E1643))</f>
        <v/>
      </c>
      <c r="G1643" s="18" t="str">
        <f>IF($A1643="","",INDEX('Logic &amp; Lists'!$J$4:$J$20,$E1643))</f>
        <v/>
      </c>
      <c r="H1643" s="6" t="str">
        <f t="shared" si="126"/>
        <v/>
      </c>
      <c r="I1643" s="18" t="str">
        <f t="shared" ca="1" si="127"/>
        <v/>
      </c>
      <c r="J1643" s="5" t="str">
        <f t="shared" si="128"/>
        <v/>
      </c>
      <c r="K1643" s="25"/>
      <c r="L1643" s="5" t="str">
        <f t="shared" si="129"/>
        <v/>
      </c>
      <c r="M1643" s="7"/>
      <c r="N1643" s="7"/>
      <c r="O1643" s="7"/>
      <c r="P1643" s="20" t="str">
        <f>IF($A1643="","",INDEX(Project_Tracker!$I$2:$I$101,INT((ROW()-6)/17)+1))</f>
        <v/>
      </c>
      <c r="Q1643" s="20" t="str">
        <f>IF($A1643="","",INDEX(Project_Tracker!$K$2:$K$101,INT((ROW()-6)/17)+1))</f>
        <v/>
      </c>
    </row>
    <row r="1644" spans="1:17" x14ac:dyDescent="0.2">
      <c r="A1644" s="20" t="str">
        <f>IF(INDEX(Project_Tracker!$AL$2:$AL$101,INT((ROW()-6)/17)+1)="","",INDEX(Project_Tracker!$AL$2:$AL$101,INT((ROW()-6)/17)+1))</f>
        <v/>
      </c>
      <c r="B1644" s="21" t="str">
        <f>IF($A1644="","",INDEX(Project_Tracker!$AM$2:$AM$101,INT((ROW()-6)/17)+1))</f>
        <v/>
      </c>
      <c r="C1644" s="20" t="str">
        <f>IF($A1644="","",INDEX(Project_Tracker!$C$2:$C$101,INT((ROW()-6)/17)+1))</f>
        <v/>
      </c>
      <c r="D1644" s="6" t="str">
        <f>IF($A1644="","",INDEX(Project_Tracker!$T$2:$T$101,INT((ROW()-6)/17)+1))</f>
        <v/>
      </c>
      <c r="E1644" s="18">
        <f t="shared" si="125"/>
        <v>7</v>
      </c>
      <c r="F1644" s="23" t="str">
        <f>IF($A1644="","",INDEX('Logic &amp; Lists'!$I$4:$I$20,$E1644))</f>
        <v/>
      </c>
      <c r="G1644" s="18" t="str">
        <f>IF($A1644="","",INDEX('Logic &amp; Lists'!$J$4:$J$20,$E1644))</f>
        <v/>
      </c>
      <c r="H1644" s="6" t="str">
        <f t="shared" si="126"/>
        <v/>
      </c>
      <c r="I1644" s="18" t="str">
        <f t="shared" ca="1" si="127"/>
        <v/>
      </c>
      <c r="J1644" s="5" t="str">
        <f t="shared" si="128"/>
        <v/>
      </c>
      <c r="K1644" s="25"/>
      <c r="L1644" s="5" t="str">
        <f t="shared" si="129"/>
        <v/>
      </c>
      <c r="M1644" s="7"/>
      <c r="N1644" s="7"/>
      <c r="O1644" s="7"/>
      <c r="P1644" s="20" t="str">
        <f>IF($A1644="","",INDEX(Project_Tracker!$I$2:$I$101,INT((ROW()-6)/17)+1))</f>
        <v/>
      </c>
      <c r="Q1644" s="20" t="str">
        <f>IF($A1644="","",INDEX(Project_Tracker!$K$2:$K$101,INT((ROW()-6)/17)+1))</f>
        <v/>
      </c>
    </row>
    <row r="1645" spans="1:17" x14ac:dyDescent="0.2">
      <c r="A1645" s="20" t="str">
        <f>IF(INDEX(Project_Tracker!$AL$2:$AL$101,INT((ROW()-6)/17)+1)="","",INDEX(Project_Tracker!$AL$2:$AL$101,INT((ROW()-6)/17)+1))</f>
        <v/>
      </c>
      <c r="B1645" s="21" t="str">
        <f>IF($A1645="","",INDEX(Project_Tracker!$AM$2:$AM$101,INT((ROW()-6)/17)+1))</f>
        <v/>
      </c>
      <c r="C1645" s="20" t="str">
        <f>IF($A1645="","",INDEX(Project_Tracker!$C$2:$C$101,INT((ROW()-6)/17)+1))</f>
        <v/>
      </c>
      <c r="D1645" s="6" t="str">
        <f>IF($A1645="","",INDEX(Project_Tracker!$T$2:$T$101,INT((ROW()-6)/17)+1))</f>
        <v/>
      </c>
      <c r="E1645" s="18">
        <f t="shared" si="125"/>
        <v>8</v>
      </c>
      <c r="F1645" s="23" t="str">
        <f>IF($A1645="","",INDEX('Logic &amp; Lists'!$I$4:$I$20,$E1645))</f>
        <v/>
      </c>
      <c r="G1645" s="18" t="str">
        <f>IF($A1645="","",INDEX('Logic &amp; Lists'!$J$4:$J$20,$E1645))</f>
        <v/>
      </c>
      <c r="H1645" s="6" t="str">
        <f t="shared" si="126"/>
        <v/>
      </c>
      <c r="I1645" s="18" t="str">
        <f t="shared" ca="1" si="127"/>
        <v/>
      </c>
      <c r="J1645" s="5" t="str">
        <f t="shared" si="128"/>
        <v/>
      </c>
      <c r="K1645" s="25"/>
      <c r="L1645" s="5" t="str">
        <f t="shared" si="129"/>
        <v/>
      </c>
      <c r="M1645" s="7"/>
      <c r="N1645" s="7"/>
      <c r="O1645" s="7"/>
      <c r="P1645" s="20" t="str">
        <f>IF($A1645="","",INDEX(Project_Tracker!$I$2:$I$101,INT((ROW()-6)/17)+1))</f>
        <v/>
      </c>
      <c r="Q1645" s="20" t="str">
        <f>IF($A1645="","",INDEX(Project_Tracker!$K$2:$K$101,INT((ROW()-6)/17)+1))</f>
        <v/>
      </c>
    </row>
    <row r="1646" spans="1:17" x14ac:dyDescent="0.2">
      <c r="A1646" s="20" t="str">
        <f>IF(INDEX(Project_Tracker!$AL$2:$AL$101,INT((ROW()-6)/17)+1)="","",INDEX(Project_Tracker!$AL$2:$AL$101,INT((ROW()-6)/17)+1))</f>
        <v/>
      </c>
      <c r="B1646" s="21" t="str">
        <f>IF($A1646="","",INDEX(Project_Tracker!$AM$2:$AM$101,INT((ROW()-6)/17)+1))</f>
        <v/>
      </c>
      <c r="C1646" s="20" t="str">
        <f>IF($A1646="","",INDEX(Project_Tracker!$C$2:$C$101,INT((ROW()-6)/17)+1))</f>
        <v/>
      </c>
      <c r="D1646" s="6" t="str">
        <f>IF($A1646="","",INDEX(Project_Tracker!$T$2:$T$101,INT((ROW()-6)/17)+1))</f>
        <v/>
      </c>
      <c r="E1646" s="18">
        <f t="shared" si="125"/>
        <v>9</v>
      </c>
      <c r="F1646" s="23" t="str">
        <f>IF($A1646="","",INDEX('Logic &amp; Lists'!$I$4:$I$20,$E1646))</f>
        <v/>
      </c>
      <c r="G1646" s="18" t="str">
        <f>IF($A1646="","",INDEX('Logic &amp; Lists'!$J$4:$J$20,$E1646))</f>
        <v/>
      </c>
      <c r="H1646" s="6" t="str">
        <f t="shared" si="126"/>
        <v/>
      </c>
      <c r="I1646" s="18" t="str">
        <f t="shared" ca="1" si="127"/>
        <v/>
      </c>
      <c r="J1646" s="5" t="str">
        <f t="shared" si="128"/>
        <v/>
      </c>
      <c r="K1646" s="25"/>
      <c r="L1646" s="5" t="str">
        <f t="shared" si="129"/>
        <v/>
      </c>
      <c r="M1646" s="7"/>
      <c r="N1646" s="7"/>
      <c r="O1646" s="7"/>
      <c r="P1646" s="20" t="str">
        <f>IF($A1646="","",INDEX(Project_Tracker!$I$2:$I$101,INT((ROW()-6)/17)+1))</f>
        <v/>
      </c>
      <c r="Q1646" s="20" t="str">
        <f>IF($A1646="","",INDEX(Project_Tracker!$K$2:$K$101,INT((ROW()-6)/17)+1))</f>
        <v/>
      </c>
    </row>
    <row r="1647" spans="1:17" x14ac:dyDescent="0.2">
      <c r="A1647" s="20" t="str">
        <f>IF(INDEX(Project_Tracker!$AL$2:$AL$101,INT((ROW()-6)/17)+1)="","",INDEX(Project_Tracker!$AL$2:$AL$101,INT((ROW()-6)/17)+1))</f>
        <v/>
      </c>
      <c r="B1647" s="21" t="str">
        <f>IF($A1647="","",INDEX(Project_Tracker!$AM$2:$AM$101,INT((ROW()-6)/17)+1))</f>
        <v/>
      </c>
      <c r="C1647" s="20" t="str">
        <f>IF($A1647="","",INDEX(Project_Tracker!$C$2:$C$101,INT((ROW()-6)/17)+1))</f>
        <v/>
      </c>
      <c r="D1647" s="6" t="str">
        <f>IF($A1647="","",INDEX(Project_Tracker!$T$2:$T$101,INT((ROW()-6)/17)+1))</f>
        <v/>
      </c>
      <c r="E1647" s="18">
        <f t="shared" si="125"/>
        <v>10</v>
      </c>
      <c r="F1647" s="23" t="str">
        <f>IF($A1647="","",INDEX('Logic &amp; Lists'!$I$4:$I$20,$E1647))</f>
        <v/>
      </c>
      <c r="G1647" s="18" t="str">
        <f>IF($A1647="","",INDEX('Logic &amp; Lists'!$J$4:$J$20,$E1647))</f>
        <v/>
      </c>
      <c r="H1647" s="6" t="str">
        <f t="shared" si="126"/>
        <v/>
      </c>
      <c r="I1647" s="18" t="str">
        <f t="shared" ca="1" si="127"/>
        <v/>
      </c>
      <c r="J1647" s="5" t="str">
        <f t="shared" si="128"/>
        <v/>
      </c>
      <c r="K1647" s="25"/>
      <c r="L1647" s="5" t="str">
        <f t="shared" si="129"/>
        <v/>
      </c>
      <c r="M1647" s="7"/>
      <c r="N1647" s="7"/>
      <c r="O1647" s="7"/>
      <c r="P1647" s="20" t="str">
        <f>IF($A1647="","",INDEX(Project_Tracker!$I$2:$I$101,INT((ROW()-6)/17)+1))</f>
        <v/>
      </c>
      <c r="Q1647" s="20" t="str">
        <f>IF($A1647="","",INDEX(Project_Tracker!$K$2:$K$101,INT((ROW()-6)/17)+1))</f>
        <v/>
      </c>
    </row>
    <row r="1648" spans="1:17" x14ac:dyDescent="0.2">
      <c r="A1648" s="20" t="str">
        <f>IF(INDEX(Project_Tracker!$AL$2:$AL$101,INT((ROW()-6)/17)+1)="","",INDEX(Project_Tracker!$AL$2:$AL$101,INT((ROW()-6)/17)+1))</f>
        <v/>
      </c>
      <c r="B1648" s="21" t="str">
        <f>IF($A1648="","",INDEX(Project_Tracker!$AM$2:$AM$101,INT((ROW()-6)/17)+1))</f>
        <v/>
      </c>
      <c r="C1648" s="20" t="str">
        <f>IF($A1648="","",INDEX(Project_Tracker!$C$2:$C$101,INT((ROW()-6)/17)+1))</f>
        <v/>
      </c>
      <c r="D1648" s="6" t="str">
        <f>IF($A1648="","",INDEX(Project_Tracker!$T$2:$T$101,INT((ROW()-6)/17)+1))</f>
        <v/>
      </c>
      <c r="E1648" s="18">
        <f t="shared" si="125"/>
        <v>11</v>
      </c>
      <c r="F1648" s="23" t="str">
        <f>IF($A1648="","",INDEX('Logic &amp; Lists'!$I$4:$I$20,$E1648))</f>
        <v/>
      </c>
      <c r="G1648" s="18" t="str">
        <f>IF($A1648="","",INDEX('Logic &amp; Lists'!$J$4:$J$20,$E1648))</f>
        <v/>
      </c>
      <c r="H1648" s="6" t="str">
        <f t="shared" si="126"/>
        <v/>
      </c>
      <c r="I1648" s="18" t="str">
        <f t="shared" ca="1" si="127"/>
        <v/>
      </c>
      <c r="J1648" s="5" t="str">
        <f t="shared" si="128"/>
        <v/>
      </c>
      <c r="K1648" s="25"/>
      <c r="L1648" s="5" t="str">
        <f t="shared" si="129"/>
        <v/>
      </c>
      <c r="M1648" s="7"/>
      <c r="N1648" s="7"/>
      <c r="O1648" s="7"/>
      <c r="P1648" s="20" t="str">
        <f>IF($A1648="","",INDEX(Project_Tracker!$I$2:$I$101,INT((ROW()-6)/17)+1))</f>
        <v/>
      </c>
      <c r="Q1648" s="20" t="str">
        <f>IF($A1648="","",INDEX(Project_Tracker!$K$2:$K$101,INT((ROW()-6)/17)+1))</f>
        <v/>
      </c>
    </row>
    <row r="1649" spans="1:17" x14ac:dyDescent="0.2">
      <c r="A1649" s="20" t="str">
        <f>IF(INDEX(Project_Tracker!$AL$2:$AL$101,INT((ROW()-6)/17)+1)="","",INDEX(Project_Tracker!$AL$2:$AL$101,INT((ROW()-6)/17)+1))</f>
        <v/>
      </c>
      <c r="B1649" s="21" t="str">
        <f>IF($A1649="","",INDEX(Project_Tracker!$AM$2:$AM$101,INT((ROW()-6)/17)+1))</f>
        <v/>
      </c>
      <c r="C1649" s="20" t="str">
        <f>IF($A1649="","",INDEX(Project_Tracker!$C$2:$C$101,INT((ROW()-6)/17)+1))</f>
        <v/>
      </c>
      <c r="D1649" s="6" t="str">
        <f>IF($A1649="","",INDEX(Project_Tracker!$T$2:$T$101,INT((ROW()-6)/17)+1))</f>
        <v/>
      </c>
      <c r="E1649" s="18">
        <f t="shared" si="125"/>
        <v>12</v>
      </c>
      <c r="F1649" s="23" t="str">
        <f>IF($A1649="","",INDEX('Logic &amp; Lists'!$I$4:$I$20,$E1649))</f>
        <v/>
      </c>
      <c r="G1649" s="18" t="str">
        <f>IF($A1649="","",INDEX('Logic &amp; Lists'!$J$4:$J$20,$E1649))</f>
        <v/>
      </c>
      <c r="H1649" s="6" t="str">
        <f t="shared" si="126"/>
        <v/>
      </c>
      <c r="I1649" s="18" t="str">
        <f t="shared" ca="1" si="127"/>
        <v/>
      </c>
      <c r="J1649" s="5" t="str">
        <f t="shared" si="128"/>
        <v/>
      </c>
      <c r="K1649" s="25"/>
      <c r="L1649" s="5" t="str">
        <f t="shared" si="129"/>
        <v/>
      </c>
      <c r="M1649" s="7"/>
      <c r="N1649" s="7"/>
      <c r="O1649" s="7"/>
      <c r="P1649" s="20" t="str">
        <f>IF($A1649="","",INDEX(Project_Tracker!$I$2:$I$101,INT((ROW()-6)/17)+1))</f>
        <v/>
      </c>
      <c r="Q1649" s="20" t="str">
        <f>IF($A1649="","",INDEX(Project_Tracker!$K$2:$K$101,INT((ROW()-6)/17)+1))</f>
        <v/>
      </c>
    </row>
    <row r="1650" spans="1:17" x14ac:dyDescent="0.2">
      <c r="A1650" s="20" t="str">
        <f>IF(INDEX(Project_Tracker!$AL$2:$AL$101,INT((ROW()-6)/17)+1)="","",INDEX(Project_Tracker!$AL$2:$AL$101,INT((ROW()-6)/17)+1))</f>
        <v/>
      </c>
      <c r="B1650" s="21" t="str">
        <f>IF($A1650="","",INDEX(Project_Tracker!$AM$2:$AM$101,INT((ROW()-6)/17)+1))</f>
        <v/>
      </c>
      <c r="C1650" s="20" t="str">
        <f>IF($A1650="","",INDEX(Project_Tracker!$C$2:$C$101,INT((ROW()-6)/17)+1))</f>
        <v/>
      </c>
      <c r="D1650" s="6" t="str">
        <f>IF($A1650="","",INDEX(Project_Tracker!$T$2:$T$101,INT((ROW()-6)/17)+1))</f>
        <v/>
      </c>
      <c r="E1650" s="18">
        <f t="shared" si="125"/>
        <v>13</v>
      </c>
      <c r="F1650" s="23" t="str">
        <f>IF($A1650="","",INDEX('Logic &amp; Lists'!$I$4:$I$20,$E1650))</f>
        <v/>
      </c>
      <c r="G1650" s="18" t="str">
        <f>IF($A1650="","",INDEX('Logic &amp; Lists'!$J$4:$J$20,$E1650))</f>
        <v/>
      </c>
      <c r="H1650" s="6" t="str">
        <f t="shared" si="126"/>
        <v/>
      </c>
      <c r="I1650" s="18" t="str">
        <f t="shared" ca="1" si="127"/>
        <v/>
      </c>
      <c r="J1650" s="5" t="str">
        <f t="shared" si="128"/>
        <v/>
      </c>
      <c r="K1650" s="25"/>
      <c r="L1650" s="5" t="str">
        <f t="shared" si="129"/>
        <v/>
      </c>
      <c r="M1650" s="7"/>
      <c r="N1650" s="7"/>
      <c r="O1650" s="7"/>
      <c r="P1650" s="20" t="str">
        <f>IF($A1650="","",INDEX(Project_Tracker!$I$2:$I$101,INT((ROW()-6)/17)+1))</f>
        <v/>
      </c>
      <c r="Q1650" s="20" t="str">
        <f>IF($A1650="","",INDEX(Project_Tracker!$K$2:$K$101,INT((ROW()-6)/17)+1))</f>
        <v/>
      </c>
    </row>
    <row r="1651" spans="1:17" x14ac:dyDescent="0.2">
      <c r="A1651" s="20" t="str">
        <f>IF(INDEX(Project_Tracker!$AL$2:$AL$101,INT((ROW()-6)/17)+1)="","",INDEX(Project_Tracker!$AL$2:$AL$101,INT((ROW()-6)/17)+1))</f>
        <v/>
      </c>
      <c r="B1651" s="21" t="str">
        <f>IF($A1651="","",INDEX(Project_Tracker!$AM$2:$AM$101,INT((ROW()-6)/17)+1))</f>
        <v/>
      </c>
      <c r="C1651" s="20" t="str">
        <f>IF($A1651="","",INDEX(Project_Tracker!$C$2:$C$101,INT((ROW()-6)/17)+1))</f>
        <v/>
      </c>
      <c r="D1651" s="6" t="str">
        <f>IF($A1651="","",INDEX(Project_Tracker!$T$2:$T$101,INT((ROW()-6)/17)+1))</f>
        <v/>
      </c>
      <c r="E1651" s="18">
        <f t="shared" si="125"/>
        <v>14</v>
      </c>
      <c r="F1651" s="23" t="str">
        <f>IF($A1651="","",INDEX('Logic &amp; Lists'!$I$4:$I$20,$E1651))</f>
        <v/>
      </c>
      <c r="G1651" s="18" t="str">
        <f>IF($A1651="","",INDEX('Logic &amp; Lists'!$J$4:$J$20,$E1651))</f>
        <v/>
      </c>
      <c r="H1651" s="6" t="str">
        <f t="shared" si="126"/>
        <v/>
      </c>
      <c r="I1651" s="18" t="str">
        <f t="shared" ca="1" si="127"/>
        <v/>
      </c>
      <c r="J1651" s="5" t="str">
        <f t="shared" si="128"/>
        <v/>
      </c>
      <c r="K1651" s="25"/>
      <c r="L1651" s="5" t="str">
        <f t="shared" si="129"/>
        <v/>
      </c>
      <c r="M1651" s="7"/>
      <c r="N1651" s="7"/>
      <c r="O1651" s="7"/>
      <c r="P1651" s="20" t="str">
        <f>IF($A1651="","",INDEX(Project_Tracker!$I$2:$I$101,INT((ROW()-6)/17)+1))</f>
        <v/>
      </c>
      <c r="Q1651" s="20" t="str">
        <f>IF($A1651="","",INDEX(Project_Tracker!$K$2:$K$101,INT((ROW()-6)/17)+1))</f>
        <v/>
      </c>
    </row>
    <row r="1652" spans="1:17" x14ac:dyDescent="0.2">
      <c r="A1652" s="20" t="str">
        <f>IF(INDEX(Project_Tracker!$AL$2:$AL$101,INT((ROW()-6)/17)+1)="","",INDEX(Project_Tracker!$AL$2:$AL$101,INT((ROW()-6)/17)+1))</f>
        <v/>
      </c>
      <c r="B1652" s="21" t="str">
        <f>IF($A1652="","",INDEX(Project_Tracker!$AM$2:$AM$101,INT((ROW()-6)/17)+1))</f>
        <v/>
      </c>
      <c r="C1652" s="20" t="str">
        <f>IF($A1652="","",INDEX(Project_Tracker!$C$2:$C$101,INT((ROW()-6)/17)+1))</f>
        <v/>
      </c>
      <c r="D1652" s="6" t="str">
        <f>IF($A1652="","",INDEX(Project_Tracker!$T$2:$T$101,INT((ROW()-6)/17)+1))</f>
        <v/>
      </c>
      <c r="E1652" s="18">
        <f t="shared" si="125"/>
        <v>15</v>
      </c>
      <c r="F1652" s="23" t="str">
        <f>IF($A1652="","",INDEX('Logic &amp; Lists'!$I$4:$I$20,$E1652))</f>
        <v/>
      </c>
      <c r="G1652" s="18" t="str">
        <f>IF($A1652="","",INDEX('Logic &amp; Lists'!$J$4:$J$20,$E1652))</f>
        <v/>
      </c>
      <c r="H1652" s="6" t="str">
        <f t="shared" si="126"/>
        <v/>
      </c>
      <c r="I1652" s="18" t="str">
        <f t="shared" ca="1" si="127"/>
        <v/>
      </c>
      <c r="J1652" s="5" t="str">
        <f t="shared" si="128"/>
        <v/>
      </c>
      <c r="K1652" s="25"/>
      <c r="L1652" s="5" t="str">
        <f t="shared" si="129"/>
        <v/>
      </c>
      <c r="M1652" s="7"/>
      <c r="N1652" s="7"/>
      <c r="O1652" s="7"/>
      <c r="P1652" s="20" t="str">
        <f>IF($A1652="","",INDEX(Project_Tracker!$I$2:$I$101,INT((ROW()-6)/17)+1))</f>
        <v/>
      </c>
      <c r="Q1652" s="20" t="str">
        <f>IF($A1652="","",INDEX(Project_Tracker!$K$2:$K$101,INT((ROW()-6)/17)+1))</f>
        <v/>
      </c>
    </row>
    <row r="1653" spans="1:17" x14ac:dyDescent="0.2">
      <c r="A1653" s="20" t="str">
        <f>IF(INDEX(Project_Tracker!$AL$2:$AL$101,INT((ROW()-6)/17)+1)="","",INDEX(Project_Tracker!$AL$2:$AL$101,INT((ROW()-6)/17)+1))</f>
        <v/>
      </c>
      <c r="B1653" s="21" t="str">
        <f>IF($A1653="","",INDEX(Project_Tracker!$AM$2:$AM$101,INT((ROW()-6)/17)+1))</f>
        <v/>
      </c>
      <c r="C1653" s="20" t="str">
        <f>IF($A1653="","",INDEX(Project_Tracker!$C$2:$C$101,INT((ROW()-6)/17)+1))</f>
        <v/>
      </c>
      <c r="D1653" s="6" t="str">
        <f>IF($A1653="","",INDEX(Project_Tracker!$T$2:$T$101,INT((ROW()-6)/17)+1))</f>
        <v/>
      </c>
      <c r="E1653" s="18">
        <f t="shared" si="125"/>
        <v>16</v>
      </c>
      <c r="F1653" s="23" t="str">
        <f>IF($A1653="","",INDEX('Logic &amp; Lists'!$I$4:$I$20,$E1653))</f>
        <v/>
      </c>
      <c r="G1653" s="18" t="str">
        <f>IF($A1653="","",INDEX('Logic &amp; Lists'!$J$4:$J$20,$E1653))</f>
        <v/>
      </c>
      <c r="H1653" s="6" t="str">
        <f t="shared" si="126"/>
        <v/>
      </c>
      <c r="I1653" s="18" t="str">
        <f t="shared" ca="1" si="127"/>
        <v/>
      </c>
      <c r="J1653" s="5" t="str">
        <f t="shared" si="128"/>
        <v/>
      </c>
      <c r="K1653" s="25"/>
      <c r="L1653" s="5" t="str">
        <f t="shared" si="129"/>
        <v/>
      </c>
      <c r="M1653" s="7"/>
      <c r="N1653" s="7"/>
      <c r="O1653" s="7"/>
      <c r="P1653" s="20" t="str">
        <f>IF($A1653="","",INDEX(Project_Tracker!$I$2:$I$101,INT((ROW()-6)/17)+1))</f>
        <v/>
      </c>
      <c r="Q1653" s="20" t="str">
        <f>IF($A1653="","",INDEX(Project_Tracker!$K$2:$K$101,INT((ROW()-6)/17)+1))</f>
        <v/>
      </c>
    </row>
    <row r="1654" spans="1:17" x14ac:dyDescent="0.2">
      <c r="A1654" s="20" t="str">
        <f>IF(INDEX(Project_Tracker!$AL$2:$AL$101,INT((ROW()-6)/17)+1)="","",INDEX(Project_Tracker!$AL$2:$AL$101,INT((ROW()-6)/17)+1))</f>
        <v/>
      </c>
      <c r="B1654" s="21" t="str">
        <f>IF($A1654="","",INDEX(Project_Tracker!$AM$2:$AM$101,INT((ROW()-6)/17)+1))</f>
        <v/>
      </c>
      <c r="C1654" s="20" t="str">
        <f>IF($A1654="","",INDEX(Project_Tracker!$C$2:$C$101,INT((ROW()-6)/17)+1))</f>
        <v/>
      </c>
      <c r="D1654" s="6" t="str">
        <f>IF($A1654="","",INDEX(Project_Tracker!$T$2:$T$101,INT((ROW()-6)/17)+1))</f>
        <v/>
      </c>
      <c r="E1654" s="18">
        <f t="shared" si="125"/>
        <v>17</v>
      </c>
      <c r="F1654" s="23" t="str">
        <f>IF($A1654="","",INDEX('Logic &amp; Lists'!$I$4:$I$20,$E1654))</f>
        <v/>
      </c>
      <c r="G1654" s="18" t="str">
        <f>IF($A1654="","",INDEX('Logic &amp; Lists'!$J$4:$J$20,$E1654))</f>
        <v/>
      </c>
      <c r="H1654" s="6" t="str">
        <f t="shared" si="126"/>
        <v/>
      </c>
      <c r="I1654" s="18" t="str">
        <f t="shared" ca="1" si="127"/>
        <v/>
      </c>
      <c r="J1654" s="5" t="str">
        <f t="shared" si="128"/>
        <v/>
      </c>
      <c r="K1654" s="25"/>
      <c r="L1654" s="5" t="str">
        <f t="shared" si="129"/>
        <v/>
      </c>
      <c r="M1654" s="7"/>
      <c r="N1654" s="7"/>
      <c r="O1654" s="7"/>
      <c r="P1654" s="20" t="str">
        <f>IF($A1654="","",INDEX(Project_Tracker!$I$2:$I$101,INT((ROW()-6)/17)+1))</f>
        <v/>
      </c>
      <c r="Q1654" s="20" t="str">
        <f>IF($A1654="","",INDEX(Project_Tracker!$K$2:$K$101,INT((ROW()-6)/17)+1))</f>
        <v/>
      </c>
    </row>
    <row r="1655" spans="1:17" x14ac:dyDescent="0.2">
      <c r="A1655" s="20" t="str">
        <f>IF(INDEX(Project_Tracker!$AL$2:$AL$101,INT((ROW()-6)/17)+1)="","",INDEX(Project_Tracker!$AL$2:$AL$101,INT((ROW()-6)/17)+1))</f>
        <v/>
      </c>
      <c r="B1655" s="21" t="str">
        <f>IF($A1655="","",INDEX(Project_Tracker!$AM$2:$AM$101,INT((ROW()-6)/17)+1))</f>
        <v/>
      </c>
      <c r="C1655" s="20" t="str">
        <f>IF($A1655="","",INDEX(Project_Tracker!$C$2:$C$101,INT((ROW()-6)/17)+1))</f>
        <v/>
      </c>
      <c r="D1655" s="6" t="str">
        <f>IF($A1655="","",INDEX(Project_Tracker!$T$2:$T$101,INT((ROW()-6)/17)+1))</f>
        <v/>
      </c>
      <c r="E1655" s="18">
        <f t="shared" si="125"/>
        <v>1</v>
      </c>
      <c r="F1655" s="23" t="str">
        <f>IF($A1655="","",INDEX('Logic &amp; Lists'!$I$4:$I$20,$E1655))</f>
        <v/>
      </c>
      <c r="G1655" s="18" t="str">
        <f>IF($A1655="","",INDEX('Logic &amp; Lists'!$J$4:$J$20,$E1655))</f>
        <v/>
      </c>
      <c r="H1655" s="6" t="str">
        <f t="shared" si="126"/>
        <v/>
      </c>
      <c r="I1655" s="18" t="str">
        <f t="shared" ca="1" si="127"/>
        <v/>
      </c>
      <c r="J1655" s="5" t="str">
        <f t="shared" si="128"/>
        <v/>
      </c>
      <c r="K1655" s="25"/>
      <c r="L1655" s="5" t="str">
        <f t="shared" si="129"/>
        <v/>
      </c>
      <c r="M1655" s="7"/>
      <c r="N1655" s="7"/>
      <c r="O1655" s="7"/>
      <c r="P1655" s="20" t="str">
        <f>IF($A1655="","",INDEX(Project_Tracker!$I$2:$I$101,INT((ROW()-6)/17)+1))</f>
        <v/>
      </c>
      <c r="Q1655" s="20" t="str">
        <f>IF($A1655="","",INDEX(Project_Tracker!$K$2:$K$101,INT((ROW()-6)/17)+1))</f>
        <v/>
      </c>
    </row>
    <row r="1656" spans="1:17" x14ac:dyDescent="0.2">
      <c r="A1656" s="20" t="str">
        <f>IF(INDEX(Project_Tracker!$AL$2:$AL$101,INT((ROW()-6)/17)+1)="","",INDEX(Project_Tracker!$AL$2:$AL$101,INT((ROW()-6)/17)+1))</f>
        <v/>
      </c>
      <c r="B1656" s="21" t="str">
        <f>IF($A1656="","",INDEX(Project_Tracker!$AM$2:$AM$101,INT((ROW()-6)/17)+1))</f>
        <v/>
      </c>
      <c r="C1656" s="20" t="str">
        <f>IF($A1656="","",INDEX(Project_Tracker!$C$2:$C$101,INT((ROW()-6)/17)+1))</f>
        <v/>
      </c>
      <c r="D1656" s="6" t="str">
        <f>IF($A1656="","",INDEX(Project_Tracker!$T$2:$T$101,INT((ROW()-6)/17)+1))</f>
        <v/>
      </c>
      <c r="E1656" s="18">
        <f t="shared" si="125"/>
        <v>2</v>
      </c>
      <c r="F1656" s="23" t="str">
        <f>IF($A1656="","",INDEX('Logic &amp; Lists'!$I$4:$I$20,$E1656))</f>
        <v/>
      </c>
      <c r="G1656" s="18" t="str">
        <f>IF($A1656="","",INDEX('Logic &amp; Lists'!$J$4:$J$20,$E1656))</f>
        <v/>
      </c>
      <c r="H1656" s="6" t="str">
        <f t="shared" si="126"/>
        <v/>
      </c>
      <c r="I1656" s="18" t="str">
        <f t="shared" ca="1" si="127"/>
        <v/>
      </c>
      <c r="J1656" s="5" t="str">
        <f t="shared" si="128"/>
        <v/>
      </c>
      <c r="K1656" s="25"/>
      <c r="L1656" s="5" t="str">
        <f t="shared" si="129"/>
        <v/>
      </c>
      <c r="M1656" s="7"/>
      <c r="N1656" s="7"/>
      <c r="O1656" s="7"/>
      <c r="P1656" s="20" t="str">
        <f>IF($A1656="","",INDEX(Project_Tracker!$I$2:$I$101,INT((ROW()-6)/17)+1))</f>
        <v/>
      </c>
      <c r="Q1656" s="20" t="str">
        <f>IF($A1656="","",INDEX(Project_Tracker!$K$2:$K$101,INT((ROW()-6)/17)+1))</f>
        <v/>
      </c>
    </row>
    <row r="1657" spans="1:17" x14ac:dyDescent="0.2">
      <c r="A1657" s="20" t="str">
        <f>IF(INDEX(Project_Tracker!$AL$2:$AL$101,INT((ROW()-6)/17)+1)="","",INDEX(Project_Tracker!$AL$2:$AL$101,INT((ROW()-6)/17)+1))</f>
        <v/>
      </c>
      <c r="B1657" s="21" t="str">
        <f>IF($A1657="","",INDEX(Project_Tracker!$AM$2:$AM$101,INT((ROW()-6)/17)+1))</f>
        <v/>
      </c>
      <c r="C1657" s="20" t="str">
        <f>IF($A1657="","",INDEX(Project_Tracker!$C$2:$C$101,INT((ROW()-6)/17)+1))</f>
        <v/>
      </c>
      <c r="D1657" s="6" t="str">
        <f>IF($A1657="","",INDEX(Project_Tracker!$T$2:$T$101,INT((ROW()-6)/17)+1))</f>
        <v/>
      </c>
      <c r="E1657" s="18">
        <f t="shared" si="125"/>
        <v>3</v>
      </c>
      <c r="F1657" s="23" t="str">
        <f>IF($A1657="","",INDEX('Logic &amp; Lists'!$I$4:$I$20,$E1657))</f>
        <v/>
      </c>
      <c r="G1657" s="18" t="str">
        <f>IF($A1657="","",INDEX('Logic &amp; Lists'!$J$4:$J$20,$E1657))</f>
        <v/>
      </c>
      <c r="H1657" s="6" t="str">
        <f t="shared" si="126"/>
        <v/>
      </c>
      <c r="I1657" s="18" t="str">
        <f t="shared" ca="1" si="127"/>
        <v/>
      </c>
      <c r="J1657" s="5" t="str">
        <f t="shared" si="128"/>
        <v/>
      </c>
      <c r="K1657" s="25"/>
      <c r="L1657" s="5" t="str">
        <f t="shared" si="129"/>
        <v/>
      </c>
      <c r="M1657" s="7"/>
      <c r="N1657" s="7"/>
      <c r="O1657" s="7"/>
      <c r="P1657" s="20" t="str">
        <f>IF($A1657="","",INDEX(Project_Tracker!$I$2:$I$101,INT((ROW()-6)/17)+1))</f>
        <v/>
      </c>
      <c r="Q1657" s="20" t="str">
        <f>IF($A1657="","",INDEX(Project_Tracker!$K$2:$K$101,INT((ROW()-6)/17)+1))</f>
        <v/>
      </c>
    </row>
    <row r="1658" spans="1:17" x14ac:dyDescent="0.2">
      <c r="A1658" s="20" t="str">
        <f>IF(INDEX(Project_Tracker!$AL$2:$AL$101,INT((ROW()-6)/17)+1)="","",INDEX(Project_Tracker!$AL$2:$AL$101,INT((ROW()-6)/17)+1))</f>
        <v/>
      </c>
      <c r="B1658" s="21" t="str">
        <f>IF($A1658="","",INDEX(Project_Tracker!$AM$2:$AM$101,INT((ROW()-6)/17)+1))</f>
        <v/>
      </c>
      <c r="C1658" s="20" t="str">
        <f>IF($A1658="","",INDEX(Project_Tracker!$C$2:$C$101,INT((ROW()-6)/17)+1))</f>
        <v/>
      </c>
      <c r="D1658" s="6" t="str">
        <f>IF($A1658="","",INDEX(Project_Tracker!$T$2:$T$101,INT((ROW()-6)/17)+1))</f>
        <v/>
      </c>
      <c r="E1658" s="18">
        <f t="shared" si="125"/>
        <v>4</v>
      </c>
      <c r="F1658" s="23" t="str">
        <f>IF($A1658="","",INDEX('Logic &amp; Lists'!$I$4:$I$20,$E1658))</f>
        <v/>
      </c>
      <c r="G1658" s="18" t="str">
        <f>IF($A1658="","",INDEX('Logic &amp; Lists'!$J$4:$J$20,$E1658))</f>
        <v/>
      </c>
      <c r="H1658" s="6" t="str">
        <f t="shared" si="126"/>
        <v/>
      </c>
      <c r="I1658" s="18" t="str">
        <f t="shared" ca="1" si="127"/>
        <v/>
      </c>
      <c r="J1658" s="5" t="str">
        <f t="shared" si="128"/>
        <v/>
      </c>
      <c r="K1658" s="25"/>
      <c r="L1658" s="5" t="str">
        <f t="shared" si="129"/>
        <v/>
      </c>
      <c r="M1658" s="7"/>
      <c r="N1658" s="7"/>
      <c r="O1658" s="7"/>
      <c r="P1658" s="20" t="str">
        <f>IF($A1658="","",INDEX(Project_Tracker!$I$2:$I$101,INT((ROW()-6)/17)+1))</f>
        <v/>
      </c>
      <c r="Q1658" s="20" t="str">
        <f>IF($A1658="","",INDEX(Project_Tracker!$K$2:$K$101,INT((ROW()-6)/17)+1))</f>
        <v/>
      </c>
    </row>
    <row r="1659" spans="1:17" x14ac:dyDescent="0.2">
      <c r="A1659" s="20" t="str">
        <f>IF(INDEX(Project_Tracker!$AL$2:$AL$101,INT((ROW()-6)/17)+1)="","",INDEX(Project_Tracker!$AL$2:$AL$101,INT((ROW()-6)/17)+1))</f>
        <v/>
      </c>
      <c r="B1659" s="21" t="str">
        <f>IF($A1659="","",INDEX(Project_Tracker!$AM$2:$AM$101,INT((ROW()-6)/17)+1))</f>
        <v/>
      </c>
      <c r="C1659" s="20" t="str">
        <f>IF($A1659="","",INDEX(Project_Tracker!$C$2:$C$101,INT((ROW()-6)/17)+1))</f>
        <v/>
      </c>
      <c r="D1659" s="6" t="str">
        <f>IF($A1659="","",INDEX(Project_Tracker!$T$2:$T$101,INT((ROW()-6)/17)+1))</f>
        <v/>
      </c>
      <c r="E1659" s="18">
        <f t="shared" si="125"/>
        <v>5</v>
      </c>
      <c r="F1659" s="23" t="str">
        <f>IF($A1659="","",INDEX('Logic &amp; Lists'!$I$4:$I$20,$E1659))</f>
        <v/>
      </c>
      <c r="G1659" s="18" t="str">
        <f>IF($A1659="","",INDEX('Logic &amp; Lists'!$J$4:$J$20,$E1659))</f>
        <v/>
      </c>
      <c r="H1659" s="6" t="str">
        <f t="shared" si="126"/>
        <v/>
      </c>
      <c r="I1659" s="18" t="str">
        <f t="shared" ca="1" si="127"/>
        <v/>
      </c>
      <c r="J1659" s="5" t="str">
        <f t="shared" si="128"/>
        <v/>
      </c>
      <c r="K1659" s="25"/>
      <c r="L1659" s="5" t="str">
        <f t="shared" si="129"/>
        <v/>
      </c>
      <c r="M1659" s="7"/>
      <c r="N1659" s="7"/>
      <c r="O1659" s="7"/>
      <c r="P1659" s="20" t="str">
        <f>IF($A1659="","",INDEX(Project_Tracker!$I$2:$I$101,INT((ROW()-6)/17)+1))</f>
        <v/>
      </c>
      <c r="Q1659" s="20" t="str">
        <f>IF($A1659="","",INDEX(Project_Tracker!$K$2:$K$101,INT((ROW()-6)/17)+1))</f>
        <v/>
      </c>
    </row>
    <row r="1660" spans="1:17" x14ac:dyDescent="0.2">
      <c r="A1660" s="20" t="str">
        <f>IF(INDEX(Project_Tracker!$AL$2:$AL$101,INT((ROW()-6)/17)+1)="","",INDEX(Project_Tracker!$AL$2:$AL$101,INT((ROW()-6)/17)+1))</f>
        <v/>
      </c>
      <c r="B1660" s="21" t="str">
        <f>IF($A1660="","",INDEX(Project_Tracker!$AM$2:$AM$101,INT((ROW()-6)/17)+1))</f>
        <v/>
      </c>
      <c r="C1660" s="20" t="str">
        <f>IF($A1660="","",INDEX(Project_Tracker!$C$2:$C$101,INT((ROW()-6)/17)+1))</f>
        <v/>
      </c>
      <c r="D1660" s="6" t="str">
        <f>IF($A1660="","",INDEX(Project_Tracker!$T$2:$T$101,INT((ROW()-6)/17)+1))</f>
        <v/>
      </c>
      <c r="E1660" s="18">
        <f t="shared" si="125"/>
        <v>6</v>
      </c>
      <c r="F1660" s="23" t="str">
        <f>IF($A1660="","",INDEX('Logic &amp; Lists'!$I$4:$I$20,$E1660))</f>
        <v/>
      </c>
      <c r="G1660" s="18" t="str">
        <f>IF($A1660="","",INDEX('Logic &amp; Lists'!$J$4:$J$20,$E1660))</f>
        <v/>
      </c>
      <c r="H1660" s="6" t="str">
        <f t="shared" si="126"/>
        <v/>
      </c>
      <c r="I1660" s="18" t="str">
        <f t="shared" ca="1" si="127"/>
        <v/>
      </c>
      <c r="J1660" s="5" t="str">
        <f t="shared" si="128"/>
        <v/>
      </c>
      <c r="K1660" s="25"/>
      <c r="L1660" s="5" t="str">
        <f t="shared" si="129"/>
        <v/>
      </c>
      <c r="M1660" s="7"/>
      <c r="N1660" s="7"/>
      <c r="O1660" s="7"/>
      <c r="P1660" s="20" t="str">
        <f>IF($A1660="","",INDEX(Project_Tracker!$I$2:$I$101,INT((ROW()-6)/17)+1))</f>
        <v/>
      </c>
      <c r="Q1660" s="20" t="str">
        <f>IF($A1660="","",INDEX(Project_Tracker!$K$2:$K$101,INT((ROW()-6)/17)+1))</f>
        <v/>
      </c>
    </row>
    <row r="1661" spans="1:17" x14ac:dyDescent="0.2">
      <c r="A1661" s="20" t="str">
        <f>IF(INDEX(Project_Tracker!$AL$2:$AL$101,INT((ROW()-6)/17)+1)="","",INDEX(Project_Tracker!$AL$2:$AL$101,INT((ROW()-6)/17)+1))</f>
        <v/>
      </c>
      <c r="B1661" s="21" t="str">
        <f>IF($A1661="","",INDEX(Project_Tracker!$AM$2:$AM$101,INT((ROW()-6)/17)+1))</f>
        <v/>
      </c>
      <c r="C1661" s="20" t="str">
        <f>IF($A1661="","",INDEX(Project_Tracker!$C$2:$C$101,INT((ROW()-6)/17)+1))</f>
        <v/>
      </c>
      <c r="D1661" s="6" t="str">
        <f>IF($A1661="","",INDEX(Project_Tracker!$T$2:$T$101,INT((ROW()-6)/17)+1))</f>
        <v/>
      </c>
      <c r="E1661" s="18">
        <f t="shared" si="125"/>
        <v>7</v>
      </c>
      <c r="F1661" s="23" t="str">
        <f>IF($A1661="","",INDEX('Logic &amp; Lists'!$I$4:$I$20,$E1661))</f>
        <v/>
      </c>
      <c r="G1661" s="18" t="str">
        <f>IF($A1661="","",INDEX('Logic &amp; Lists'!$J$4:$J$20,$E1661))</f>
        <v/>
      </c>
      <c r="H1661" s="6" t="str">
        <f t="shared" si="126"/>
        <v/>
      </c>
      <c r="I1661" s="18" t="str">
        <f t="shared" ca="1" si="127"/>
        <v/>
      </c>
      <c r="J1661" s="5" t="str">
        <f t="shared" si="128"/>
        <v/>
      </c>
      <c r="K1661" s="25"/>
      <c r="L1661" s="5" t="str">
        <f t="shared" si="129"/>
        <v/>
      </c>
      <c r="M1661" s="7"/>
      <c r="N1661" s="7"/>
      <c r="O1661" s="7"/>
      <c r="P1661" s="20" t="str">
        <f>IF($A1661="","",INDEX(Project_Tracker!$I$2:$I$101,INT((ROW()-6)/17)+1))</f>
        <v/>
      </c>
      <c r="Q1661" s="20" t="str">
        <f>IF($A1661="","",INDEX(Project_Tracker!$K$2:$K$101,INT((ROW()-6)/17)+1))</f>
        <v/>
      </c>
    </row>
    <row r="1662" spans="1:17" x14ac:dyDescent="0.2">
      <c r="A1662" s="20" t="str">
        <f>IF(INDEX(Project_Tracker!$AL$2:$AL$101,INT((ROW()-6)/17)+1)="","",INDEX(Project_Tracker!$AL$2:$AL$101,INT((ROW()-6)/17)+1))</f>
        <v/>
      </c>
      <c r="B1662" s="21" t="str">
        <f>IF($A1662="","",INDEX(Project_Tracker!$AM$2:$AM$101,INT((ROW()-6)/17)+1))</f>
        <v/>
      </c>
      <c r="C1662" s="20" t="str">
        <f>IF($A1662="","",INDEX(Project_Tracker!$C$2:$C$101,INT((ROW()-6)/17)+1))</f>
        <v/>
      </c>
      <c r="D1662" s="6" t="str">
        <f>IF($A1662="","",INDEX(Project_Tracker!$T$2:$T$101,INT((ROW()-6)/17)+1))</f>
        <v/>
      </c>
      <c r="E1662" s="18">
        <f t="shared" si="125"/>
        <v>8</v>
      </c>
      <c r="F1662" s="23" t="str">
        <f>IF($A1662="","",INDEX('Logic &amp; Lists'!$I$4:$I$20,$E1662))</f>
        <v/>
      </c>
      <c r="G1662" s="18" t="str">
        <f>IF($A1662="","",INDEX('Logic &amp; Lists'!$J$4:$J$20,$E1662))</f>
        <v/>
      </c>
      <c r="H1662" s="6" t="str">
        <f t="shared" si="126"/>
        <v/>
      </c>
      <c r="I1662" s="18" t="str">
        <f t="shared" ca="1" si="127"/>
        <v/>
      </c>
      <c r="J1662" s="5" t="str">
        <f t="shared" si="128"/>
        <v/>
      </c>
      <c r="K1662" s="25"/>
      <c r="L1662" s="5" t="str">
        <f t="shared" si="129"/>
        <v/>
      </c>
      <c r="M1662" s="7"/>
      <c r="N1662" s="7"/>
      <c r="O1662" s="7"/>
      <c r="P1662" s="20" t="str">
        <f>IF($A1662="","",INDEX(Project_Tracker!$I$2:$I$101,INT((ROW()-6)/17)+1))</f>
        <v/>
      </c>
      <c r="Q1662" s="20" t="str">
        <f>IF($A1662="","",INDEX(Project_Tracker!$K$2:$K$101,INT((ROW()-6)/17)+1))</f>
        <v/>
      </c>
    </row>
    <row r="1663" spans="1:17" x14ac:dyDescent="0.2">
      <c r="A1663" s="20" t="str">
        <f>IF(INDEX(Project_Tracker!$AL$2:$AL$101,INT((ROW()-6)/17)+1)="","",INDEX(Project_Tracker!$AL$2:$AL$101,INT((ROW()-6)/17)+1))</f>
        <v/>
      </c>
      <c r="B1663" s="21" t="str">
        <f>IF($A1663="","",INDEX(Project_Tracker!$AM$2:$AM$101,INT((ROW()-6)/17)+1))</f>
        <v/>
      </c>
      <c r="C1663" s="20" t="str">
        <f>IF($A1663="","",INDEX(Project_Tracker!$C$2:$C$101,INT((ROW()-6)/17)+1))</f>
        <v/>
      </c>
      <c r="D1663" s="6" t="str">
        <f>IF($A1663="","",INDEX(Project_Tracker!$T$2:$T$101,INT((ROW()-6)/17)+1))</f>
        <v/>
      </c>
      <c r="E1663" s="18">
        <f t="shared" si="125"/>
        <v>9</v>
      </c>
      <c r="F1663" s="23" t="str">
        <f>IF($A1663="","",INDEX('Logic &amp; Lists'!$I$4:$I$20,$E1663))</f>
        <v/>
      </c>
      <c r="G1663" s="18" t="str">
        <f>IF($A1663="","",INDEX('Logic &amp; Lists'!$J$4:$J$20,$E1663))</f>
        <v/>
      </c>
      <c r="H1663" s="6" t="str">
        <f t="shared" si="126"/>
        <v/>
      </c>
      <c r="I1663" s="18" t="str">
        <f t="shared" ca="1" si="127"/>
        <v/>
      </c>
      <c r="J1663" s="5" t="str">
        <f t="shared" si="128"/>
        <v/>
      </c>
      <c r="K1663" s="25"/>
      <c r="L1663" s="5" t="str">
        <f t="shared" si="129"/>
        <v/>
      </c>
      <c r="M1663" s="7"/>
      <c r="N1663" s="7"/>
      <c r="O1663" s="7"/>
      <c r="P1663" s="20" t="str">
        <f>IF($A1663="","",INDEX(Project_Tracker!$I$2:$I$101,INT((ROW()-6)/17)+1))</f>
        <v/>
      </c>
      <c r="Q1663" s="20" t="str">
        <f>IF($A1663="","",INDEX(Project_Tracker!$K$2:$K$101,INT((ROW()-6)/17)+1))</f>
        <v/>
      </c>
    </row>
    <row r="1664" spans="1:17" x14ac:dyDescent="0.2">
      <c r="A1664" s="20" t="str">
        <f>IF(INDEX(Project_Tracker!$AL$2:$AL$101,INT((ROW()-6)/17)+1)="","",INDEX(Project_Tracker!$AL$2:$AL$101,INT((ROW()-6)/17)+1))</f>
        <v/>
      </c>
      <c r="B1664" s="21" t="str">
        <f>IF($A1664="","",INDEX(Project_Tracker!$AM$2:$AM$101,INT((ROW()-6)/17)+1))</f>
        <v/>
      </c>
      <c r="C1664" s="20" t="str">
        <f>IF($A1664="","",INDEX(Project_Tracker!$C$2:$C$101,INT((ROW()-6)/17)+1))</f>
        <v/>
      </c>
      <c r="D1664" s="6" t="str">
        <f>IF($A1664="","",INDEX(Project_Tracker!$T$2:$T$101,INT((ROW()-6)/17)+1))</f>
        <v/>
      </c>
      <c r="E1664" s="18">
        <f t="shared" si="125"/>
        <v>10</v>
      </c>
      <c r="F1664" s="23" t="str">
        <f>IF($A1664="","",INDEX('Logic &amp; Lists'!$I$4:$I$20,$E1664))</f>
        <v/>
      </c>
      <c r="G1664" s="18" t="str">
        <f>IF($A1664="","",INDEX('Logic &amp; Lists'!$J$4:$J$20,$E1664))</f>
        <v/>
      </c>
      <c r="H1664" s="6" t="str">
        <f t="shared" si="126"/>
        <v/>
      </c>
      <c r="I1664" s="18" t="str">
        <f t="shared" ca="1" si="127"/>
        <v/>
      </c>
      <c r="J1664" s="5" t="str">
        <f t="shared" si="128"/>
        <v/>
      </c>
      <c r="K1664" s="25"/>
      <c r="L1664" s="5" t="str">
        <f t="shared" si="129"/>
        <v/>
      </c>
      <c r="M1664" s="7"/>
      <c r="N1664" s="7"/>
      <c r="O1664" s="7"/>
      <c r="P1664" s="20" t="str">
        <f>IF($A1664="","",INDEX(Project_Tracker!$I$2:$I$101,INT((ROW()-6)/17)+1))</f>
        <v/>
      </c>
      <c r="Q1664" s="20" t="str">
        <f>IF($A1664="","",INDEX(Project_Tracker!$K$2:$K$101,INT((ROW()-6)/17)+1))</f>
        <v/>
      </c>
    </row>
    <row r="1665" spans="1:17" x14ac:dyDescent="0.2">
      <c r="A1665" s="20" t="str">
        <f>IF(INDEX(Project_Tracker!$AL$2:$AL$101,INT((ROW()-6)/17)+1)="","",INDEX(Project_Tracker!$AL$2:$AL$101,INT((ROW()-6)/17)+1))</f>
        <v/>
      </c>
      <c r="B1665" s="21" t="str">
        <f>IF($A1665="","",INDEX(Project_Tracker!$AM$2:$AM$101,INT((ROW()-6)/17)+1))</f>
        <v/>
      </c>
      <c r="C1665" s="20" t="str">
        <f>IF($A1665="","",INDEX(Project_Tracker!$C$2:$C$101,INT((ROW()-6)/17)+1))</f>
        <v/>
      </c>
      <c r="D1665" s="6" t="str">
        <f>IF($A1665="","",INDEX(Project_Tracker!$T$2:$T$101,INT((ROW()-6)/17)+1))</f>
        <v/>
      </c>
      <c r="E1665" s="18">
        <f t="shared" si="125"/>
        <v>11</v>
      </c>
      <c r="F1665" s="23" t="str">
        <f>IF($A1665="","",INDEX('Logic &amp; Lists'!$I$4:$I$20,$E1665))</f>
        <v/>
      </c>
      <c r="G1665" s="18" t="str">
        <f>IF($A1665="","",INDEX('Logic &amp; Lists'!$J$4:$J$20,$E1665))</f>
        <v/>
      </c>
      <c r="H1665" s="6" t="str">
        <f t="shared" si="126"/>
        <v/>
      </c>
      <c r="I1665" s="18" t="str">
        <f t="shared" ca="1" si="127"/>
        <v/>
      </c>
      <c r="J1665" s="5" t="str">
        <f t="shared" si="128"/>
        <v/>
      </c>
      <c r="K1665" s="25"/>
      <c r="L1665" s="5" t="str">
        <f t="shared" si="129"/>
        <v/>
      </c>
      <c r="M1665" s="7"/>
      <c r="N1665" s="7"/>
      <c r="O1665" s="7"/>
      <c r="P1665" s="20" t="str">
        <f>IF($A1665="","",INDEX(Project_Tracker!$I$2:$I$101,INT((ROW()-6)/17)+1))</f>
        <v/>
      </c>
      <c r="Q1665" s="20" t="str">
        <f>IF($A1665="","",INDEX(Project_Tracker!$K$2:$K$101,INT((ROW()-6)/17)+1))</f>
        <v/>
      </c>
    </row>
    <row r="1666" spans="1:17" x14ac:dyDescent="0.2">
      <c r="A1666" s="20" t="str">
        <f>IF(INDEX(Project_Tracker!$AL$2:$AL$101,INT((ROW()-6)/17)+1)="","",INDEX(Project_Tracker!$AL$2:$AL$101,INT((ROW()-6)/17)+1))</f>
        <v/>
      </c>
      <c r="B1666" s="21" t="str">
        <f>IF($A1666="","",INDEX(Project_Tracker!$AM$2:$AM$101,INT((ROW()-6)/17)+1))</f>
        <v/>
      </c>
      <c r="C1666" s="20" t="str">
        <f>IF($A1666="","",INDEX(Project_Tracker!$C$2:$C$101,INT((ROW()-6)/17)+1))</f>
        <v/>
      </c>
      <c r="D1666" s="6" t="str">
        <f>IF($A1666="","",INDEX(Project_Tracker!$T$2:$T$101,INT((ROW()-6)/17)+1))</f>
        <v/>
      </c>
      <c r="E1666" s="18">
        <f t="shared" si="125"/>
        <v>12</v>
      </c>
      <c r="F1666" s="23" t="str">
        <f>IF($A1666="","",INDEX('Logic &amp; Lists'!$I$4:$I$20,$E1666))</f>
        <v/>
      </c>
      <c r="G1666" s="18" t="str">
        <f>IF($A1666="","",INDEX('Logic &amp; Lists'!$J$4:$J$20,$E1666))</f>
        <v/>
      </c>
      <c r="H1666" s="6" t="str">
        <f t="shared" si="126"/>
        <v/>
      </c>
      <c r="I1666" s="18" t="str">
        <f t="shared" ca="1" si="127"/>
        <v/>
      </c>
      <c r="J1666" s="5" t="str">
        <f t="shared" si="128"/>
        <v/>
      </c>
      <c r="K1666" s="25"/>
      <c r="L1666" s="5" t="str">
        <f t="shared" si="129"/>
        <v/>
      </c>
      <c r="M1666" s="7"/>
      <c r="N1666" s="7"/>
      <c r="O1666" s="7"/>
      <c r="P1666" s="20" t="str">
        <f>IF($A1666="","",INDEX(Project_Tracker!$I$2:$I$101,INT((ROW()-6)/17)+1))</f>
        <v/>
      </c>
      <c r="Q1666" s="20" t="str">
        <f>IF($A1666="","",INDEX(Project_Tracker!$K$2:$K$101,INT((ROW()-6)/17)+1))</f>
        <v/>
      </c>
    </row>
    <row r="1667" spans="1:17" x14ac:dyDescent="0.2">
      <c r="A1667" s="20" t="str">
        <f>IF(INDEX(Project_Tracker!$AL$2:$AL$101,INT((ROW()-6)/17)+1)="","",INDEX(Project_Tracker!$AL$2:$AL$101,INT((ROW()-6)/17)+1))</f>
        <v/>
      </c>
      <c r="B1667" s="21" t="str">
        <f>IF($A1667="","",INDEX(Project_Tracker!$AM$2:$AM$101,INT((ROW()-6)/17)+1))</f>
        <v/>
      </c>
      <c r="C1667" s="20" t="str">
        <f>IF($A1667="","",INDEX(Project_Tracker!$C$2:$C$101,INT((ROW()-6)/17)+1))</f>
        <v/>
      </c>
      <c r="D1667" s="6" t="str">
        <f>IF($A1667="","",INDEX(Project_Tracker!$T$2:$T$101,INT((ROW()-6)/17)+1))</f>
        <v/>
      </c>
      <c r="E1667" s="18">
        <f t="shared" si="125"/>
        <v>13</v>
      </c>
      <c r="F1667" s="23" t="str">
        <f>IF($A1667="","",INDEX('Logic &amp; Lists'!$I$4:$I$20,$E1667))</f>
        <v/>
      </c>
      <c r="G1667" s="18" t="str">
        <f>IF($A1667="","",INDEX('Logic &amp; Lists'!$J$4:$J$20,$E1667))</f>
        <v/>
      </c>
      <c r="H1667" s="6" t="str">
        <f t="shared" si="126"/>
        <v/>
      </c>
      <c r="I1667" s="18" t="str">
        <f t="shared" ca="1" si="127"/>
        <v/>
      </c>
      <c r="J1667" s="5" t="str">
        <f t="shared" si="128"/>
        <v/>
      </c>
      <c r="K1667" s="25"/>
      <c r="L1667" s="5" t="str">
        <f t="shared" si="129"/>
        <v/>
      </c>
      <c r="M1667" s="7"/>
      <c r="N1667" s="7"/>
      <c r="O1667" s="7"/>
      <c r="P1667" s="20" t="str">
        <f>IF($A1667="","",INDEX(Project_Tracker!$I$2:$I$101,INT((ROW()-6)/17)+1))</f>
        <v/>
      </c>
      <c r="Q1667" s="20" t="str">
        <f>IF($A1667="","",INDEX(Project_Tracker!$K$2:$K$101,INT((ROW()-6)/17)+1))</f>
        <v/>
      </c>
    </row>
    <row r="1668" spans="1:17" x14ac:dyDescent="0.2">
      <c r="A1668" s="20" t="str">
        <f>IF(INDEX(Project_Tracker!$AL$2:$AL$101,INT((ROW()-6)/17)+1)="","",INDEX(Project_Tracker!$AL$2:$AL$101,INT((ROW()-6)/17)+1))</f>
        <v/>
      </c>
      <c r="B1668" s="21" t="str">
        <f>IF($A1668="","",INDEX(Project_Tracker!$AM$2:$AM$101,INT((ROW()-6)/17)+1))</f>
        <v/>
      </c>
      <c r="C1668" s="20" t="str">
        <f>IF($A1668="","",INDEX(Project_Tracker!$C$2:$C$101,INT((ROW()-6)/17)+1))</f>
        <v/>
      </c>
      <c r="D1668" s="6" t="str">
        <f>IF($A1668="","",INDEX(Project_Tracker!$T$2:$T$101,INT((ROW()-6)/17)+1))</f>
        <v/>
      </c>
      <c r="E1668" s="18">
        <f t="shared" si="125"/>
        <v>14</v>
      </c>
      <c r="F1668" s="23" t="str">
        <f>IF($A1668="","",INDEX('Logic &amp; Lists'!$I$4:$I$20,$E1668))</f>
        <v/>
      </c>
      <c r="G1668" s="18" t="str">
        <f>IF($A1668="","",INDEX('Logic &amp; Lists'!$J$4:$J$20,$E1668))</f>
        <v/>
      </c>
      <c r="H1668" s="6" t="str">
        <f t="shared" si="126"/>
        <v/>
      </c>
      <c r="I1668" s="18" t="str">
        <f t="shared" ca="1" si="127"/>
        <v/>
      </c>
      <c r="J1668" s="5" t="str">
        <f t="shared" si="128"/>
        <v/>
      </c>
      <c r="K1668" s="25"/>
      <c r="L1668" s="5" t="str">
        <f t="shared" si="129"/>
        <v/>
      </c>
      <c r="M1668" s="7"/>
      <c r="N1668" s="7"/>
      <c r="O1668" s="7"/>
      <c r="P1668" s="20" t="str">
        <f>IF($A1668="","",INDEX(Project_Tracker!$I$2:$I$101,INT((ROW()-6)/17)+1))</f>
        <v/>
      </c>
      <c r="Q1668" s="20" t="str">
        <f>IF($A1668="","",INDEX(Project_Tracker!$K$2:$K$101,INT((ROW()-6)/17)+1))</f>
        <v/>
      </c>
    </row>
    <row r="1669" spans="1:17" x14ac:dyDescent="0.2">
      <c r="A1669" s="20" t="str">
        <f>IF(INDEX(Project_Tracker!$AL$2:$AL$101,INT((ROW()-6)/17)+1)="","",INDEX(Project_Tracker!$AL$2:$AL$101,INT((ROW()-6)/17)+1))</f>
        <v/>
      </c>
      <c r="B1669" s="21" t="str">
        <f>IF($A1669="","",INDEX(Project_Tracker!$AM$2:$AM$101,INT((ROW()-6)/17)+1))</f>
        <v/>
      </c>
      <c r="C1669" s="20" t="str">
        <f>IF($A1669="","",INDEX(Project_Tracker!$C$2:$C$101,INT((ROW()-6)/17)+1))</f>
        <v/>
      </c>
      <c r="D1669" s="6" t="str">
        <f>IF($A1669="","",INDEX(Project_Tracker!$T$2:$T$101,INT((ROW()-6)/17)+1))</f>
        <v/>
      </c>
      <c r="E1669" s="18">
        <f t="shared" si="125"/>
        <v>15</v>
      </c>
      <c r="F1669" s="23" t="str">
        <f>IF($A1669="","",INDEX('Logic &amp; Lists'!$I$4:$I$20,$E1669))</f>
        <v/>
      </c>
      <c r="G1669" s="18" t="str">
        <f>IF($A1669="","",INDEX('Logic &amp; Lists'!$J$4:$J$20,$E1669))</f>
        <v/>
      </c>
      <c r="H1669" s="6" t="str">
        <f t="shared" si="126"/>
        <v/>
      </c>
      <c r="I1669" s="18" t="str">
        <f t="shared" ca="1" si="127"/>
        <v/>
      </c>
      <c r="J1669" s="5" t="str">
        <f t="shared" si="128"/>
        <v/>
      </c>
      <c r="K1669" s="25"/>
      <c r="L1669" s="5" t="str">
        <f t="shared" si="129"/>
        <v/>
      </c>
      <c r="M1669" s="7"/>
      <c r="N1669" s="7"/>
      <c r="O1669" s="7"/>
      <c r="P1669" s="20" t="str">
        <f>IF($A1669="","",INDEX(Project_Tracker!$I$2:$I$101,INT((ROW()-6)/17)+1))</f>
        <v/>
      </c>
      <c r="Q1669" s="20" t="str">
        <f>IF($A1669="","",INDEX(Project_Tracker!$K$2:$K$101,INT((ROW()-6)/17)+1))</f>
        <v/>
      </c>
    </row>
    <row r="1670" spans="1:17" x14ac:dyDescent="0.2">
      <c r="A1670" s="20" t="str">
        <f>IF(INDEX(Project_Tracker!$AL$2:$AL$101,INT((ROW()-6)/17)+1)="","",INDEX(Project_Tracker!$AL$2:$AL$101,INT((ROW()-6)/17)+1))</f>
        <v/>
      </c>
      <c r="B1670" s="21" t="str">
        <f>IF($A1670="","",INDEX(Project_Tracker!$AM$2:$AM$101,INT((ROW()-6)/17)+1))</f>
        <v/>
      </c>
      <c r="C1670" s="20" t="str">
        <f>IF($A1670="","",INDEX(Project_Tracker!$C$2:$C$101,INT((ROW()-6)/17)+1))</f>
        <v/>
      </c>
      <c r="D1670" s="6" t="str">
        <f>IF($A1670="","",INDEX(Project_Tracker!$T$2:$T$101,INT((ROW()-6)/17)+1))</f>
        <v/>
      </c>
      <c r="E1670" s="18">
        <f t="shared" ref="E1670:E1705" si="130">MOD(ROW()-6,17)+1</f>
        <v>16</v>
      </c>
      <c r="F1670" s="23" t="str">
        <f>IF($A1670="","",INDEX('Logic &amp; Lists'!$I$4:$I$20,$E1670))</f>
        <v/>
      </c>
      <c r="G1670" s="18" t="str">
        <f>IF($A1670="","",INDEX('Logic &amp; Lists'!$J$4:$J$20,$E1670))</f>
        <v/>
      </c>
      <c r="H1670" s="6" t="str">
        <f t="shared" ref="H1670:H1705" si="131">IF($D1670="","",$D1670-$G1670)</f>
        <v/>
      </c>
      <c r="I1670" s="18" t="str">
        <f t="shared" ref="I1670:I1705" ca="1" si="132">IF($H1670="","",$H1670-TODAY())</f>
        <v/>
      </c>
      <c r="J1670" s="5" t="str">
        <f t="shared" ref="J1670:J1705" si="133">IF($A1670="","",IF($K1670&lt;&gt;"","ORDERED",IF($I1670&lt;0,"OVERDUE",IF($I1670&lt;=7,"URGENT",IF($I1670&lt;=14,"PREPARE","OK")))))</f>
        <v/>
      </c>
      <c r="K1670" s="25"/>
      <c r="L1670" s="5" t="str">
        <f t="shared" ref="L1670:L1705" si="134">IF($A1670="","",IF($K1670="",$J1670,IF($K1670&lt;=$H1670,"Ordered On Time","Ordered Late")))</f>
        <v/>
      </c>
      <c r="M1670" s="7"/>
      <c r="N1670" s="7"/>
      <c r="O1670" s="7"/>
      <c r="P1670" s="20" t="str">
        <f>IF($A1670="","",INDEX(Project_Tracker!$I$2:$I$101,INT((ROW()-6)/17)+1))</f>
        <v/>
      </c>
      <c r="Q1670" s="20" t="str">
        <f>IF($A1670="","",INDEX(Project_Tracker!$K$2:$K$101,INT((ROW()-6)/17)+1))</f>
        <v/>
      </c>
    </row>
    <row r="1671" spans="1:17" x14ac:dyDescent="0.2">
      <c r="A1671" s="20" t="str">
        <f>IF(INDEX(Project_Tracker!$AL$2:$AL$101,INT((ROW()-6)/17)+1)="","",INDEX(Project_Tracker!$AL$2:$AL$101,INT((ROW()-6)/17)+1))</f>
        <v/>
      </c>
      <c r="B1671" s="21" t="str">
        <f>IF($A1671="","",INDEX(Project_Tracker!$AM$2:$AM$101,INT((ROW()-6)/17)+1))</f>
        <v/>
      </c>
      <c r="C1671" s="20" t="str">
        <f>IF($A1671="","",INDEX(Project_Tracker!$C$2:$C$101,INT((ROW()-6)/17)+1))</f>
        <v/>
      </c>
      <c r="D1671" s="6" t="str">
        <f>IF($A1671="","",INDEX(Project_Tracker!$T$2:$T$101,INT((ROW()-6)/17)+1))</f>
        <v/>
      </c>
      <c r="E1671" s="18">
        <f t="shared" si="130"/>
        <v>17</v>
      </c>
      <c r="F1671" s="23" t="str">
        <f>IF($A1671="","",INDEX('Logic &amp; Lists'!$I$4:$I$20,$E1671))</f>
        <v/>
      </c>
      <c r="G1671" s="18" t="str">
        <f>IF($A1671="","",INDEX('Logic &amp; Lists'!$J$4:$J$20,$E1671))</f>
        <v/>
      </c>
      <c r="H1671" s="6" t="str">
        <f t="shared" si="131"/>
        <v/>
      </c>
      <c r="I1671" s="18" t="str">
        <f t="shared" ca="1" si="132"/>
        <v/>
      </c>
      <c r="J1671" s="5" t="str">
        <f t="shared" si="133"/>
        <v/>
      </c>
      <c r="K1671" s="25"/>
      <c r="L1671" s="5" t="str">
        <f t="shared" si="134"/>
        <v/>
      </c>
      <c r="M1671" s="7"/>
      <c r="N1671" s="7"/>
      <c r="O1671" s="7"/>
      <c r="P1671" s="20" t="str">
        <f>IF($A1671="","",INDEX(Project_Tracker!$I$2:$I$101,INT((ROW()-6)/17)+1))</f>
        <v/>
      </c>
      <c r="Q1671" s="20" t="str">
        <f>IF($A1671="","",INDEX(Project_Tracker!$K$2:$K$101,INT((ROW()-6)/17)+1))</f>
        <v/>
      </c>
    </row>
    <row r="1672" spans="1:17" x14ac:dyDescent="0.2">
      <c r="A1672" s="20" t="str">
        <f>IF(INDEX(Project_Tracker!$AL$2:$AL$101,INT((ROW()-6)/17)+1)="","",INDEX(Project_Tracker!$AL$2:$AL$101,INT((ROW()-6)/17)+1))</f>
        <v/>
      </c>
      <c r="B1672" s="21" t="str">
        <f>IF($A1672="","",INDEX(Project_Tracker!$AM$2:$AM$101,INT((ROW()-6)/17)+1))</f>
        <v/>
      </c>
      <c r="C1672" s="20" t="str">
        <f>IF($A1672="","",INDEX(Project_Tracker!$C$2:$C$101,INT((ROW()-6)/17)+1))</f>
        <v/>
      </c>
      <c r="D1672" s="6" t="str">
        <f>IF($A1672="","",INDEX(Project_Tracker!$T$2:$T$101,INT((ROW()-6)/17)+1))</f>
        <v/>
      </c>
      <c r="E1672" s="18">
        <f t="shared" si="130"/>
        <v>1</v>
      </c>
      <c r="F1672" s="23" t="str">
        <f>IF($A1672="","",INDEX('Logic &amp; Lists'!$I$4:$I$20,$E1672))</f>
        <v/>
      </c>
      <c r="G1672" s="18" t="str">
        <f>IF($A1672="","",INDEX('Logic &amp; Lists'!$J$4:$J$20,$E1672))</f>
        <v/>
      </c>
      <c r="H1672" s="6" t="str">
        <f t="shared" si="131"/>
        <v/>
      </c>
      <c r="I1672" s="18" t="str">
        <f t="shared" ca="1" si="132"/>
        <v/>
      </c>
      <c r="J1672" s="5" t="str">
        <f t="shared" si="133"/>
        <v/>
      </c>
      <c r="K1672" s="25"/>
      <c r="L1672" s="5" t="str">
        <f t="shared" si="134"/>
        <v/>
      </c>
      <c r="M1672" s="7"/>
      <c r="N1672" s="7"/>
      <c r="O1672" s="7"/>
      <c r="P1672" s="20" t="str">
        <f>IF($A1672="","",INDEX(Project_Tracker!$I$2:$I$101,INT((ROW()-6)/17)+1))</f>
        <v/>
      </c>
      <c r="Q1672" s="20" t="str">
        <f>IF($A1672="","",INDEX(Project_Tracker!$K$2:$K$101,INT((ROW()-6)/17)+1))</f>
        <v/>
      </c>
    </row>
    <row r="1673" spans="1:17" x14ac:dyDescent="0.2">
      <c r="A1673" s="20" t="str">
        <f>IF(INDEX(Project_Tracker!$AL$2:$AL$101,INT((ROW()-6)/17)+1)="","",INDEX(Project_Tracker!$AL$2:$AL$101,INT((ROW()-6)/17)+1))</f>
        <v/>
      </c>
      <c r="B1673" s="21" t="str">
        <f>IF($A1673="","",INDEX(Project_Tracker!$AM$2:$AM$101,INT((ROW()-6)/17)+1))</f>
        <v/>
      </c>
      <c r="C1673" s="20" t="str">
        <f>IF($A1673="","",INDEX(Project_Tracker!$C$2:$C$101,INT((ROW()-6)/17)+1))</f>
        <v/>
      </c>
      <c r="D1673" s="6" t="str">
        <f>IF($A1673="","",INDEX(Project_Tracker!$T$2:$T$101,INT((ROW()-6)/17)+1))</f>
        <v/>
      </c>
      <c r="E1673" s="18">
        <f t="shared" si="130"/>
        <v>2</v>
      </c>
      <c r="F1673" s="23" t="str">
        <f>IF($A1673="","",INDEX('Logic &amp; Lists'!$I$4:$I$20,$E1673))</f>
        <v/>
      </c>
      <c r="G1673" s="18" t="str">
        <f>IF($A1673="","",INDEX('Logic &amp; Lists'!$J$4:$J$20,$E1673))</f>
        <v/>
      </c>
      <c r="H1673" s="6" t="str">
        <f t="shared" si="131"/>
        <v/>
      </c>
      <c r="I1673" s="18" t="str">
        <f t="shared" ca="1" si="132"/>
        <v/>
      </c>
      <c r="J1673" s="5" t="str">
        <f t="shared" si="133"/>
        <v/>
      </c>
      <c r="K1673" s="25"/>
      <c r="L1673" s="5" t="str">
        <f t="shared" si="134"/>
        <v/>
      </c>
      <c r="M1673" s="7"/>
      <c r="N1673" s="7"/>
      <c r="O1673" s="7"/>
      <c r="P1673" s="20" t="str">
        <f>IF($A1673="","",INDEX(Project_Tracker!$I$2:$I$101,INT((ROW()-6)/17)+1))</f>
        <v/>
      </c>
      <c r="Q1673" s="20" t="str">
        <f>IF($A1673="","",INDEX(Project_Tracker!$K$2:$K$101,INT((ROW()-6)/17)+1))</f>
        <v/>
      </c>
    </row>
    <row r="1674" spans="1:17" x14ac:dyDescent="0.2">
      <c r="A1674" s="20" t="str">
        <f>IF(INDEX(Project_Tracker!$AL$2:$AL$101,INT((ROW()-6)/17)+1)="","",INDEX(Project_Tracker!$AL$2:$AL$101,INT((ROW()-6)/17)+1))</f>
        <v/>
      </c>
      <c r="B1674" s="21" t="str">
        <f>IF($A1674="","",INDEX(Project_Tracker!$AM$2:$AM$101,INT((ROW()-6)/17)+1))</f>
        <v/>
      </c>
      <c r="C1674" s="20" t="str">
        <f>IF($A1674="","",INDEX(Project_Tracker!$C$2:$C$101,INT((ROW()-6)/17)+1))</f>
        <v/>
      </c>
      <c r="D1674" s="6" t="str">
        <f>IF($A1674="","",INDEX(Project_Tracker!$T$2:$T$101,INT((ROW()-6)/17)+1))</f>
        <v/>
      </c>
      <c r="E1674" s="18">
        <f t="shared" si="130"/>
        <v>3</v>
      </c>
      <c r="F1674" s="23" t="str">
        <f>IF($A1674="","",INDEX('Logic &amp; Lists'!$I$4:$I$20,$E1674))</f>
        <v/>
      </c>
      <c r="G1674" s="18" t="str">
        <f>IF($A1674="","",INDEX('Logic &amp; Lists'!$J$4:$J$20,$E1674))</f>
        <v/>
      </c>
      <c r="H1674" s="6" t="str">
        <f t="shared" si="131"/>
        <v/>
      </c>
      <c r="I1674" s="18" t="str">
        <f t="shared" ca="1" si="132"/>
        <v/>
      </c>
      <c r="J1674" s="5" t="str">
        <f t="shared" si="133"/>
        <v/>
      </c>
      <c r="K1674" s="25"/>
      <c r="L1674" s="5" t="str">
        <f t="shared" si="134"/>
        <v/>
      </c>
      <c r="M1674" s="7"/>
      <c r="N1674" s="7"/>
      <c r="O1674" s="7"/>
      <c r="P1674" s="20" t="str">
        <f>IF($A1674="","",INDEX(Project_Tracker!$I$2:$I$101,INT((ROW()-6)/17)+1))</f>
        <v/>
      </c>
      <c r="Q1674" s="20" t="str">
        <f>IF($A1674="","",INDEX(Project_Tracker!$K$2:$K$101,INT((ROW()-6)/17)+1))</f>
        <v/>
      </c>
    </row>
    <row r="1675" spans="1:17" x14ac:dyDescent="0.2">
      <c r="A1675" s="20" t="str">
        <f>IF(INDEX(Project_Tracker!$AL$2:$AL$101,INT((ROW()-6)/17)+1)="","",INDEX(Project_Tracker!$AL$2:$AL$101,INT((ROW()-6)/17)+1))</f>
        <v/>
      </c>
      <c r="B1675" s="21" t="str">
        <f>IF($A1675="","",INDEX(Project_Tracker!$AM$2:$AM$101,INT((ROW()-6)/17)+1))</f>
        <v/>
      </c>
      <c r="C1675" s="20" t="str">
        <f>IF($A1675="","",INDEX(Project_Tracker!$C$2:$C$101,INT((ROW()-6)/17)+1))</f>
        <v/>
      </c>
      <c r="D1675" s="6" t="str">
        <f>IF($A1675="","",INDEX(Project_Tracker!$T$2:$T$101,INT((ROW()-6)/17)+1))</f>
        <v/>
      </c>
      <c r="E1675" s="18">
        <f t="shared" si="130"/>
        <v>4</v>
      </c>
      <c r="F1675" s="23" t="str">
        <f>IF($A1675="","",INDEX('Logic &amp; Lists'!$I$4:$I$20,$E1675))</f>
        <v/>
      </c>
      <c r="G1675" s="18" t="str">
        <f>IF($A1675="","",INDEX('Logic &amp; Lists'!$J$4:$J$20,$E1675))</f>
        <v/>
      </c>
      <c r="H1675" s="6" t="str">
        <f t="shared" si="131"/>
        <v/>
      </c>
      <c r="I1675" s="18" t="str">
        <f t="shared" ca="1" si="132"/>
        <v/>
      </c>
      <c r="J1675" s="5" t="str">
        <f t="shared" si="133"/>
        <v/>
      </c>
      <c r="K1675" s="25"/>
      <c r="L1675" s="5" t="str">
        <f t="shared" si="134"/>
        <v/>
      </c>
      <c r="M1675" s="7"/>
      <c r="N1675" s="7"/>
      <c r="O1675" s="7"/>
      <c r="P1675" s="20" t="str">
        <f>IF($A1675="","",INDEX(Project_Tracker!$I$2:$I$101,INT((ROW()-6)/17)+1))</f>
        <v/>
      </c>
      <c r="Q1675" s="20" t="str">
        <f>IF($A1675="","",INDEX(Project_Tracker!$K$2:$K$101,INT((ROW()-6)/17)+1))</f>
        <v/>
      </c>
    </row>
    <row r="1676" spans="1:17" x14ac:dyDescent="0.2">
      <c r="A1676" s="20" t="str">
        <f>IF(INDEX(Project_Tracker!$AL$2:$AL$101,INT((ROW()-6)/17)+1)="","",INDEX(Project_Tracker!$AL$2:$AL$101,INT((ROW()-6)/17)+1))</f>
        <v/>
      </c>
      <c r="B1676" s="21" t="str">
        <f>IF($A1676="","",INDEX(Project_Tracker!$AM$2:$AM$101,INT((ROW()-6)/17)+1))</f>
        <v/>
      </c>
      <c r="C1676" s="20" t="str">
        <f>IF($A1676="","",INDEX(Project_Tracker!$C$2:$C$101,INT((ROW()-6)/17)+1))</f>
        <v/>
      </c>
      <c r="D1676" s="6" t="str">
        <f>IF($A1676="","",INDEX(Project_Tracker!$T$2:$T$101,INT((ROW()-6)/17)+1))</f>
        <v/>
      </c>
      <c r="E1676" s="18">
        <f t="shared" si="130"/>
        <v>5</v>
      </c>
      <c r="F1676" s="23" t="str">
        <f>IF($A1676="","",INDEX('Logic &amp; Lists'!$I$4:$I$20,$E1676))</f>
        <v/>
      </c>
      <c r="G1676" s="18" t="str">
        <f>IF($A1676="","",INDEX('Logic &amp; Lists'!$J$4:$J$20,$E1676))</f>
        <v/>
      </c>
      <c r="H1676" s="6" t="str">
        <f t="shared" si="131"/>
        <v/>
      </c>
      <c r="I1676" s="18" t="str">
        <f t="shared" ca="1" si="132"/>
        <v/>
      </c>
      <c r="J1676" s="5" t="str">
        <f t="shared" si="133"/>
        <v/>
      </c>
      <c r="K1676" s="25"/>
      <c r="L1676" s="5" t="str">
        <f t="shared" si="134"/>
        <v/>
      </c>
      <c r="M1676" s="7"/>
      <c r="N1676" s="7"/>
      <c r="O1676" s="7"/>
      <c r="P1676" s="20" t="str">
        <f>IF($A1676="","",INDEX(Project_Tracker!$I$2:$I$101,INT((ROW()-6)/17)+1))</f>
        <v/>
      </c>
      <c r="Q1676" s="20" t="str">
        <f>IF($A1676="","",INDEX(Project_Tracker!$K$2:$K$101,INT((ROW()-6)/17)+1))</f>
        <v/>
      </c>
    </row>
    <row r="1677" spans="1:17" x14ac:dyDescent="0.2">
      <c r="A1677" s="20" t="str">
        <f>IF(INDEX(Project_Tracker!$AL$2:$AL$101,INT((ROW()-6)/17)+1)="","",INDEX(Project_Tracker!$AL$2:$AL$101,INT((ROW()-6)/17)+1))</f>
        <v/>
      </c>
      <c r="B1677" s="21" t="str">
        <f>IF($A1677="","",INDEX(Project_Tracker!$AM$2:$AM$101,INT((ROW()-6)/17)+1))</f>
        <v/>
      </c>
      <c r="C1677" s="20" t="str">
        <f>IF($A1677="","",INDEX(Project_Tracker!$C$2:$C$101,INT((ROW()-6)/17)+1))</f>
        <v/>
      </c>
      <c r="D1677" s="6" t="str">
        <f>IF($A1677="","",INDEX(Project_Tracker!$T$2:$T$101,INT((ROW()-6)/17)+1))</f>
        <v/>
      </c>
      <c r="E1677" s="18">
        <f t="shared" si="130"/>
        <v>6</v>
      </c>
      <c r="F1677" s="23" t="str">
        <f>IF($A1677="","",INDEX('Logic &amp; Lists'!$I$4:$I$20,$E1677))</f>
        <v/>
      </c>
      <c r="G1677" s="18" t="str">
        <f>IF($A1677="","",INDEX('Logic &amp; Lists'!$J$4:$J$20,$E1677))</f>
        <v/>
      </c>
      <c r="H1677" s="6" t="str">
        <f t="shared" si="131"/>
        <v/>
      </c>
      <c r="I1677" s="18" t="str">
        <f t="shared" ca="1" si="132"/>
        <v/>
      </c>
      <c r="J1677" s="5" t="str">
        <f t="shared" si="133"/>
        <v/>
      </c>
      <c r="K1677" s="25"/>
      <c r="L1677" s="5" t="str">
        <f t="shared" si="134"/>
        <v/>
      </c>
      <c r="M1677" s="7"/>
      <c r="N1677" s="7"/>
      <c r="O1677" s="7"/>
      <c r="P1677" s="20" t="str">
        <f>IF($A1677="","",INDEX(Project_Tracker!$I$2:$I$101,INT((ROW()-6)/17)+1))</f>
        <v/>
      </c>
      <c r="Q1677" s="20" t="str">
        <f>IF($A1677="","",INDEX(Project_Tracker!$K$2:$K$101,INT((ROW()-6)/17)+1))</f>
        <v/>
      </c>
    </row>
    <row r="1678" spans="1:17" x14ac:dyDescent="0.2">
      <c r="A1678" s="20" t="str">
        <f>IF(INDEX(Project_Tracker!$AL$2:$AL$101,INT((ROW()-6)/17)+1)="","",INDEX(Project_Tracker!$AL$2:$AL$101,INT((ROW()-6)/17)+1))</f>
        <v/>
      </c>
      <c r="B1678" s="21" t="str">
        <f>IF($A1678="","",INDEX(Project_Tracker!$AM$2:$AM$101,INT((ROW()-6)/17)+1))</f>
        <v/>
      </c>
      <c r="C1678" s="20" t="str">
        <f>IF($A1678="","",INDEX(Project_Tracker!$C$2:$C$101,INT((ROW()-6)/17)+1))</f>
        <v/>
      </c>
      <c r="D1678" s="6" t="str">
        <f>IF($A1678="","",INDEX(Project_Tracker!$T$2:$T$101,INT((ROW()-6)/17)+1))</f>
        <v/>
      </c>
      <c r="E1678" s="18">
        <f t="shared" si="130"/>
        <v>7</v>
      </c>
      <c r="F1678" s="23" t="str">
        <f>IF($A1678="","",INDEX('Logic &amp; Lists'!$I$4:$I$20,$E1678))</f>
        <v/>
      </c>
      <c r="G1678" s="18" t="str">
        <f>IF($A1678="","",INDEX('Logic &amp; Lists'!$J$4:$J$20,$E1678))</f>
        <v/>
      </c>
      <c r="H1678" s="6" t="str">
        <f t="shared" si="131"/>
        <v/>
      </c>
      <c r="I1678" s="18" t="str">
        <f t="shared" ca="1" si="132"/>
        <v/>
      </c>
      <c r="J1678" s="5" t="str">
        <f t="shared" si="133"/>
        <v/>
      </c>
      <c r="K1678" s="25"/>
      <c r="L1678" s="5" t="str">
        <f t="shared" si="134"/>
        <v/>
      </c>
      <c r="M1678" s="7"/>
      <c r="N1678" s="7"/>
      <c r="O1678" s="7"/>
      <c r="P1678" s="20" t="str">
        <f>IF($A1678="","",INDEX(Project_Tracker!$I$2:$I$101,INT((ROW()-6)/17)+1))</f>
        <v/>
      </c>
      <c r="Q1678" s="20" t="str">
        <f>IF($A1678="","",INDEX(Project_Tracker!$K$2:$K$101,INT((ROW()-6)/17)+1))</f>
        <v/>
      </c>
    </row>
    <row r="1679" spans="1:17" x14ac:dyDescent="0.2">
      <c r="A1679" s="20" t="str">
        <f>IF(INDEX(Project_Tracker!$AL$2:$AL$101,INT((ROW()-6)/17)+1)="","",INDEX(Project_Tracker!$AL$2:$AL$101,INT((ROW()-6)/17)+1))</f>
        <v/>
      </c>
      <c r="B1679" s="21" t="str">
        <f>IF($A1679="","",INDEX(Project_Tracker!$AM$2:$AM$101,INT((ROW()-6)/17)+1))</f>
        <v/>
      </c>
      <c r="C1679" s="20" t="str">
        <f>IF($A1679="","",INDEX(Project_Tracker!$C$2:$C$101,INT((ROW()-6)/17)+1))</f>
        <v/>
      </c>
      <c r="D1679" s="6" t="str">
        <f>IF($A1679="","",INDEX(Project_Tracker!$T$2:$T$101,INT((ROW()-6)/17)+1))</f>
        <v/>
      </c>
      <c r="E1679" s="18">
        <f t="shared" si="130"/>
        <v>8</v>
      </c>
      <c r="F1679" s="23" t="str">
        <f>IF($A1679="","",INDEX('Logic &amp; Lists'!$I$4:$I$20,$E1679))</f>
        <v/>
      </c>
      <c r="G1679" s="18" t="str">
        <f>IF($A1679="","",INDEX('Logic &amp; Lists'!$J$4:$J$20,$E1679))</f>
        <v/>
      </c>
      <c r="H1679" s="6" t="str">
        <f t="shared" si="131"/>
        <v/>
      </c>
      <c r="I1679" s="18" t="str">
        <f t="shared" ca="1" si="132"/>
        <v/>
      </c>
      <c r="J1679" s="5" t="str">
        <f t="shared" si="133"/>
        <v/>
      </c>
      <c r="K1679" s="25"/>
      <c r="L1679" s="5" t="str">
        <f t="shared" si="134"/>
        <v/>
      </c>
      <c r="M1679" s="7"/>
      <c r="N1679" s="7"/>
      <c r="O1679" s="7"/>
      <c r="P1679" s="20" t="str">
        <f>IF($A1679="","",INDEX(Project_Tracker!$I$2:$I$101,INT((ROW()-6)/17)+1))</f>
        <v/>
      </c>
      <c r="Q1679" s="20" t="str">
        <f>IF($A1679="","",INDEX(Project_Tracker!$K$2:$K$101,INT((ROW()-6)/17)+1))</f>
        <v/>
      </c>
    </row>
    <row r="1680" spans="1:17" x14ac:dyDescent="0.2">
      <c r="A1680" s="20" t="str">
        <f>IF(INDEX(Project_Tracker!$AL$2:$AL$101,INT((ROW()-6)/17)+1)="","",INDEX(Project_Tracker!$AL$2:$AL$101,INT((ROW()-6)/17)+1))</f>
        <v/>
      </c>
      <c r="B1680" s="21" t="str">
        <f>IF($A1680="","",INDEX(Project_Tracker!$AM$2:$AM$101,INT((ROW()-6)/17)+1))</f>
        <v/>
      </c>
      <c r="C1680" s="20" t="str">
        <f>IF($A1680="","",INDEX(Project_Tracker!$C$2:$C$101,INT((ROW()-6)/17)+1))</f>
        <v/>
      </c>
      <c r="D1680" s="6" t="str">
        <f>IF($A1680="","",INDEX(Project_Tracker!$T$2:$T$101,INT((ROW()-6)/17)+1))</f>
        <v/>
      </c>
      <c r="E1680" s="18">
        <f t="shared" si="130"/>
        <v>9</v>
      </c>
      <c r="F1680" s="23" t="str">
        <f>IF($A1680="","",INDEX('Logic &amp; Lists'!$I$4:$I$20,$E1680))</f>
        <v/>
      </c>
      <c r="G1680" s="18" t="str">
        <f>IF($A1680="","",INDEX('Logic &amp; Lists'!$J$4:$J$20,$E1680))</f>
        <v/>
      </c>
      <c r="H1680" s="6" t="str">
        <f t="shared" si="131"/>
        <v/>
      </c>
      <c r="I1680" s="18" t="str">
        <f t="shared" ca="1" si="132"/>
        <v/>
      </c>
      <c r="J1680" s="5" t="str">
        <f t="shared" si="133"/>
        <v/>
      </c>
      <c r="K1680" s="25"/>
      <c r="L1680" s="5" t="str">
        <f t="shared" si="134"/>
        <v/>
      </c>
      <c r="M1680" s="7"/>
      <c r="N1680" s="7"/>
      <c r="O1680" s="7"/>
      <c r="P1680" s="20" t="str">
        <f>IF($A1680="","",INDEX(Project_Tracker!$I$2:$I$101,INT((ROW()-6)/17)+1))</f>
        <v/>
      </c>
      <c r="Q1680" s="20" t="str">
        <f>IF($A1680="","",INDEX(Project_Tracker!$K$2:$K$101,INT((ROW()-6)/17)+1))</f>
        <v/>
      </c>
    </row>
    <row r="1681" spans="1:17" x14ac:dyDescent="0.2">
      <c r="A1681" s="20" t="str">
        <f>IF(INDEX(Project_Tracker!$AL$2:$AL$101,INT((ROW()-6)/17)+1)="","",INDEX(Project_Tracker!$AL$2:$AL$101,INT((ROW()-6)/17)+1))</f>
        <v/>
      </c>
      <c r="B1681" s="21" t="str">
        <f>IF($A1681="","",INDEX(Project_Tracker!$AM$2:$AM$101,INT((ROW()-6)/17)+1))</f>
        <v/>
      </c>
      <c r="C1681" s="20" t="str">
        <f>IF($A1681="","",INDEX(Project_Tracker!$C$2:$C$101,INT((ROW()-6)/17)+1))</f>
        <v/>
      </c>
      <c r="D1681" s="6" t="str">
        <f>IF($A1681="","",INDEX(Project_Tracker!$T$2:$T$101,INT((ROW()-6)/17)+1))</f>
        <v/>
      </c>
      <c r="E1681" s="18">
        <f t="shared" si="130"/>
        <v>10</v>
      </c>
      <c r="F1681" s="23" t="str">
        <f>IF($A1681="","",INDEX('Logic &amp; Lists'!$I$4:$I$20,$E1681))</f>
        <v/>
      </c>
      <c r="G1681" s="18" t="str">
        <f>IF($A1681="","",INDEX('Logic &amp; Lists'!$J$4:$J$20,$E1681))</f>
        <v/>
      </c>
      <c r="H1681" s="6" t="str">
        <f t="shared" si="131"/>
        <v/>
      </c>
      <c r="I1681" s="18" t="str">
        <f t="shared" ca="1" si="132"/>
        <v/>
      </c>
      <c r="J1681" s="5" t="str">
        <f t="shared" si="133"/>
        <v/>
      </c>
      <c r="K1681" s="25"/>
      <c r="L1681" s="5" t="str">
        <f t="shared" si="134"/>
        <v/>
      </c>
      <c r="M1681" s="7"/>
      <c r="N1681" s="7"/>
      <c r="O1681" s="7"/>
      <c r="P1681" s="20" t="str">
        <f>IF($A1681="","",INDEX(Project_Tracker!$I$2:$I$101,INT((ROW()-6)/17)+1))</f>
        <v/>
      </c>
      <c r="Q1681" s="20" t="str">
        <f>IF($A1681="","",INDEX(Project_Tracker!$K$2:$K$101,INT((ROW()-6)/17)+1))</f>
        <v/>
      </c>
    </row>
    <row r="1682" spans="1:17" x14ac:dyDescent="0.2">
      <c r="A1682" s="20" t="str">
        <f>IF(INDEX(Project_Tracker!$AL$2:$AL$101,INT((ROW()-6)/17)+1)="","",INDEX(Project_Tracker!$AL$2:$AL$101,INT((ROW()-6)/17)+1))</f>
        <v/>
      </c>
      <c r="B1682" s="21" t="str">
        <f>IF($A1682="","",INDEX(Project_Tracker!$AM$2:$AM$101,INT((ROW()-6)/17)+1))</f>
        <v/>
      </c>
      <c r="C1682" s="20" t="str">
        <f>IF($A1682="","",INDEX(Project_Tracker!$C$2:$C$101,INT((ROW()-6)/17)+1))</f>
        <v/>
      </c>
      <c r="D1682" s="6" t="str">
        <f>IF($A1682="","",INDEX(Project_Tracker!$T$2:$T$101,INT((ROW()-6)/17)+1))</f>
        <v/>
      </c>
      <c r="E1682" s="18">
        <f t="shared" si="130"/>
        <v>11</v>
      </c>
      <c r="F1682" s="23" t="str">
        <f>IF($A1682="","",INDEX('Logic &amp; Lists'!$I$4:$I$20,$E1682))</f>
        <v/>
      </c>
      <c r="G1682" s="18" t="str">
        <f>IF($A1682="","",INDEX('Logic &amp; Lists'!$J$4:$J$20,$E1682))</f>
        <v/>
      </c>
      <c r="H1682" s="6" t="str">
        <f t="shared" si="131"/>
        <v/>
      </c>
      <c r="I1682" s="18" t="str">
        <f t="shared" ca="1" si="132"/>
        <v/>
      </c>
      <c r="J1682" s="5" t="str">
        <f t="shared" si="133"/>
        <v/>
      </c>
      <c r="K1682" s="25"/>
      <c r="L1682" s="5" t="str">
        <f t="shared" si="134"/>
        <v/>
      </c>
      <c r="M1682" s="7"/>
      <c r="N1682" s="7"/>
      <c r="O1682" s="7"/>
      <c r="P1682" s="20" t="str">
        <f>IF($A1682="","",INDEX(Project_Tracker!$I$2:$I$101,INT((ROW()-6)/17)+1))</f>
        <v/>
      </c>
      <c r="Q1682" s="20" t="str">
        <f>IF($A1682="","",INDEX(Project_Tracker!$K$2:$K$101,INT((ROW()-6)/17)+1))</f>
        <v/>
      </c>
    </row>
    <row r="1683" spans="1:17" x14ac:dyDescent="0.2">
      <c r="A1683" s="20" t="str">
        <f>IF(INDEX(Project_Tracker!$AL$2:$AL$101,INT((ROW()-6)/17)+1)="","",INDEX(Project_Tracker!$AL$2:$AL$101,INT((ROW()-6)/17)+1))</f>
        <v/>
      </c>
      <c r="B1683" s="21" t="str">
        <f>IF($A1683="","",INDEX(Project_Tracker!$AM$2:$AM$101,INT((ROW()-6)/17)+1))</f>
        <v/>
      </c>
      <c r="C1683" s="20" t="str">
        <f>IF($A1683="","",INDEX(Project_Tracker!$C$2:$C$101,INT((ROW()-6)/17)+1))</f>
        <v/>
      </c>
      <c r="D1683" s="6" t="str">
        <f>IF($A1683="","",INDEX(Project_Tracker!$T$2:$T$101,INT((ROW()-6)/17)+1))</f>
        <v/>
      </c>
      <c r="E1683" s="18">
        <f t="shared" si="130"/>
        <v>12</v>
      </c>
      <c r="F1683" s="23" t="str">
        <f>IF($A1683="","",INDEX('Logic &amp; Lists'!$I$4:$I$20,$E1683))</f>
        <v/>
      </c>
      <c r="G1683" s="18" t="str">
        <f>IF($A1683="","",INDEX('Logic &amp; Lists'!$J$4:$J$20,$E1683))</f>
        <v/>
      </c>
      <c r="H1683" s="6" t="str">
        <f t="shared" si="131"/>
        <v/>
      </c>
      <c r="I1683" s="18" t="str">
        <f t="shared" ca="1" si="132"/>
        <v/>
      </c>
      <c r="J1683" s="5" t="str">
        <f t="shared" si="133"/>
        <v/>
      </c>
      <c r="K1683" s="25"/>
      <c r="L1683" s="5" t="str">
        <f t="shared" si="134"/>
        <v/>
      </c>
      <c r="M1683" s="7"/>
      <c r="N1683" s="7"/>
      <c r="O1683" s="7"/>
      <c r="P1683" s="20" t="str">
        <f>IF($A1683="","",INDEX(Project_Tracker!$I$2:$I$101,INT((ROW()-6)/17)+1))</f>
        <v/>
      </c>
      <c r="Q1683" s="20" t="str">
        <f>IF($A1683="","",INDEX(Project_Tracker!$K$2:$K$101,INT((ROW()-6)/17)+1))</f>
        <v/>
      </c>
    </row>
    <row r="1684" spans="1:17" x14ac:dyDescent="0.2">
      <c r="A1684" s="20" t="str">
        <f>IF(INDEX(Project_Tracker!$AL$2:$AL$101,INT((ROW()-6)/17)+1)="","",INDEX(Project_Tracker!$AL$2:$AL$101,INT((ROW()-6)/17)+1))</f>
        <v/>
      </c>
      <c r="B1684" s="21" t="str">
        <f>IF($A1684="","",INDEX(Project_Tracker!$AM$2:$AM$101,INT((ROW()-6)/17)+1))</f>
        <v/>
      </c>
      <c r="C1684" s="20" t="str">
        <f>IF($A1684="","",INDEX(Project_Tracker!$C$2:$C$101,INT((ROW()-6)/17)+1))</f>
        <v/>
      </c>
      <c r="D1684" s="6" t="str">
        <f>IF($A1684="","",INDEX(Project_Tracker!$T$2:$T$101,INT((ROW()-6)/17)+1))</f>
        <v/>
      </c>
      <c r="E1684" s="18">
        <f t="shared" si="130"/>
        <v>13</v>
      </c>
      <c r="F1684" s="23" t="str">
        <f>IF($A1684="","",INDEX('Logic &amp; Lists'!$I$4:$I$20,$E1684))</f>
        <v/>
      </c>
      <c r="G1684" s="18" t="str">
        <f>IF($A1684="","",INDEX('Logic &amp; Lists'!$J$4:$J$20,$E1684))</f>
        <v/>
      </c>
      <c r="H1684" s="6" t="str">
        <f t="shared" si="131"/>
        <v/>
      </c>
      <c r="I1684" s="18" t="str">
        <f t="shared" ca="1" si="132"/>
        <v/>
      </c>
      <c r="J1684" s="5" t="str">
        <f t="shared" si="133"/>
        <v/>
      </c>
      <c r="K1684" s="25"/>
      <c r="L1684" s="5" t="str">
        <f t="shared" si="134"/>
        <v/>
      </c>
      <c r="M1684" s="7"/>
      <c r="N1684" s="7"/>
      <c r="O1684" s="7"/>
      <c r="P1684" s="20" t="str">
        <f>IF($A1684="","",INDEX(Project_Tracker!$I$2:$I$101,INT((ROW()-6)/17)+1))</f>
        <v/>
      </c>
      <c r="Q1684" s="20" t="str">
        <f>IF($A1684="","",INDEX(Project_Tracker!$K$2:$K$101,INT((ROW()-6)/17)+1))</f>
        <v/>
      </c>
    </row>
    <row r="1685" spans="1:17" x14ac:dyDescent="0.2">
      <c r="A1685" s="20" t="str">
        <f>IF(INDEX(Project_Tracker!$AL$2:$AL$101,INT((ROW()-6)/17)+1)="","",INDEX(Project_Tracker!$AL$2:$AL$101,INT((ROW()-6)/17)+1))</f>
        <v/>
      </c>
      <c r="B1685" s="21" t="str">
        <f>IF($A1685="","",INDEX(Project_Tracker!$AM$2:$AM$101,INT((ROW()-6)/17)+1))</f>
        <v/>
      </c>
      <c r="C1685" s="20" t="str">
        <f>IF($A1685="","",INDEX(Project_Tracker!$C$2:$C$101,INT((ROW()-6)/17)+1))</f>
        <v/>
      </c>
      <c r="D1685" s="6" t="str">
        <f>IF($A1685="","",INDEX(Project_Tracker!$T$2:$T$101,INT((ROW()-6)/17)+1))</f>
        <v/>
      </c>
      <c r="E1685" s="18">
        <f t="shared" si="130"/>
        <v>14</v>
      </c>
      <c r="F1685" s="23" t="str">
        <f>IF($A1685="","",INDEX('Logic &amp; Lists'!$I$4:$I$20,$E1685))</f>
        <v/>
      </c>
      <c r="G1685" s="18" t="str">
        <f>IF($A1685="","",INDEX('Logic &amp; Lists'!$J$4:$J$20,$E1685))</f>
        <v/>
      </c>
      <c r="H1685" s="6" t="str">
        <f t="shared" si="131"/>
        <v/>
      </c>
      <c r="I1685" s="18" t="str">
        <f t="shared" ca="1" si="132"/>
        <v/>
      </c>
      <c r="J1685" s="5" t="str">
        <f t="shared" si="133"/>
        <v/>
      </c>
      <c r="K1685" s="25"/>
      <c r="L1685" s="5" t="str">
        <f t="shared" si="134"/>
        <v/>
      </c>
      <c r="M1685" s="7"/>
      <c r="N1685" s="7"/>
      <c r="O1685" s="7"/>
      <c r="P1685" s="20" t="str">
        <f>IF($A1685="","",INDEX(Project_Tracker!$I$2:$I$101,INT((ROW()-6)/17)+1))</f>
        <v/>
      </c>
      <c r="Q1685" s="20" t="str">
        <f>IF($A1685="","",INDEX(Project_Tracker!$K$2:$K$101,INT((ROW()-6)/17)+1))</f>
        <v/>
      </c>
    </row>
    <row r="1686" spans="1:17" x14ac:dyDescent="0.2">
      <c r="A1686" s="20" t="str">
        <f>IF(INDEX(Project_Tracker!$AL$2:$AL$101,INT((ROW()-6)/17)+1)="","",INDEX(Project_Tracker!$AL$2:$AL$101,INT((ROW()-6)/17)+1))</f>
        <v/>
      </c>
      <c r="B1686" s="21" t="str">
        <f>IF($A1686="","",INDEX(Project_Tracker!$AM$2:$AM$101,INT((ROW()-6)/17)+1))</f>
        <v/>
      </c>
      <c r="C1686" s="20" t="str">
        <f>IF($A1686="","",INDEX(Project_Tracker!$C$2:$C$101,INT((ROW()-6)/17)+1))</f>
        <v/>
      </c>
      <c r="D1686" s="6" t="str">
        <f>IF($A1686="","",INDEX(Project_Tracker!$T$2:$T$101,INT((ROW()-6)/17)+1))</f>
        <v/>
      </c>
      <c r="E1686" s="18">
        <f t="shared" si="130"/>
        <v>15</v>
      </c>
      <c r="F1686" s="23" t="str">
        <f>IF($A1686="","",INDEX('Logic &amp; Lists'!$I$4:$I$20,$E1686))</f>
        <v/>
      </c>
      <c r="G1686" s="18" t="str">
        <f>IF($A1686="","",INDEX('Logic &amp; Lists'!$J$4:$J$20,$E1686))</f>
        <v/>
      </c>
      <c r="H1686" s="6" t="str">
        <f t="shared" si="131"/>
        <v/>
      </c>
      <c r="I1686" s="18" t="str">
        <f t="shared" ca="1" si="132"/>
        <v/>
      </c>
      <c r="J1686" s="5" t="str">
        <f t="shared" si="133"/>
        <v/>
      </c>
      <c r="K1686" s="25"/>
      <c r="L1686" s="5" t="str">
        <f t="shared" si="134"/>
        <v/>
      </c>
      <c r="M1686" s="7"/>
      <c r="N1686" s="7"/>
      <c r="O1686" s="7"/>
      <c r="P1686" s="20" t="str">
        <f>IF($A1686="","",INDEX(Project_Tracker!$I$2:$I$101,INT((ROW()-6)/17)+1))</f>
        <v/>
      </c>
      <c r="Q1686" s="20" t="str">
        <f>IF($A1686="","",INDEX(Project_Tracker!$K$2:$K$101,INT((ROW()-6)/17)+1))</f>
        <v/>
      </c>
    </row>
    <row r="1687" spans="1:17" x14ac:dyDescent="0.2">
      <c r="A1687" s="20" t="str">
        <f>IF(INDEX(Project_Tracker!$AL$2:$AL$101,INT((ROW()-6)/17)+1)="","",INDEX(Project_Tracker!$AL$2:$AL$101,INT((ROW()-6)/17)+1))</f>
        <v/>
      </c>
      <c r="B1687" s="21" t="str">
        <f>IF($A1687="","",INDEX(Project_Tracker!$AM$2:$AM$101,INT((ROW()-6)/17)+1))</f>
        <v/>
      </c>
      <c r="C1687" s="20" t="str">
        <f>IF($A1687="","",INDEX(Project_Tracker!$C$2:$C$101,INT((ROW()-6)/17)+1))</f>
        <v/>
      </c>
      <c r="D1687" s="6" t="str">
        <f>IF($A1687="","",INDEX(Project_Tracker!$T$2:$T$101,INT((ROW()-6)/17)+1))</f>
        <v/>
      </c>
      <c r="E1687" s="18">
        <f t="shared" si="130"/>
        <v>16</v>
      </c>
      <c r="F1687" s="23" t="str">
        <f>IF($A1687="","",INDEX('Logic &amp; Lists'!$I$4:$I$20,$E1687))</f>
        <v/>
      </c>
      <c r="G1687" s="18" t="str">
        <f>IF($A1687="","",INDEX('Logic &amp; Lists'!$J$4:$J$20,$E1687))</f>
        <v/>
      </c>
      <c r="H1687" s="6" t="str">
        <f t="shared" si="131"/>
        <v/>
      </c>
      <c r="I1687" s="18" t="str">
        <f t="shared" ca="1" si="132"/>
        <v/>
      </c>
      <c r="J1687" s="5" t="str">
        <f t="shared" si="133"/>
        <v/>
      </c>
      <c r="K1687" s="25"/>
      <c r="L1687" s="5" t="str">
        <f t="shared" si="134"/>
        <v/>
      </c>
      <c r="M1687" s="7"/>
      <c r="N1687" s="7"/>
      <c r="O1687" s="7"/>
      <c r="P1687" s="20" t="str">
        <f>IF($A1687="","",INDEX(Project_Tracker!$I$2:$I$101,INT((ROW()-6)/17)+1))</f>
        <v/>
      </c>
      <c r="Q1687" s="20" t="str">
        <f>IF($A1687="","",INDEX(Project_Tracker!$K$2:$K$101,INT((ROW()-6)/17)+1))</f>
        <v/>
      </c>
    </row>
    <row r="1688" spans="1:17" x14ac:dyDescent="0.2">
      <c r="A1688" s="20" t="str">
        <f>IF(INDEX(Project_Tracker!$AL$2:$AL$101,INT((ROW()-6)/17)+1)="","",INDEX(Project_Tracker!$AL$2:$AL$101,INT((ROW()-6)/17)+1))</f>
        <v/>
      </c>
      <c r="B1688" s="21" t="str">
        <f>IF($A1688="","",INDEX(Project_Tracker!$AM$2:$AM$101,INT((ROW()-6)/17)+1))</f>
        <v/>
      </c>
      <c r="C1688" s="20" t="str">
        <f>IF($A1688="","",INDEX(Project_Tracker!$C$2:$C$101,INT((ROW()-6)/17)+1))</f>
        <v/>
      </c>
      <c r="D1688" s="6" t="str">
        <f>IF($A1688="","",INDEX(Project_Tracker!$T$2:$T$101,INT((ROW()-6)/17)+1))</f>
        <v/>
      </c>
      <c r="E1688" s="18">
        <f t="shared" si="130"/>
        <v>17</v>
      </c>
      <c r="F1688" s="23" t="str">
        <f>IF($A1688="","",INDEX('Logic &amp; Lists'!$I$4:$I$20,$E1688))</f>
        <v/>
      </c>
      <c r="G1688" s="18" t="str">
        <f>IF($A1688="","",INDEX('Logic &amp; Lists'!$J$4:$J$20,$E1688))</f>
        <v/>
      </c>
      <c r="H1688" s="6" t="str">
        <f t="shared" si="131"/>
        <v/>
      </c>
      <c r="I1688" s="18" t="str">
        <f t="shared" ca="1" si="132"/>
        <v/>
      </c>
      <c r="J1688" s="5" t="str">
        <f t="shared" si="133"/>
        <v/>
      </c>
      <c r="K1688" s="25"/>
      <c r="L1688" s="5" t="str">
        <f t="shared" si="134"/>
        <v/>
      </c>
      <c r="M1688" s="7"/>
      <c r="N1688" s="7"/>
      <c r="O1688" s="7"/>
      <c r="P1688" s="20" t="str">
        <f>IF($A1688="","",INDEX(Project_Tracker!$I$2:$I$101,INT((ROW()-6)/17)+1))</f>
        <v/>
      </c>
      <c r="Q1688" s="20" t="str">
        <f>IF($A1688="","",INDEX(Project_Tracker!$K$2:$K$101,INT((ROW()-6)/17)+1))</f>
        <v/>
      </c>
    </row>
    <row r="1689" spans="1:17" x14ac:dyDescent="0.2">
      <c r="A1689" s="20" t="str">
        <f>IF(INDEX(Project_Tracker!$AL$2:$AL$101,INT((ROW()-6)/17)+1)="","",INDEX(Project_Tracker!$AL$2:$AL$101,INT((ROW()-6)/17)+1))</f>
        <v/>
      </c>
      <c r="B1689" s="21" t="str">
        <f>IF($A1689="","",INDEX(Project_Tracker!$AM$2:$AM$101,INT((ROW()-6)/17)+1))</f>
        <v/>
      </c>
      <c r="C1689" s="20" t="str">
        <f>IF($A1689="","",INDEX(Project_Tracker!$C$2:$C$101,INT((ROW()-6)/17)+1))</f>
        <v/>
      </c>
      <c r="D1689" s="6" t="str">
        <f>IF($A1689="","",INDEX(Project_Tracker!$T$2:$T$101,INT((ROW()-6)/17)+1))</f>
        <v/>
      </c>
      <c r="E1689" s="18">
        <f t="shared" si="130"/>
        <v>1</v>
      </c>
      <c r="F1689" s="23" t="str">
        <f>IF($A1689="","",INDEX('Logic &amp; Lists'!$I$4:$I$20,$E1689))</f>
        <v/>
      </c>
      <c r="G1689" s="18" t="str">
        <f>IF($A1689="","",INDEX('Logic &amp; Lists'!$J$4:$J$20,$E1689))</f>
        <v/>
      </c>
      <c r="H1689" s="6" t="str">
        <f t="shared" si="131"/>
        <v/>
      </c>
      <c r="I1689" s="18" t="str">
        <f t="shared" ca="1" si="132"/>
        <v/>
      </c>
      <c r="J1689" s="5" t="str">
        <f t="shared" si="133"/>
        <v/>
      </c>
      <c r="K1689" s="25"/>
      <c r="L1689" s="5" t="str">
        <f t="shared" si="134"/>
        <v/>
      </c>
      <c r="M1689" s="7"/>
      <c r="N1689" s="7"/>
      <c r="O1689" s="7"/>
      <c r="P1689" s="20" t="str">
        <f>IF($A1689="","",INDEX(Project_Tracker!$I$2:$I$101,INT((ROW()-6)/17)+1))</f>
        <v/>
      </c>
      <c r="Q1689" s="20" t="str">
        <f>IF($A1689="","",INDEX(Project_Tracker!$K$2:$K$101,INT((ROW()-6)/17)+1))</f>
        <v/>
      </c>
    </row>
    <row r="1690" spans="1:17" x14ac:dyDescent="0.2">
      <c r="A1690" s="20" t="str">
        <f>IF(INDEX(Project_Tracker!$AL$2:$AL$101,INT((ROW()-6)/17)+1)="","",INDEX(Project_Tracker!$AL$2:$AL$101,INT((ROW()-6)/17)+1))</f>
        <v/>
      </c>
      <c r="B1690" s="21" t="str">
        <f>IF($A1690="","",INDEX(Project_Tracker!$AM$2:$AM$101,INT((ROW()-6)/17)+1))</f>
        <v/>
      </c>
      <c r="C1690" s="20" t="str">
        <f>IF($A1690="","",INDEX(Project_Tracker!$C$2:$C$101,INT((ROW()-6)/17)+1))</f>
        <v/>
      </c>
      <c r="D1690" s="6" t="str">
        <f>IF($A1690="","",INDEX(Project_Tracker!$T$2:$T$101,INT((ROW()-6)/17)+1))</f>
        <v/>
      </c>
      <c r="E1690" s="18">
        <f t="shared" si="130"/>
        <v>2</v>
      </c>
      <c r="F1690" s="23" t="str">
        <f>IF($A1690="","",INDEX('Logic &amp; Lists'!$I$4:$I$20,$E1690))</f>
        <v/>
      </c>
      <c r="G1690" s="18" t="str">
        <f>IF($A1690="","",INDEX('Logic &amp; Lists'!$J$4:$J$20,$E1690))</f>
        <v/>
      </c>
      <c r="H1690" s="6" t="str">
        <f t="shared" si="131"/>
        <v/>
      </c>
      <c r="I1690" s="18" t="str">
        <f t="shared" ca="1" si="132"/>
        <v/>
      </c>
      <c r="J1690" s="5" t="str">
        <f t="shared" si="133"/>
        <v/>
      </c>
      <c r="K1690" s="25"/>
      <c r="L1690" s="5" t="str">
        <f t="shared" si="134"/>
        <v/>
      </c>
      <c r="M1690" s="7"/>
      <c r="N1690" s="7"/>
      <c r="O1690" s="7"/>
      <c r="P1690" s="20" t="str">
        <f>IF($A1690="","",INDEX(Project_Tracker!$I$2:$I$101,INT((ROW()-6)/17)+1))</f>
        <v/>
      </c>
      <c r="Q1690" s="20" t="str">
        <f>IF($A1690="","",INDEX(Project_Tracker!$K$2:$K$101,INT((ROW()-6)/17)+1))</f>
        <v/>
      </c>
    </row>
    <row r="1691" spans="1:17" x14ac:dyDescent="0.2">
      <c r="A1691" s="20" t="str">
        <f>IF(INDEX(Project_Tracker!$AL$2:$AL$101,INT((ROW()-6)/17)+1)="","",INDEX(Project_Tracker!$AL$2:$AL$101,INT((ROW()-6)/17)+1))</f>
        <v/>
      </c>
      <c r="B1691" s="21" t="str">
        <f>IF($A1691="","",INDEX(Project_Tracker!$AM$2:$AM$101,INT((ROW()-6)/17)+1))</f>
        <v/>
      </c>
      <c r="C1691" s="20" t="str">
        <f>IF($A1691="","",INDEX(Project_Tracker!$C$2:$C$101,INT((ROW()-6)/17)+1))</f>
        <v/>
      </c>
      <c r="D1691" s="6" t="str">
        <f>IF($A1691="","",INDEX(Project_Tracker!$T$2:$T$101,INT((ROW()-6)/17)+1))</f>
        <v/>
      </c>
      <c r="E1691" s="18">
        <f t="shared" si="130"/>
        <v>3</v>
      </c>
      <c r="F1691" s="23" t="str">
        <f>IF($A1691="","",INDEX('Logic &amp; Lists'!$I$4:$I$20,$E1691))</f>
        <v/>
      </c>
      <c r="G1691" s="18" t="str">
        <f>IF($A1691="","",INDEX('Logic &amp; Lists'!$J$4:$J$20,$E1691))</f>
        <v/>
      </c>
      <c r="H1691" s="6" t="str">
        <f t="shared" si="131"/>
        <v/>
      </c>
      <c r="I1691" s="18" t="str">
        <f t="shared" ca="1" si="132"/>
        <v/>
      </c>
      <c r="J1691" s="5" t="str">
        <f t="shared" si="133"/>
        <v/>
      </c>
      <c r="K1691" s="25"/>
      <c r="L1691" s="5" t="str">
        <f t="shared" si="134"/>
        <v/>
      </c>
      <c r="M1691" s="7"/>
      <c r="N1691" s="7"/>
      <c r="O1691" s="7"/>
      <c r="P1691" s="20" t="str">
        <f>IF($A1691="","",INDEX(Project_Tracker!$I$2:$I$101,INT((ROW()-6)/17)+1))</f>
        <v/>
      </c>
      <c r="Q1691" s="20" t="str">
        <f>IF($A1691="","",INDEX(Project_Tracker!$K$2:$K$101,INT((ROW()-6)/17)+1))</f>
        <v/>
      </c>
    </row>
    <row r="1692" spans="1:17" x14ac:dyDescent="0.2">
      <c r="A1692" s="20" t="str">
        <f>IF(INDEX(Project_Tracker!$AL$2:$AL$101,INT((ROW()-6)/17)+1)="","",INDEX(Project_Tracker!$AL$2:$AL$101,INT((ROW()-6)/17)+1))</f>
        <v/>
      </c>
      <c r="B1692" s="21" t="str">
        <f>IF($A1692="","",INDEX(Project_Tracker!$AM$2:$AM$101,INT((ROW()-6)/17)+1))</f>
        <v/>
      </c>
      <c r="C1692" s="20" t="str">
        <f>IF($A1692="","",INDEX(Project_Tracker!$C$2:$C$101,INT((ROW()-6)/17)+1))</f>
        <v/>
      </c>
      <c r="D1692" s="6" t="str">
        <f>IF($A1692="","",INDEX(Project_Tracker!$T$2:$T$101,INT((ROW()-6)/17)+1))</f>
        <v/>
      </c>
      <c r="E1692" s="18">
        <f t="shared" si="130"/>
        <v>4</v>
      </c>
      <c r="F1692" s="23" t="str">
        <f>IF($A1692="","",INDEX('Logic &amp; Lists'!$I$4:$I$20,$E1692))</f>
        <v/>
      </c>
      <c r="G1692" s="18" t="str">
        <f>IF($A1692="","",INDEX('Logic &amp; Lists'!$J$4:$J$20,$E1692))</f>
        <v/>
      </c>
      <c r="H1692" s="6" t="str">
        <f t="shared" si="131"/>
        <v/>
      </c>
      <c r="I1692" s="18" t="str">
        <f t="shared" ca="1" si="132"/>
        <v/>
      </c>
      <c r="J1692" s="5" t="str">
        <f t="shared" si="133"/>
        <v/>
      </c>
      <c r="K1692" s="25"/>
      <c r="L1692" s="5" t="str">
        <f t="shared" si="134"/>
        <v/>
      </c>
      <c r="M1692" s="7"/>
      <c r="N1692" s="7"/>
      <c r="O1692" s="7"/>
      <c r="P1692" s="20" t="str">
        <f>IF($A1692="","",INDEX(Project_Tracker!$I$2:$I$101,INT((ROW()-6)/17)+1))</f>
        <v/>
      </c>
      <c r="Q1692" s="20" t="str">
        <f>IF($A1692="","",INDEX(Project_Tracker!$K$2:$K$101,INT((ROW()-6)/17)+1))</f>
        <v/>
      </c>
    </row>
    <row r="1693" spans="1:17" x14ac:dyDescent="0.2">
      <c r="A1693" s="20" t="str">
        <f>IF(INDEX(Project_Tracker!$AL$2:$AL$101,INT((ROW()-6)/17)+1)="","",INDEX(Project_Tracker!$AL$2:$AL$101,INT((ROW()-6)/17)+1))</f>
        <v/>
      </c>
      <c r="B1693" s="21" t="str">
        <f>IF($A1693="","",INDEX(Project_Tracker!$AM$2:$AM$101,INT((ROW()-6)/17)+1))</f>
        <v/>
      </c>
      <c r="C1693" s="20" t="str">
        <f>IF($A1693="","",INDEX(Project_Tracker!$C$2:$C$101,INT((ROW()-6)/17)+1))</f>
        <v/>
      </c>
      <c r="D1693" s="6" t="str">
        <f>IF($A1693="","",INDEX(Project_Tracker!$T$2:$T$101,INT((ROW()-6)/17)+1))</f>
        <v/>
      </c>
      <c r="E1693" s="18">
        <f t="shared" si="130"/>
        <v>5</v>
      </c>
      <c r="F1693" s="23" t="str">
        <f>IF($A1693="","",INDEX('Logic &amp; Lists'!$I$4:$I$20,$E1693))</f>
        <v/>
      </c>
      <c r="G1693" s="18" t="str">
        <f>IF($A1693="","",INDEX('Logic &amp; Lists'!$J$4:$J$20,$E1693))</f>
        <v/>
      </c>
      <c r="H1693" s="6" t="str">
        <f t="shared" si="131"/>
        <v/>
      </c>
      <c r="I1693" s="18" t="str">
        <f t="shared" ca="1" si="132"/>
        <v/>
      </c>
      <c r="J1693" s="5" t="str">
        <f t="shared" si="133"/>
        <v/>
      </c>
      <c r="K1693" s="25"/>
      <c r="L1693" s="5" t="str">
        <f t="shared" si="134"/>
        <v/>
      </c>
      <c r="M1693" s="7"/>
      <c r="N1693" s="7"/>
      <c r="O1693" s="7"/>
      <c r="P1693" s="20" t="str">
        <f>IF($A1693="","",INDEX(Project_Tracker!$I$2:$I$101,INT((ROW()-6)/17)+1))</f>
        <v/>
      </c>
      <c r="Q1693" s="20" t="str">
        <f>IF($A1693="","",INDEX(Project_Tracker!$K$2:$K$101,INT((ROW()-6)/17)+1))</f>
        <v/>
      </c>
    </row>
    <row r="1694" spans="1:17" x14ac:dyDescent="0.2">
      <c r="A1694" s="20" t="str">
        <f>IF(INDEX(Project_Tracker!$AL$2:$AL$101,INT((ROW()-6)/17)+1)="","",INDEX(Project_Tracker!$AL$2:$AL$101,INT((ROW()-6)/17)+1))</f>
        <v/>
      </c>
      <c r="B1694" s="21" t="str">
        <f>IF($A1694="","",INDEX(Project_Tracker!$AM$2:$AM$101,INT((ROW()-6)/17)+1))</f>
        <v/>
      </c>
      <c r="C1694" s="20" t="str">
        <f>IF($A1694="","",INDEX(Project_Tracker!$C$2:$C$101,INT((ROW()-6)/17)+1))</f>
        <v/>
      </c>
      <c r="D1694" s="6" t="str">
        <f>IF($A1694="","",INDEX(Project_Tracker!$T$2:$T$101,INT((ROW()-6)/17)+1))</f>
        <v/>
      </c>
      <c r="E1694" s="18">
        <f t="shared" si="130"/>
        <v>6</v>
      </c>
      <c r="F1694" s="23" t="str">
        <f>IF($A1694="","",INDEX('Logic &amp; Lists'!$I$4:$I$20,$E1694))</f>
        <v/>
      </c>
      <c r="G1694" s="18" t="str">
        <f>IF($A1694="","",INDEX('Logic &amp; Lists'!$J$4:$J$20,$E1694))</f>
        <v/>
      </c>
      <c r="H1694" s="6" t="str">
        <f t="shared" si="131"/>
        <v/>
      </c>
      <c r="I1694" s="18" t="str">
        <f t="shared" ca="1" si="132"/>
        <v/>
      </c>
      <c r="J1694" s="5" t="str">
        <f t="shared" si="133"/>
        <v/>
      </c>
      <c r="K1694" s="25"/>
      <c r="L1694" s="5" t="str">
        <f t="shared" si="134"/>
        <v/>
      </c>
      <c r="M1694" s="7"/>
      <c r="N1694" s="7"/>
      <c r="O1694" s="7"/>
      <c r="P1694" s="20" t="str">
        <f>IF($A1694="","",INDEX(Project_Tracker!$I$2:$I$101,INT((ROW()-6)/17)+1))</f>
        <v/>
      </c>
      <c r="Q1694" s="20" t="str">
        <f>IF($A1694="","",INDEX(Project_Tracker!$K$2:$K$101,INT((ROW()-6)/17)+1))</f>
        <v/>
      </c>
    </row>
    <row r="1695" spans="1:17" x14ac:dyDescent="0.2">
      <c r="A1695" s="20" t="str">
        <f>IF(INDEX(Project_Tracker!$AL$2:$AL$101,INT((ROW()-6)/17)+1)="","",INDEX(Project_Tracker!$AL$2:$AL$101,INT((ROW()-6)/17)+1))</f>
        <v/>
      </c>
      <c r="B1695" s="21" t="str">
        <f>IF($A1695="","",INDEX(Project_Tracker!$AM$2:$AM$101,INT((ROW()-6)/17)+1))</f>
        <v/>
      </c>
      <c r="C1695" s="20" t="str">
        <f>IF($A1695="","",INDEX(Project_Tracker!$C$2:$C$101,INT((ROW()-6)/17)+1))</f>
        <v/>
      </c>
      <c r="D1695" s="6" t="str">
        <f>IF($A1695="","",INDEX(Project_Tracker!$T$2:$T$101,INT((ROW()-6)/17)+1))</f>
        <v/>
      </c>
      <c r="E1695" s="18">
        <f t="shared" si="130"/>
        <v>7</v>
      </c>
      <c r="F1695" s="23" t="str">
        <f>IF($A1695="","",INDEX('Logic &amp; Lists'!$I$4:$I$20,$E1695))</f>
        <v/>
      </c>
      <c r="G1695" s="18" t="str">
        <f>IF($A1695="","",INDEX('Logic &amp; Lists'!$J$4:$J$20,$E1695))</f>
        <v/>
      </c>
      <c r="H1695" s="6" t="str">
        <f t="shared" si="131"/>
        <v/>
      </c>
      <c r="I1695" s="18" t="str">
        <f t="shared" ca="1" si="132"/>
        <v/>
      </c>
      <c r="J1695" s="5" t="str">
        <f t="shared" si="133"/>
        <v/>
      </c>
      <c r="K1695" s="25"/>
      <c r="L1695" s="5" t="str">
        <f t="shared" si="134"/>
        <v/>
      </c>
      <c r="M1695" s="7"/>
      <c r="N1695" s="7"/>
      <c r="O1695" s="7"/>
      <c r="P1695" s="20" t="str">
        <f>IF($A1695="","",INDEX(Project_Tracker!$I$2:$I$101,INT((ROW()-6)/17)+1))</f>
        <v/>
      </c>
      <c r="Q1695" s="20" t="str">
        <f>IF($A1695="","",INDEX(Project_Tracker!$K$2:$K$101,INT((ROW()-6)/17)+1))</f>
        <v/>
      </c>
    </row>
    <row r="1696" spans="1:17" x14ac:dyDescent="0.2">
      <c r="A1696" s="20" t="str">
        <f>IF(INDEX(Project_Tracker!$AL$2:$AL$101,INT((ROW()-6)/17)+1)="","",INDEX(Project_Tracker!$AL$2:$AL$101,INT((ROW()-6)/17)+1))</f>
        <v/>
      </c>
      <c r="B1696" s="21" t="str">
        <f>IF($A1696="","",INDEX(Project_Tracker!$AM$2:$AM$101,INT((ROW()-6)/17)+1))</f>
        <v/>
      </c>
      <c r="C1696" s="20" t="str">
        <f>IF($A1696="","",INDEX(Project_Tracker!$C$2:$C$101,INT((ROW()-6)/17)+1))</f>
        <v/>
      </c>
      <c r="D1696" s="6" t="str">
        <f>IF($A1696="","",INDEX(Project_Tracker!$T$2:$T$101,INT((ROW()-6)/17)+1))</f>
        <v/>
      </c>
      <c r="E1696" s="18">
        <f t="shared" si="130"/>
        <v>8</v>
      </c>
      <c r="F1696" s="23" t="str">
        <f>IF($A1696="","",INDEX('Logic &amp; Lists'!$I$4:$I$20,$E1696))</f>
        <v/>
      </c>
      <c r="G1696" s="18" t="str">
        <f>IF($A1696="","",INDEX('Logic &amp; Lists'!$J$4:$J$20,$E1696))</f>
        <v/>
      </c>
      <c r="H1696" s="6" t="str">
        <f t="shared" si="131"/>
        <v/>
      </c>
      <c r="I1696" s="18" t="str">
        <f t="shared" ca="1" si="132"/>
        <v/>
      </c>
      <c r="J1696" s="5" t="str">
        <f t="shared" si="133"/>
        <v/>
      </c>
      <c r="K1696" s="25"/>
      <c r="L1696" s="5" t="str">
        <f t="shared" si="134"/>
        <v/>
      </c>
      <c r="M1696" s="7"/>
      <c r="N1696" s="7"/>
      <c r="O1696" s="7"/>
      <c r="P1696" s="20" t="str">
        <f>IF($A1696="","",INDEX(Project_Tracker!$I$2:$I$101,INT((ROW()-6)/17)+1))</f>
        <v/>
      </c>
      <c r="Q1696" s="20" t="str">
        <f>IF($A1696="","",INDEX(Project_Tracker!$K$2:$K$101,INT((ROW()-6)/17)+1))</f>
        <v/>
      </c>
    </row>
    <row r="1697" spans="1:17" x14ac:dyDescent="0.2">
      <c r="A1697" s="20" t="str">
        <f>IF(INDEX(Project_Tracker!$AL$2:$AL$101,INT((ROW()-6)/17)+1)="","",INDEX(Project_Tracker!$AL$2:$AL$101,INT((ROW()-6)/17)+1))</f>
        <v/>
      </c>
      <c r="B1697" s="21" t="str">
        <f>IF($A1697="","",INDEX(Project_Tracker!$AM$2:$AM$101,INT((ROW()-6)/17)+1))</f>
        <v/>
      </c>
      <c r="C1697" s="20" t="str">
        <f>IF($A1697="","",INDEX(Project_Tracker!$C$2:$C$101,INT((ROW()-6)/17)+1))</f>
        <v/>
      </c>
      <c r="D1697" s="6" t="str">
        <f>IF($A1697="","",INDEX(Project_Tracker!$T$2:$T$101,INT((ROW()-6)/17)+1))</f>
        <v/>
      </c>
      <c r="E1697" s="18">
        <f t="shared" si="130"/>
        <v>9</v>
      </c>
      <c r="F1697" s="23" t="str">
        <f>IF($A1697="","",INDEX('Logic &amp; Lists'!$I$4:$I$20,$E1697))</f>
        <v/>
      </c>
      <c r="G1697" s="18" t="str">
        <f>IF($A1697="","",INDEX('Logic &amp; Lists'!$J$4:$J$20,$E1697))</f>
        <v/>
      </c>
      <c r="H1697" s="6" t="str">
        <f t="shared" si="131"/>
        <v/>
      </c>
      <c r="I1697" s="18" t="str">
        <f t="shared" ca="1" si="132"/>
        <v/>
      </c>
      <c r="J1697" s="5" t="str">
        <f t="shared" si="133"/>
        <v/>
      </c>
      <c r="K1697" s="25"/>
      <c r="L1697" s="5" t="str">
        <f t="shared" si="134"/>
        <v/>
      </c>
      <c r="M1697" s="7"/>
      <c r="N1697" s="7"/>
      <c r="O1697" s="7"/>
      <c r="P1697" s="20" t="str">
        <f>IF($A1697="","",INDEX(Project_Tracker!$I$2:$I$101,INT((ROW()-6)/17)+1))</f>
        <v/>
      </c>
      <c r="Q1697" s="20" t="str">
        <f>IF($A1697="","",INDEX(Project_Tracker!$K$2:$K$101,INT((ROW()-6)/17)+1))</f>
        <v/>
      </c>
    </row>
    <row r="1698" spans="1:17" x14ac:dyDescent="0.2">
      <c r="A1698" s="20" t="str">
        <f>IF(INDEX(Project_Tracker!$AL$2:$AL$101,INT((ROW()-6)/17)+1)="","",INDEX(Project_Tracker!$AL$2:$AL$101,INT((ROW()-6)/17)+1))</f>
        <v/>
      </c>
      <c r="B1698" s="21" t="str">
        <f>IF($A1698="","",INDEX(Project_Tracker!$AM$2:$AM$101,INT((ROW()-6)/17)+1))</f>
        <v/>
      </c>
      <c r="C1698" s="20" t="str">
        <f>IF($A1698="","",INDEX(Project_Tracker!$C$2:$C$101,INT((ROW()-6)/17)+1))</f>
        <v/>
      </c>
      <c r="D1698" s="6" t="str">
        <f>IF($A1698="","",INDEX(Project_Tracker!$T$2:$T$101,INT((ROW()-6)/17)+1))</f>
        <v/>
      </c>
      <c r="E1698" s="18">
        <f t="shared" si="130"/>
        <v>10</v>
      </c>
      <c r="F1698" s="23" t="str">
        <f>IF($A1698="","",INDEX('Logic &amp; Lists'!$I$4:$I$20,$E1698))</f>
        <v/>
      </c>
      <c r="G1698" s="18" t="str">
        <f>IF($A1698="","",INDEX('Logic &amp; Lists'!$J$4:$J$20,$E1698))</f>
        <v/>
      </c>
      <c r="H1698" s="6" t="str">
        <f t="shared" si="131"/>
        <v/>
      </c>
      <c r="I1698" s="18" t="str">
        <f t="shared" ca="1" si="132"/>
        <v/>
      </c>
      <c r="J1698" s="5" t="str">
        <f t="shared" si="133"/>
        <v/>
      </c>
      <c r="K1698" s="25"/>
      <c r="L1698" s="5" t="str">
        <f t="shared" si="134"/>
        <v/>
      </c>
      <c r="M1698" s="7"/>
      <c r="N1698" s="7"/>
      <c r="O1698" s="7"/>
      <c r="P1698" s="20" t="str">
        <f>IF($A1698="","",INDEX(Project_Tracker!$I$2:$I$101,INT((ROW()-6)/17)+1))</f>
        <v/>
      </c>
      <c r="Q1698" s="20" t="str">
        <f>IF($A1698="","",INDEX(Project_Tracker!$K$2:$K$101,INT((ROW()-6)/17)+1))</f>
        <v/>
      </c>
    </row>
    <row r="1699" spans="1:17" x14ac:dyDescent="0.2">
      <c r="A1699" s="20" t="str">
        <f>IF(INDEX(Project_Tracker!$AL$2:$AL$101,INT((ROW()-6)/17)+1)="","",INDEX(Project_Tracker!$AL$2:$AL$101,INT((ROW()-6)/17)+1))</f>
        <v/>
      </c>
      <c r="B1699" s="21" t="str">
        <f>IF($A1699="","",INDEX(Project_Tracker!$AM$2:$AM$101,INT((ROW()-6)/17)+1))</f>
        <v/>
      </c>
      <c r="C1699" s="20" t="str">
        <f>IF($A1699="","",INDEX(Project_Tracker!$C$2:$C$101,INT((ROW()-6)/17)+1))</f>
        <v/>
      </c>
      <c r="D1699" s="6" t="str">
        <f>IF($A1699="","",INDEX(Project_Tracker!$T$2:$T$101,INT((ROW()-6)/17)+1))</f>
        <v/>
      </c>
      <c r="E1699" s="18">
        <f t="shared" si="130"/>
        <v>11</v>
      </c>
      <c r="F1699" s="23" t="str">
        <f>IF($A1699="","",INDEX('Logic &amp; Lists'!$I$4:$I$20,$E1699))</f>
        <v/>
      </c>
      <c r="G1699" s="18" t="str">
        <f>IF($A1699="","",INDEX('Logic &amp; Lists'!$J$4:$J$20,$E1699))</f>
        <v/>
      </c>
      <c r="H1699" s="6" t="str">
        <f t="shared" si="131"/>
        <v/>
      </c>
      <c r="I1699" s="18" t="str">
        <f t="shared" ca="1" si="132"/>
        <v/>
      </c>
      <c r="J1699" s="5" t="str">
        <f t="shared" si="133"/>
        <v/>
      </c>
      <c r="K1699" s="25"/>
      <c r="L1699" s="5" t="str">
        <f t="shared" si="134"/>
        <v/>
      </c>
      <c r="M1699" s="7"/>
      <c r="N1699" s="7"/>
      <c r="O1699" s="7"/>
      <c r="P1699" s="20" t="str">
        <f>IF($A1699="","",INDEX(Project_Tracker!$I$2:$I$101,INT((ROW()-6)/17)+1))</f>
        <v/>
      </c>
      <c r="Q1699" s="20" t="str">
        <f>IF($A1699="","",INDEX(Project_Tracker!$K$2:$K$101,INT((ROW()-6)/17)+1))</f>
        <v/>
      </c>
    </row>
    <row r="1700" spans="1:17" x14ac:dyDescent="0.2">
      <c r="A1700" s="20" t="str">
        <f>IF(INDEX(Project_Tracker!$AL$2:$AL$101,INT((ROW()-6)/17)+1)="","",INDEX(Project_Tracker!$AL$2:$AL$101,INT((ROW()-6)/17)+1))</f>
        <v/>
      </c>
      <c r="B1700" s="21" t="str">
        <f>IF($A1700="","",INDEX(Project_Tracker!$AM$2:$AM$101,INT((ROW()-6)/17)+1))</f>
        <v/>
      </c>
      <c r="C1700" s="20" t="str">
        <f>IF($A1700="","",INDEX(Project_Tracker!$C$2:$C$101,INT((ROW()-6)/17)+1))</f>
        <v/>
      </c>
      <c r="D1700" s="6" t="str">
        <f>IF($A1700="","",INDEX(Project_Tracker!$T$2:$T$101,INT((ROW()-6)/17)+1))</f>
        <v/>
      </c>
      <c r="E1700" s="18">
        <f t="shared" si="130"/>
        <v>12</v>
      </c>
      <c r="F1700" s="23" t="str">
        <f>IF($A1700="","",INDEX('Logic &amp; Lists'!$I$4:$I$20,$E1700))</f>
        <v/>
      </c>
      <c r="G1700" s="18" t="str">
        <f>IF($A1700="","",INDEX('Logic &amp; Lists'!$J$4:$J$20,$E1700))</f>
        <v/>
      </c>
      <c r="H1700" s="6" t="str">
        <f t="shared" si="131"/>
        <v/>
      </c>
      <c r="I1700" s="18" t="str">
        <f t="shared" ca="1" si="132"/>
        <v/>
      </c>
      <c r="J1700" s="5" t="str">
        <f t="shared" si="133"/>
        <v/>
      </c>
      <c r="K1700" s="25"/>
      <c r="L1700" s="5" t="str">
        <f t="shared" si="134"/>
        <v/>
      </c>
      <c r="M1700" s="7"/>
      <c r="N1700" s="7"/>
      <c r="O1700" s="7"/>
      <c r="P1700" s="20" t="str">
        <f>IF($A1700="","",INDEX(Project_Tracker!$I$2:$I$101,INT((ROW()-6)/17)+1))</f>
        <v/>
      </c>
      <c r="Q1700" s="20" t="str">
        <f>IF($A1700="","",INDEX(Project_Tracker!$K$2:$K$101,INT((ROW()-6)/17)+1))</f>
        <v/>
      </c>
    </row>
    <row r="1701" spans="1:17" x14ac:dyDescent="0.2">
      <c r="A1701" s="20" t="str">
        <f>IF(INDEX(Project_Tracker!$AL$2:$AL$101,INT((ROW()-6)/17)+1)="","",INDEX(Project_Tracker!$AL$2:$AL$101,INT((ROW()-6)/17)+1))</f>
        <v/>
      </c>
      <c r="B1701" s="21" t="str">
        <f>IF($A1701="","",INDEX(Project_Tracker!$AM$2:$AM$101,INT((ROW()-6)/17)+1))</f>
        <v/>
      </c>
      <c r="C1701" s="20" t="str">
        <f>IF($A1701="","",INDEX(Project_Tracker!$C$2:$C$101,INT((ROW()-6)/17)+1))</f>
        <v/>
      </c>
      <c r="D1701" s="6" t="str">
        <f>IF($A1701="","",INDEX(Project_Tracker!$T$2:$T$101,INT((ROW()-6)/17)+1))</f>
        <v/>
      </c>
      <c r="E1701" s="18">
        <f t="shared" si="130"/>
        <v>13</v>
      </c>
      <c r="F1701" s="23" t="str">
        <f>IF($A1701="","",INDEX('Logic &amp; Lists'!$I$4:$I$20,$E1701))</f>
        <v/>
      </c>
      <c r="G1701" s="18" t="str">
        <f>IF($A1701="","",INDEX('Logic &amp; Lists'!$J$4:$J$20,$E1701))</f>
        <v/>
      </c>
      <c r="H1701" s="6" t="str">
        <f t="shared" si="131"/>
        <v/>
      </c>
      <c r="I1701" s="18" t="str">
        <f t="shared" ca="1" si="132"/>
        <v/>
      </c>
      <c r="J1701" s="5" t="str">
        <f t="shared" si="133"/>
        <v/>
      </c>
      <c r="K1701" s="25"/>
      <c r="L1701" s="5" t="str">
        <f t="shared" si="134"/>
        <v/>
      </c>
      <c r="M1701" s="7"/>
      <c r="N1701" s="7"/>
      <c r="O1701" s="7"/>
      <c r="P1701" s="20" t="str">
        <f>IF($A1701="","",INDEX(Project_Tracker!$I$2:$I$101,INT((ROW()-6)/17)+1))</f>
        <v/>
      </c>
      <c r="Q1701" s="20" t="str">
        <f>IF($A1701="","",INDEX(Project_Tracker!$K$2:$K$101,INT((ROW()-6)/17)+1))</f>
        <v/>
      </c>
    </row>
    <row r="1702" spans="1:17" x14ac:dyDescent="0.2">
      <c r="A1702" s="20" t="str">
        <f>IF(INDEX(Project_Tracker!$AL$2:$AL$101,INT((ROW()-6)/17)+1)="","",INDEX(Project_Tracker!$AL$2:$AL$101,INT((ROW()-6)/17)+1))</f>
        <v/>
      </c>
      <c r="B1702" s="21" t="str">
        <f>IF($A1702="","",INDEX(Project_Tracker!$AM$2:$AM$101,INT((ROW()-6)/17)+1))</f>
        <v/>
      </c>
      <c r="C1702" s="20" t="str">
        <f>IF($A1702="","",INDEX(Project_Tracker!$C$2:$C$101,INT((ROW()-6)/17)+1))</f>
        <v/>
      </c>
      <c r="D1702" s="6" t="str">
        <f>IF($A1702="","",INDEX(Project_Tracker!$T$2:$T$101,INT((ROW()-6)/17)+1))</f>
        <v/>
      </c>
      <c r="E1702" s="18">
        <f t="shared" si="130"/>
        <v>14</v>
      </c>
      <c r="F1702" s="23" t="str">
        <f>IF($A1702="","",INDEX('Logic &amp; Lists'!$I$4:$I$20,$E1702))</f>
        <v/>
      </c>
      <c r="G1702" s="18" t="str">
        <f>IF($A1702="","",INDEX('Logic &amp; Lists'!$J$4:$J$20,$E1702))</f>
        <v/>
      </c>
      <c r="H1702" s="6" t="str">
        <f t="shared" si="131"/>
        <v/>
      </c>
      <c r="I1702" s="18" t="str">
        <f t="shared" ca="1" si="132"/>
        <v/>
      </c>
      <c r="J1702" s="5" t="str">
        <f t="shared" si="133"/>
        <v/>
      </c>
      <c r="K1702" s="25"/>
      <c r="L1702" s="5" t="str">
        <f t="shared" si="134"/>
        <v/>
      </c>
      <c r="M1702" s="7"/>
      <c r="N1702" s="7"/>
      <c r="O1702" s="7"/>
      <c r="P1702" s="20" t="str">
        <f>IF($A1702="","",INDEX(Project_Tracker!$I$2:$I$101,INT((ROW()-6)/17)+1))</f>
        <v/>
      </c>
      <c r="Q1702" s="20" t="str">
        <f>IF($A1702="","",INDEX(Project_Tracker!$K$2:$K$101,INT((ROW()-6)/17)+1))</f>
        <v/>
      </c>
    </row>
    <row r="1703" spans="1:17" x14ac:dyDescent="0.2">
      <c r="A1703" s="20" t="str">
        <f>IF(INDEX(Project_Tracker!$AL$2:$AL$101,INT((ROW()-6)/17)+1)="","",INDEX(Project_Tracker!$AL$2:$AL$101,INT((ROW()-6)/17)+1))</f>
        <v/>
      </c>
      <c r="B1703" s="21" t="str">
        <f>IF($A1703="","",INDEX(Project_Tracker!$AM$2:$AM$101,INT((ROW()-6)/17)+1))</f>
        <v/>
      </c>
      <c r="C1703" s="20" t="str">
        <f>IF($A1703="","",INDEX(Project_Tracker!$C$2:$C$101,INT((ROW()-6)/17)+1))</f>
        <v/>
      </c>
      <c r="D1703" s="6" t="str">
        <f>IF($A1703="","",INDEX(Project_Tracker!$T$2:$T$101,INT((ROW()-6)/17)+1))</f>
        <v/>
      </c>
      <c r="E1703" s="18">
        <f t="shared" si="130"/>
        <v>15</v>
      </c>
      <c r="F1703" s="23" t="str">
        <f>IF($A1703="","",INDEX('Logic &amp; Lists'!$I$4:$I$20,$E1703))</f>
        <v/>
      </c>
      <c r="G1703" s="18" t="str">
        <f>IF($A1703="","",INDEX('Logic &amp; Lists'!$J$4:$J$20,$E1703))</f>
        <v/>
      </c>
      <c r="H1703" s="6" t="str">
        <f t="shared" si="131"/>
        <v/>
      </c>
      <c r="I1703" s="18" t="str">
        <f t="shared" ca="1" si="132"/>
        <v/>
      </c>
      <c r="J1703" s="5" t="str">
        <f t="shared" si="133"/>
        <v/>
      </c>
      <c r="K1703" s="25"/>
      <c r="L1703" s="5" t="str">
        <f t="shared" si="134"/>
        <v/>
      </c>
      <c r="M1703" s="7"/>
      <c r="N1703" s="7"/>
      <c r="O1703" s="7"/>
      <c r="P1703" s="20" t="str">
        <f>IF($A1703="","",INDEX(Project_Tracker!$I$2:$I$101,INT((ROW()-6)/17)+1))</f>
        <v/>
      </c>
      <c r="Q1703" s="20" t="str">
        <f>IF($A1703="","",INDEX(Project_Tracker!$K$2:$K$101,INT((ROW()-6)/17)+1))</f>
        <v/>
      </c>
    </row>
    <row r="1704" spans="1:17" x14ac:dyDescent="0.2">
      <c r="A1704" s="20" t="str">
        <f>IF(INDEX(Project_Tracker!$AL$2:$AL$101,INT((ROW()-6)/17)+1)="","",INDEX(Project_Tracker!$AL$2:$AL$101,INT((ROW()-6)/17)+1))</f>
        <v/>
      </c>
      <c r="B1704" s="21" t="str">
        <f>IF($A1704="","",INDEX(Project_Tracker!$AM$2:$AM$101,INT((ROW()-6)/17)+1))</f>
        <v/>
      </c>
      <c r="C1704" s="20" t="str">
        <f>IF($A1704="","",INDEX(Project_Tracker!$C$2:$C$101,INT((ROW()-6)/17)+1))</f>
        <v/>
      </c>
      <c r="D1704" s="6" t="str">
        <f>IF($A1704="","",INDEX(Project_Tracker!$T$2:$T$101,INT((ROW()-6)/17)+1))</f>
        <v/>
      </c>
      <c r="E1704" s="18">
        <f t="shared" si="130"/>
        <v>16</v>
      </c>
      <c r="F1704" s="23" t="str">
        <f>IF($A1704="","",INDEX('Logic &amp; Lists'!$I$4:$I$20,$E1704))</f>
        <v/>
      </c>
      <c r="G1704" s="18" t="str">
        <f>IF($A1704="","",INDEX('Logic &amp; Lists'!$J$4:$J$20,$E1704))</f>
        <v/>
      </c>
      <c r="H1704" s="6" t="str">
        <f t="shared" si="131"/>
        <v/>
      </c>
      <c r="I1704" s="18" t="str">
        <f t="shared" ca="1" si="132"/>
        <v/>
      </c>
      <c r="J1704" s="5" t="str">
        <f t="shared" si="133"/>
        <v/>
      </c>
      <c r="K1704" s="25"/>
      <c r="L1704" s="5" t="str">
        <f t="shared" si="134"/>
        <v/>
      </c>
      <c r="M1704" s="7"/>
      <c r="N1704" s="7"/>
      <c r="O1704" s="7"/>
      <c r="P1704" s="20" t="str">
        <f>IF($A1704="","",INDEX(Project_Tracker!$I$2:$I$101,INT((ROW()-6)/17)+1))</f>
        <v/>
      </c>
      <c r="Q1704" s="20" t="str">
        <f>IF($A1704="","",INDEX(Project_Tracker!$K$2:$K$101,INT((ROW()-6)/17)+1))</f>
        <v/>
      </c>
    </row>
    <row r="1705" spans="1:17" x14ac:dyDescent="0.2">
      <c r="A1705" s="20" t="str">
        <f>IF(INDEX(Project_Tracker!$AL$2:$AL$101,INT((ROW()-6)/17)+1)="","",INDEX(Project_Tracker!$AL$2:$AL$101,INT((ROW()-6)/17)+1))</f>
        <v/>
      </c>
      <c r="B1705" s="21" t="str">
        <f>IF($A1705="","",INDEX(Project_Tracker!$AM$2:$AM$101,INT((ROW()-6)/17)+1))</f>
        <v/>
      </c>
      <c r="C1705" s="20" t="str">
        <f>IF($A1705="","",INDEX(Project_Tracker!$C$2:$C$101,INT((ROW()-6)/17)+1))</f>
        <v/>
      </c>
      <c r="D1705" s="6" t="str">
        <f>IF($A1705="","",INDEX(Project_Tracker!$T$2:$T$101,INT((ROW()-6)/17)+1))</f>
        <v/>
      </c>
      <c r="E1705" s="18">
        <f t="shared" si="130"/>
        <v>17</v>
      </c>
      <c r="F1705" s="23" t="str">
        <f>IF($A1705="","",INDEX('Logic &amp; Lists'!$I$4:$I$20,$E1705))</f>
        <v/>
      </c>
      <c r="G1705" s="18" t="str">
        <f>IF($A1705="","",INDEX('Logic &amp; Lists'!$J$4:$J$20,$E1705))</f>
        <v/>
      </c>
      <c r="H1705" s="6" t="str">
        <f t="shared" si="131"/>
        <v/>
      </c>
      <c r="I1705" s="18" t="str">
        <f t="shared" ca="1" si="132"/>
        <v/>
      </c>
      <c r="J1705" s="5" t="str">
        <f t="shared" si="133"/>
        <v/>
      </c>
      <c r="K1705" s="25"/>
      <c r="L1705" s="5" t="str">
        <f t="shared" si="134"/>
        <v/>
      </c>
      <c r="M1705" s="7"/>
      <c r="N1705" s="7"/>
      <c r="O1705" s="7"/>
      <c r="P1705" s="20" t="str">
        <f>IF($A1705="","",INDEX(Project_Tracker!$I$2:$I$101,INT((ROW()-6)/17)+1))</f>
        <v/>
      </c>
      <c r="Q1705" s="20" t="str">
        <f>IF($A1705="","",INDEX(Project_Tracker!$K$2:$K$101,INT((ROW()-6)/17)+1))</f>
        <v/>
      </c>
    </row>
  </sheetData>
  <mergeCells count="1">
    <mergeCell ref="A1:Q1"/>
  </mergeCells>
  <conditionalFormatting sqref="J6:J1705">
    <cfRule type="expression" dxfId="4" priority="1">
      <formula>$J6="OVERDUE"</formula>
    </cfRule>
    <cfRule type="expression" dxfId="3" priority="2">
      <formula>$J6="URGENT"</formula>
    </cfRule>
    <cfRule type="expression" dxfId="2" priority="3">
      <formula>$J6="PREPARE"</formula>
    </cfRule>
    <cfRule type="expression" dxfId="1" priority="4">
      <formula>$J6="OK"</formula>
    </cfRule>
    <cfRule type="expression" dxfId="0" priority="5">
      <formula>$J6="ORDERED"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67"/>
  <sheetViews>
    <sheetView showGridLines="0" topLeftCell="O1" zoomScale="137" workbookViewId="0">
      <selection activeCell="M4" sqref="M4"/>
    </sheetView>
  </sheetViews>
  <sheetFormatPr baseColWidth="10" defaultColWidth="8.83203125" defaultRowHeight="15" x14ac:dyDescent="0.2"/>
  <cols>
    <col min="1" max="1" width="16" customWidth="1"/>
    <col min="2" max="2" width="6" customWidth="1"/>
    <col min="3" max="3" width="20" customWidth="1"/>
    <col min="4" max="4" width="18" customWidth="1"/>
    <col min="5" max="5" width="12" customWidth="1"/>
    <col min="6" max="6" width="30" customWidth="1"/>
    <col min="8" max="8" width="6" customWidth="1"/>
    <col min="9" max="9" width="34" customWidth="1"/>
    <col min="10" max="10" width="14" customWidth="1"/>
    <col min="11" max="11" width="28" customWidth="1"/>
    <col min="13" max="13" width="16" customWidth="1"/>
    <col min="14" max="14" width="12" customWidth="1"/>
    <col min="15" max="15" width="14" customWidth="1"/>
    <col min="17" max="17" width="32" customWidth="1"/>
    <col min="18" max="18" width="12" customWidth="1"/>
    <col min="19" max="20" width="14" customWidth="1"/>
    <col min="21" max="22" width="12" customWidth="1"/>
  </cols>
  <sheetData>
    <row r="1" spans="1:22" x14ac:dyDescent="0.2">
      <c r="A1" s="58" t="s">
        <v>1</v>
      </c>
      <c r="B1" s="52"/>
      <c r="C1" s="52"/>
      <c r="D1" s="52"/>
      <c r="E1" s="52"/>
      <c r="F1" s="49"/>
      <c r="H1" s="58" t="s">
        <v>2</v>
      </c>
      <c r="I1" s="52"/>
      <c r="J1" s="52"/>
      <c r="K1" s="49"/>
      <c r="M1" s="58" t="s">
        <v>3</v>
      </c>
      <c r="N1" s="52"/>
      <c r="O1" s="49"/>
      <c r="Q1" s="58" t="s">
        <v>4</v>
      </c>
      <c r="R1" s="52"/>
      <c r="S1" s="52"/>
      <c r="T1" s="52"/>
      <c r="U1" s="52"/>
      <c r="V1" s="49"/>
    </row>
    <row r="2" spans="1:22" x14ac:dyDescent="0.2">
      <c r="M2" s="2" t="s">
        <v>5</v>
      </c>
      <c r="N2" s="2" t="s">
        <v>6</v>
      </c>
      <c r="O2" s="2" t="s">
        <v>7</v>
      </c>
    </row>
    <row r="3" spans="1:22" ht="27.5" customHeight="1" x14ac:dyDescent="0.2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7</v>
      </c>
      <c r="H3" s="3" t="s">
        <v>9</v>
      </c>
      <c r="I3" s="3" t="s">
        <v>13</v>
      </c>
      <c r="J3" s="3" t="s">
        <v>14</v>
      </c>
      <c r="K3" s="3" t="s">
        <v>15</v>
      </c>
      <c r="M3" s="2" t="s">
        <v>16</v>
      </c>
      <c r="N3" s="2" t="s">
        <v>17</v>
      </c>
      <c r="O3" s="2" t="s">
        <v>18</v>
      </c>
      <c r="Q3" s="4" t="s">
        <v>19</v>
      </c>
      <c r="R3" s="5">
        <f>Dashboard!$A$6</f>
        <v>123456</v>
      </c>
      <c r="S3" s="4" t="s">
        <v>20</v>
      </c>
      <c r="T3" s="6">
        <f>IFERROR(INDEX(Project_Tracker!$F$2:$F$101,MATCH($R$3,Project_Tracker!$AL$2:$AL$101,0)),"")</f>
        <v>46315</v>
      </c>
      <c r="U3" s="4" t="s">
        <v>21</v>
      </c>
      <c r="V3" s="6">
        <f>T4</f>
        <v>46244</v>
      </c>
    </row>
    <row r="4" spans="1:22" ht="27.5" customHeight="1" x14ac:dyDescent="0.2">
      <c r="A4" s="7" t="s">
        <v>22</v>
      </c>
      <c r="B4" s="8">
        <v>1</v>
      </c>
      <c r="C4" s="7" t="s">
        <v>23</v>
      </c>
      <c r="D4" s="7" t="s">
        <v>24</v>
      </c>
      <c r="E4" s="9" t="s">
        <v>25</v>
      </c>
      <c r="F4" s="7" t="s">
        <v>26</v>
      </c>
      <c r="H4" s="10">
        <v>1</v>
      </c>
      <c r="I4" s="2" t="s">
        <v>27</v>
      </c>
      <c r="J4" s="11">
        <v>45</v>
      </c>
      <c r="K4" s="2" t="s">
        <v>25</v>
      </c>
      <c r="M4" s="2" t="s">
        <v>28</v>
      </c>
      <c r="N4" s="2" t="s">
        <v>29</v>
      </c>
      <c r="O4" s="2" t="s">
        <v>30</v>
      </c>
      <c r="Q4" s="4" t="s">
        <v>31</v>
      </c>
      <c r="R4" s="5" t="str">
        <f>IFERROR(INDEX(Project_Tracker!$AM$2:$AM$101,MATCH($R$3,Project_Tracker!$AL$2:$AL$101,0)),"")</f>
        <v>Chiller Water Unit</v>
      </c>
      <c r="S4" s="4" t="s">
        <v>32</v>
      </c>
      <c r="T4" s="6">
        <f>IFERROR(INDEX(Project_Tracker!$T$2:$T$101,MATCH($R$3,Project_Tracker!$AL$2:$AL$101,0)),"")</f>
        <v>46244</v>
      </c>
      <c r="U4" s="4" t="s">
        <v>33</v>
      </c>
      <c r="V4" s="5">
        <f ca="1">COUNTIFS(BOM_Tracker!$A$6:$A$1705,$R$3,BOM_Tracker!$J$6:$J$1705,"URGENT")+COUNTIFS(BOM_Tracker!$A$6:$A$1705,$R$3,BOM_Tracker!$J$6:$J$1705,"OVERDUE")</f>
        <v>17</v>
      </c>
    </row>
    <row r="5" spans="1:22" x14ac:dyDescent="0.2">
      <c r="A5" s="7" t="s">
        <v>22</v>
      </c>
      <c r="B5" s="8">
        <v>2</v>
      </c>
      <c r="C5" s="7" t="s">
        <v>34</v>
      </c>
      <c r="D5" s="7" t="s">
        <v>23</v>
      </c>
      <c r="E5" s="9">
        <v>28</v>
      </c>
      <c r="F5" s="7" t="s">
        <v>35</v>
      </c>
      <c r="H5" s="10">
        <v>2</v>
      </c>
      <c r="I5" s="2" t="s">
        <v>36</v>
      </c>
      <c r="J5" s="11">
        <v>90</v>
      </c>
      <c r="K5" s="2" t="s">
        <v>25</v>
      </c>
      <c r="M5" s="2" t="s">
        <v>37</v>
      </c>
      <c r="O5" s="2" t="s">
        <v>38</v>
      </c>
    </row>
    <row r="6" spans="1:22" x14ac:dyDescent="0.2">
      <c r="A6" s="7" t="s">
        <v>22</v>
      </c>
      <c r="B6" s="8">
        <v>3</v>
      </c>
      <c r="C6" s="7" t="s">
        <v>39</v>
      </c>
      <c r="D6" s="7" t="s">
        <v>40</v>
      </c>
      <c r="E6" s="9">
        <v>-20</v>
      </c>
      <c r="F6" s="7" t="s">
        <v>41</v>
      </c>
      <c r="H6" s="10">
        <v>3</v>
      </c>
      <c r="I6" s="2" t="s">
        <v>42</v>
      </c>
      <c r="J6" s="11">
        <v>90</v>
      </c>
      <c r="K6" s="2" t="s">
        <v>43</v>
      </c>
      <c r="M6" s="2" t="s">
        <v>44</v>
      </c>
      <c r="O6" s="2" t="s">
        <v>45</v>
      </c>
    </row>
    <row r="7" spans="1:22" ht="27.5" customHeight="1" x14ac:dyDescent="0.2">
      <c r="A7" s="7" t="s">
        <v>22</v>
      </c>
      <c r="B7" s="8">
        <v>4</v>
      </c>
      <c r="C7" s="7" t="s">
        <v>40</v>
      </c>
      <c r="D7" s="7" t="s">
        <v>46</v>
      </c>
      <c r="E7" s="9">
        <v>-7</v>
      </c>
      <c r="F7" s="7" t="s">
        <v>47</v>
      </c>
      <c r="H7" s="10">
        <v>4</v>
      </c>
      <c r="I7" s="2" t="s">
        <v>48</v>
      </c>
      <c r="J7" s="11">
        <v>90</v>
      </c>
      <c r="K7" s="2" t="s">
        <v>43</v>
      </c>
      <c r="Q7" s="3" t="s">
        <v>13</v>
      </c>
      <c r="R7" s="3" t="s">
        <v>49</v>
      </c>
      <c r="S7" s="3" t="s">
        <v>50</v>
      </c>
      <c r="T7" s="3" t="s">
        <v>51</v>
      </c>
      <c r="U7" s="3" t="s">
        <v>52</v>
      </c>
      <c r="V7" s="3" t="s">
        <v>53</v>
      </c>
    </row>
    <row r="8" spans="1:22" ht="36" customHeight="1" x14ac:dyDescent="0.2">
      <c r="A8" s="7" t="s">
        <v>22</v>
      </c>
      <c r="B8" s="8">
        <v>5</v>
      </c>
      <c r="C8" s="7" t="s">
        <v>46</v>
      </c>
      <c r="D8" s="7" t="s">
        <v>54</v>
      </c>
      <c r="E8" s="9">
        <v>-3</v>
      </c>
      <c r="F8" s="7" t="s">
        <v>55</v>
      </c>
      <c r="H8" s="10">
        <v>5</v>
      </c>
      <c r="I8" s="2" t="s">
        <v>56</v>
      </c>
      <c r="J8" s="11">
        <v>30</v>
      </c>
      <c r="K8" s="2" t="s">
        <v>25</v>
      </c>
      <c r="M8" s="12" t="s">
        <v>57</v>
      </c>
      <c r="N8" s="13" t="s">
        <v>58</v>
      </c>
      <c r="Q8" s="2" t="str">
        <f t="shared" ref="Q8:Q24" si="0">IFERROR(INDEX($I$4:$I$20,ROW()-7),"")</f>
        <v>非防爆压缩机 Non Ex-proof COMPRESSOR</v>
      </c>
      <c r="R8" s="10">
        <f t="shared" ref="R8:R24" si="1">IFERROR(INDEX($J$4:$J$20,ROW()-7),"")</f>
        <v>45</v>
      </c>
      <c r="S8" s="14">
        <f t="shared" ref="S8:S24" si="2">$T$4</f>
        <v>46244</v>
      </c>
      <c r="T8" s="14">
        <f t="shared" ref="T8:T24" si="3">IF(S8="","",S8-R8)</f>
        <v>46199</v>
      </c>
      <c r="U8" s="5">
        <f t="shared" ref="U8:U24" ca="1" si="4">IF(T8="","",T8-TODAY())</f>
        <v>-53</v>
      </c>
      <c r="V8" s="5" t="str">
        <f t="shared" ref="V8:V24" ca="1" si="5">IF(T8="","",IF(U8&lt;0,"OVERDUE",IF(U8&lt;=7,"URGENT",IF(U8&lt;=14,"PREPARE","OK"))))</f>
        <v>OVERDUE</v>
      </c>
    </row>
    <row r="9" spans="1:22" x14ac:dyDescent="0.2">
      <c r="A9" s="7" t="s">
        <v>22</v>
      </c>
      <c r="B9" s="8">
        <v>6</v>
      </c>
      <c r="C9" s="7" t="s">
        <v>59</v>
      </c>
      <c r="D9" s="7" t="s">
        <v>54</v>
      </c>
      <c r="E9" s="9">
        <v>-7</v>
      </c>
      <c r="F9" s="7" t="s">
        <v>60</v>
      </c>
      <c r="H9" s="10">
        <v>6</v>
      </c>
      <c r="I9" s="2" t="s">
        <v>61</v>
      </c>
      <c r="J9" s="11">
        <v>10</v>
      </c>
      <c r="K9" s="2" t="s">
        <v>25</v>
      </c>
      <c r="Q9" s="2" t="str">
        <f t="shared" si="0"/>
        <v>防爆压缩机 COMPRESSOR</v>
      </c>
      <c r="R9" s="10">
        <f t="shared" si="1"/>
        <v>90</v>
      </c>
      <c r="S9" s="14">
        <f t="shared" si="2"/>
        <v>46244</v>
      </c>
      <c r="T9" s="14">
        <f t="shared" si="3"/>
        <v>46154</v>
      </c>
      <c r="U9" s="5">
        <f t="shared" ca="1" si="4"/>
        <v>-98</v>
      </c>
      <c r="V9" s="5" t="str">
        <f t="shared" ca="1" si="5"/>
        <v>OVERDUE</v>
      </c>
    </row>
    <row r="10" spans="1:22" x14ac:dyDescent="0.2">
      <c r="A10" s="7" t="s">
        <v>22</v>
      </c>
      <c r="B10" s="8">
        <v>7</v>
      </c>
      <c r="C10" s="7" t="s">
        <v>54</v>
      </c>
      <c r="D10" s="7" t="s">
        <v>32</v>
      </c>
      <c r="E10" s="9">
        <v>-140</v>
      </c>
      <c r="F10" s="7" t="s">
        <v>62</v>
      </c>
      <c r="H10" s="10">
        <v>7</v>
      </c>
      <c r="I10" s="2" t="s">
        <v>63</v>
      </c>
      <c r="J10" s="11">
        <v>10</v>
      </c>
      <c r="K10" s="2" t="s">
        <v>25</v>
      </c>
      <c r="M10" s="2" t="s">
        <v>64</v>
      </c>
      <c r="Q10" s="2" t="str">
        <f t="shared" si="0"/>
        <v>蒸发器 EVAPORATOR</v>
      </c>
      <c r="R10" s="10">
        <f t="shared" si="1"/>
        <v>90</v>
      </c>
      <c r="S10" s="14">
        <f t="shared" si="2"/>
        <v>46244</v>
      </c>
      <c r="T10" s="14">
        <f t="shared" si="3"/>
        <v>46154</v>
      </c>
      <c r="U10" s="5">
        <f t="shared" ca="1" si="4"/>
        <v>-98</v>
      </c>
      <c r="V10" s="5" t="str">
        <f t="shared" ca="1" si="5"/>
        <v>OVERDUE</v>
      </c>
    </row>
    <row r="11" spans="1:22" x14ac:dyDescent="0.2">
      <c r="A11" s="7" t="s">
        <v>22</v>
      </c>
      <c r="B11" s="8">
        <v>8</v>
      </c>
      <c r="C11" s="7" t="s">
        <v>32</v>
      </c>
      <c r="D11" s="7" t="s">
        <v>65</v>
      </c>
      <c r="E11" s="9">
        <v>-45</v>
      </c>
      <c r="F11" s="7" t="s">
        <v>66</v>
      </c>
      <c r="H11" s="10">
        <v>8</v>
      </c>
      <c r="I11" s="2" t="s">
        <v>67</v>
      </c>
      <c r="J11" s="11">
        <v>30</v>
      </c>
      <c r="K11" s="2" t="s">
        <v>68</v>
      </c>
      <c r="M11" s="2" t="s">
        <v>69</v>
      </c>
      <c r="Q11" s="2" t="str">
        <f t="shared" si="0"/>
        <v>冷凝器 CONDENSER</v>
      </c>
      <c r="R11" s="10">
        <f t="shared" si="1"/>
        <v>90</v>
      </c>
      <c r="S11" s="14">
        <f t="shared" si="2"/>
        <v>46244</v>
      </c>
      <c r="T11" s="14">
        <f t="shared" si="3"/>
        <v>46154</v>
      </c>
      <c r="U11" s="5">
        <f t="shared" ca="1" si="4"/>
        <v>-98</v>
      </c>
      <c r="V11" s="5" t="str">
        <f t="shared" ca="1" si="5"/>
        <v>OVERDUE</v>
      </c>
    </row>
    <row r="12" spans="1:22" x14ac:dyDescent="0.2">
      <c r="A12" s="7" t="s">
        <v>22</v>
      </c>
      <c r="B12" s="8">
        <v>9</v>
      </c>
      <c r="C12" s="7" t="s">
        <v>65</v>
      </c>
      <c r="D12" s="7" t="s">
        <v>70</v>
      </c>
      <c r="E12" s="9">
        <v>-3</v>
      </c>
      <c r="F12" s="7" t="s">
        <v>71</v>
      </c>
      <c r="H12" s="10">
        <v>9</v>
      </c>
      <c r="I12" s="2" t="s">
        <v>72</v>
      </c>
      <c r="J12" s="11">
        <v>30</v>
      </c>
      <c r="K12" s="2" t="s">
        <v>25</v>
      </c>
      <c r="M12" s="2" t="s">
        <v>73</v>
      </c>
      <c r="Q12" s="2" t="str">
        <f t="shared" si="0"/>
        <v>底座框架</v>
      </c>
      <c r="R12" s="10">
        <f t="shared" si="1"/>
        <v>30</v>
      </c>
      <c r="S12" s="14">
        <f t="shared" si="2"/>
        <v>46244</v>
      </c>
      <c r="T12" s="14">
        <f t="shared" si="3"/>
        <v>46214</v>
      </c>
      <c r="U12" s="5">
        <f t="shared" ca="1" si="4"/>
        <v>-38</v>
      </c>
      <c r="V12" s="5" t="str">
        <f t="shared" ca="1" si="5"/>
        <v>OVERDUE</v>
      </c>
    </row>
    <row r="13" spans="1:22" x14ac:dyDescent="0.2">
      <c r="A13" s="7" t="s">
        <v>22</v>
      </c>
      <c r="B13" s="8">
        <v>10</v>
      </c>
      <c r="C13" s="7" t="s">
        <v>74</v>
      </c>
      <c r="D13" s="7" t="s">
        <v>75</v>
      </c>
      <c r="E13" s="9">
        <v>-28</v>
      </c>
      <c r="F13" s="7" t="s">
        <v>76</v>
      </c>
      <c r="H13" s="10">
        <v>10</v>
      </c>
      <c r="I13" s="2" t="s">
        <v>77</v>
      </c>
      <c r="J13" s="11">
        <v>30</v>
      </c>
      <c r="K13" s="2" t="s">
        <v>25</v>
      </c>
      <c r="Q13" s="2" t="str">
        <f t="shared" si="0"/>
        <v>干燥过滤器</v>
      </c>
      <c r="R13" s="10">
        <f t="shared" si="1"/>
        <v>10</v>
      </c>
      <c r="S13" s="14">
        <f t="shared" si="2"/>
        <v>46244</v>
      </c>
      <c r="T13" s="14">
        <f t="shared" si="3"/>
        <v>46234</v>
      </c>
      <c r="U13" s="5">
        <f t="shared" ca="1" si="4"/>
        <v>-18</v>
      </c>
      <c r="V13" s="5" t="str">
        <f t="shared" ca="1" si="5"/>
        <v>OVERDUE</v>
      </c>
    </row>
    <row r="14" spans="1:22" ht="27.5" customHeight="1" x14ac:dyDescent="0.2">
      <c r="A14" s="7" t="s">
        <v>22</v>
      </c>
      <c r="B14" s="8">
        <v>11</v>
      </c>
      <c r="C14" s="7" t="s">
        <v>70</v>
      </c>
      <c r="D14" s="7" t="s">
        <v>78</v>
      </c>
      <c r="E14" s="9">
        <v>-3</v>
      </c>
      <c r="F14" s="7" t="s">
        <v>79</v>
      </c>
      <c r="H14" s="10">
        <v>11</v>
      </c>
      <c r="I14" s="2" t="s">
        <v>80</v>
      </c>
      <c r="J14" s="11">
        <v>10</v>
      </c>
      <c r="K14" s="2" t="s">
        <v>25</v>
      </c>
      <c r="Q14" s="2" t="str">
        <f t="shared" si="0"/>
        <v>油分离器</v>
      </c>
      <c r="R14" s="10">
        <f t="shared" si="1"/>
        <v>10</v>
      </c>
      <c r="S14" s="14">
        <f t="shared" si="2"/>
        <v>46244</v>
      </c>
      <c r="T14" s="14">
        <f t="shared" si="3"/>
        <v>46234</v>
      </c>
      <c r="U14" s="5">
        <f t="shared" ca="1" si="4"/>
        <v>-18</v>
      </c>
      <c r="V14" s="5" t="str">
        <f t="shared" ca="1" si="5"/>
        <v>OVERDUE</v>
      </c>
    </row>
    <row r="15" spans="1:22" x14ac:dyDescent="0.2">
      <c r="A15" s="7" t="s">
        <v>22</v>
      </c>
      <c r="B15" s="8">
        <v>12</v>
      </c>
      <c r="C15" s="7" t="s">
        <v>78</v>
      </c>
      <c r="D15" s="7" t="s">
        <v>75</v>
      </c>
      <c r="E15" s="9">
        <v>-2</v>
      </c>
      <c r="F15" s="7" t="s">
        <v>81</v>
      </c>
      <c r="H15" s="10">
        <v>12</v>
      </c>
      <c r="I15" s="2" t="s">
        <v>82</v>
      </c>
      <c r="J15" s="11">
        <v>60</v>
      </c>
      <c r="K15" s="2" t="s">
        <v>25</v>
      </c>
      <c r="Q15" s="2" t="str">
        <f t="shared" si="0"/>
        <v>阀件类</v>
      </c>
      <c r="R15" s="10">
        <f t="shared" si="1"/>
        <v>30</v>
      </c>
      <c r="S15" s="14">
        <f t="shared" si="2"/>
        <v>46244</v>
      </c>
      <c r="T15" s="14">
        <f t="shared" si="3"/>
        <v>46214</v>
      </c>
      <c r="U15" s="5">
        <f t="shared" ca="1" si="4"/>
        <v>-38</v>
      </c>
      <c r="V15" s="5" t="str">
        <f t="shared" ca="1" si="5"/>
        <v>OVERDUE</v>
      </c>
    </row>
    <row r="16" spans="1:22" x14ac:dyDescent="0.2">
      <c r="A16" s="7" t="s">
        <v>22</v>
      </c>
      <c r="B16" s="8">
        <v>13</v>
      </c>
      <c r="C16" s="7" t="s">
        <v>75</v>
      </c>
      <c r="D16" s="7" t="s">
        <v>83</v>
      </c>
      <c r="E16" s="9">
        <v>-15</v>
      </c>
      <c r="F16" s="7" t="s">
        <v>84</v>
      </c>
      <c r="H16" s="10">
        <v>13</v>
      </c>
      <c r="I16" s="2" t="s">
        <v>85</v>
      </c>
      <c r="J16" s="11">
        <v>45</v>
      </c>
      <c r="K16" s="2" t="s">
        <v>25</v>
      </c>
      <c r="Q16" s="2" t="str">
        <f t="shared" si="0"/>
        <v>橡胶软接头 / RUBBER FLEXIBLE JOINT</v>
      </c>
      <c r="R16" s="10">
        <f t="shared" si="1"/>
        <v>30</v>
      </c>
      <c r="S16" s="14">
        <f t="shared" si="2"/>
        <v>46244</v>
      </c>
      <c r="T16" s="14">
        <f t="shared" si="3"/>
        <v>46214</v>
      </c>
      <c r="U16" s="5">
        <f t="shared" ca="1" si="4"/>
        <v>-38</v>
      </c>
      <c r="V16" s="5" t="str">
        <f t="shared" ca="1" si="5"/>
        <v>OVERDUE</v>
      </c>
    </row>
    <row r="17" spans="1:22" x14ac:dyDescent="0.2">
      <c r="A17" s="7" t="s">
        <v>22</v>
      </c>
      <c r="B17" s="8">
        <v>14</v>
      </c>
      <c r="C17" s="7" t="s">
        <v>86</v>
      </c>
      <c r="D17" s="7" t="s">
        <v>75</v>
      </c>
      <c r="E17" s="9">
        <v>7</v>
      </c>
      <c r="F17" s="7" t="s">
        <v>87</v>
      </c>
      <c r="H17" s="10">
        <v>14</v>
      </c>
      <c r="I17" s="2" t="s">
        <v>88</v>
      </c>
      <c r="J17" s="11">
        <v>30</v>
      </c>
      <c r="K17" s="2" t="s">
        <v>89</v>
      </c>
      <c r="Q17" s="2" t="str">
        <f t="shared" si="0"/>
        <v>减震垫 / DAMPING PAD VCS</v>
      </c>
      <c r="R17" s="10">
        <f t="shared" si="1"/>
        <v>30</v>
      </c>
      <c r="S17" s="14">
        <f t="shared" si="2"/>
        <v>46244</v>
      </c>
      <c r="T17" s="14">
        <f t="shared" si="3"/>
        <v>46214</v>
      </c>
      <c r="U17" s="5">
        <f t="shared" ca="1" si="4"/>
        <v>-38</v>
      </c>
      <c r="V17" s="5" t="str">
        <f t="shared" ca="1" si="5"/>
        <v>OVERDUE</v>
      </c>
    </row>
    <row r="18" spans="1:22" x14ac:dyDescent="0.2">
      <c r="A18" s="7" t="s">
        <v>22</v>
      </c>
      <c r="B18" s="8">
        <v>15</v>
      </c>
      <c r="C18" s="7" t="s">
        <v>83</v>
      </c>
      <c r="D18" s="7" t="s">
        <v>20</v>
      </c>
      <c r="E18" s="9">
        <v>-3</v>
      </c>
      <c r="F18" s="7" t="s">
        <v>90</v>
      </c>
      <c r="H18" s="10">
        <v>15</v>
      </c>
      <c r="I18" s="2" t="s">
        <v>91</v>
      </c>
      <c r="J18" s="11">
        <v>30</v>
      </c>
      <c r="K18" s="2" t="s">
        <v>25</v>
      </c>
      <c r="Q18" s="2" t="str">
        <f t="shared" si="0"/>
        <v>铜管及配套弯头</v>
      </c>
      <c r="R18" s="10">
        <f t="shared" si="1"/>
        <v>10</v>
      </c>
      <c r="S18" s="14">
        <f t="shared" si="2"/>
        <v>46244</v>
      </c>
      <c r="T18" s="14">
        <f t="shared" si="3"/>
        <v>46234</v>
      </c>
      <c r="U18" s="5">
        <f t="shared" ca="1" si="4"/>
        <v>-18</v>
      </c>
      <c r="V18" s="5" t="str">
        <f t="shared" ca="1" si="5"/>
        <v>OVERDUE</v>
      </c>
    </row>
    <row r="19" spans="1:22" x14ac:dyDescent="0.2">
      <c r="A19" s="7" t="s">
        <v>22</v>
      </c>
      <c r="B19" s="8">
        <v>16</v>
      </c>
      <c r="C19" s="7" t="s">
        <v>20</v>
      </c>
      <c r="D19" s="7" t="s">
        <v>24</v>
      </c>
      <c r="E19" s="9" t="s">
        <v>25</v>
      </c>
      <c r="F19" s="7" t="s">
        <v>26</v>
      </c>
      <c r="H19" s="10">
        <v>16</v>
      </c>
      <c r="I19" s="2" t="s">
        <v>92</v>
      </c>
      <c r="J19" s="11">
        <v>25</v>
      </c>
      <c r="K19" s="2" t="s">
        <v>25</v>
      </c>
      <c r="Q19" s="2" t="str">
        <f t="shared" si="0"/>
        <v>仪器仪表</v>
      </c>
      <c r="R19" s="10">
        <f t="shared" si="1"/>
        <v>60</v>
      </c>
      <c r="S19" s="14">
        <f t="shared" si="2"/>
        <v>46244</v>
      </c>
      <c r="T19" s="14">
        <f t="shared" si="3"/>
        <v>46184</v>
      </c>
      <c r="U19" s="5">
        <f t="shared" ca="1" si="4"/>
        <v>-68</v>
      </c>
      <c r="V19" s="5" t="str">
        <f t="shared" ca="1" si="5"/>
        <v>OVERDUE</v>
      </c>
    </row>
    <row r="20" spans="1:22" x14ac:dyDescent="0.2">
      <c r="A20" s="2" t="s">
        <v>64</v>
      </c>
      <c r="B20" s="10">
        <v>1</v>
      </c>
      <c r="C20" s="2" t="s">
        <v>23</v>
      </c>
      <c r="D20" s="2" t="s">
        <v>24</v>
      </c>
      <c r="E20" s="11" t="s">
        <v>25</v>
      </c>
      <c r="F20" s="2" t="s">
        <v>26</v>
      </c>
      <c r="H20" s="10">
        <v>17</v>
      </c>
      <c r="I20" s="2" t="s">
        <v>93</v>
      </c>
      <c r="J20" s="11">
        <v>5</v>
      </c>
      <c r="K20" s="2" t="s">
        <v>25</v>
      </c>
      <c r="Q20" s="2" t="str">
        <f t="shared" si="0"/>
        <v>电箱（FUCA）</v>
      </c>
      <c r="R20" s="10">
        <f t="shared" si="1"/>
        <v>45</v>
      </c>
      <c r="S20" s="14">
        <f t="shared" si="2"/>
        <v>46244</v>
      </c>
      <c r="T20" s="14">
        <f t="shared" si="3"/>
        <v>46199</v>
      </c>
      <c r="U20" s="5">
        <f t="shared" ca="1" si="4"/>
        <v>-53</v>
      </c>
      <c r="V20" s="5" t="str">
        <f t="shared" ca="1" si="5"/>
        <v>OVERDUE</v>
      </c>
    </row>
    <row r="21" spans="1:22" x14ac:dyDescent="0.2">
      <c r="A21" s="2" t="s">
        <v>64</v>
      </c>
      <c r="B21" s="10">
        <v>2</v>
      </c>
      <c r="C21" s="2" t="s">
        <v>34</v>
      </c>
      <c r="D21" s="2" t="s">
        <v>23</v>
      </c>
      <c r="E21" s="11">
        <v>28</v>
      </c>
      <c r="F21" s="2" t="s">
        <v>35</v>
      </c>
      <c r="Q21" s="2" t="str">
        <f t="shared" si="0"/>
        <v>填料函</v>
      </c>
      <c r="R21" s="10">
        <f t="shared" si="1"/>
        <v>30</v>
      </c>
      <c r="S21" s="14">
        <f t="shared" si="2"/>
        <v>46244</v>
      </c>
      <c r="T21" s="14">
        <f t="shared" si="3"/>
        <v>46214</v>
      </c>
      <c r="U21" s="5">
        <f t="shared" ca="1" si="4"/>
        <v>-38</v>
      </c>
      <c r="V21" s="5" t="str">
        <f t="shared" ca="1" si="5"/>
        <v>OVERDUE</v>
      </c>
    </row>
    <row r="22" spans="1:22" x14ac:dyDescent="0.2">
      <c r="A22" s="2" t="s">
        <v>64</v>
      </c>
      <c r="B22" s="10">
        <v>3</v>
      </c>
      <c r="C22" s="2" t="s">
        <v>39</v>
      </c>
      <c r="D22" s="2" t="s">
        <v>40</v>
      </c>
      <c r="E22" s="11">
        <v>-20</v>
      </c>
      <c r="F22" s="2" t="s">
        <v>41</v>
      </c>
      <c r="Q22" s="2" t="str">
        <f t="shared" si="0"/>
        <v>电缆</v>
      </c>
      <c r="R22" s="10">
        <f t="shared" si="1"/>
        <v>30</v>
      </c>
      <c r="S22" s="14">
        <f t="shared" si="2"/>
        <v>46244</v>
      </c>
      <c r="T22" s="14">
        <f t="shared" si="3"/>
        <v>46214</v>
      </c>
      <c r="U22" s="5">
        <f t="shared" ca="1" si="4"/>
        <v>-38</v>
      </c>
      <c r="V22" s="5" t="str">
        <f t="shared" ca="1" si="5"/>
        <v>OVERDUE</v>
      </c>
    </row>
    <row r="23" spans="1:22" x14ac:dyDescent="0.2">
      <c r="A23" s="2" t="s">
        <v>64</v>
      </c>
      <c r="B23" s="10">
        <v>4</v>
      </c>
      <c r="C23" s="2" t="s">
        <v>40</v>
      </c>
      <c r="D23" s="2" t="s">
        <v>46</v>
      </c>
      <c r="E23" s="11">
        <v>-7</v>
      </c>
      <c r="F23" s="2" t="s">
        <v>47</v>
      </c>
      <c r="Q23" s="2" t="str">
        <f t="shared" si="0"/>
        <v>保温材料</v>
      </c>
      <c r="R23" s="10">
        <f t="shared" si="1"/>
        <v>25</v>
      </c>
      <c r="S23" s="14">
        <f t="shared" si="2"/>
        <v>46244</v>
      </c>
      <c r="T23" s="14">
        <f t="shared" si="3"/>
        <v>46219</v>
      </c>
      <c r="U23" s="5">
        <f t="shared" ca="1" si="4"/>
        <v>-33</v>
      </c>
      <c r="V23" s="5" t="str">
        <f t="shared" ca="1" si="5"/>
        <v>OVERDUE</v>
      </c>
    </row>
    <row r="24" spans="1:22" x14ac:dyDescent="0.2">
      <c r="A24" s="2" t="s">
        <v>64</v>
      </c>
      <c r="B24" s="10">
        <v>5</v>
      </c>
      <c r="C24" s="2" t="s">
        <v>46</v>
      </c>
      <c r="D24" s="2" t="s">
        <v>54</v>
      </c>
      <c r="E24" s="11">
        <v>-3</v>
      </c>
      <c r="F24" s="2" t="s">
        <v>55</v>
      </c>
      <c r="Q24" s="2" t="str">
        <f t="shared" si="0"/>
        <v>生产辅料</v>
      </c>
      <c r="R24" s="10">
        <f t="shared" si="1"/>
        <v>5</v>
      </c>
      <c r="S24" s="14">
        <f t="shared" si="2"/>
        <v>46244</v>
      </c>
      <c r="T24" s="14">
        <f t="shared" si="3"/>
        <v>46239</v>
      </c>
      <c r="U24" s="5">
        <f t="shared" ca="1" si="4"/>
        <v>-13</v>
      </c>
      <c r="V24" s="5" t="str">
        <f t="shared" ca="1" si="5"/>
        <v>OVERDUE</v>
      </c>
    </row>
    <row r="25" spans="1:22" x14ac:dyDescent="0.2">
      <c r="A25" s="2" t="s">
        <v>64</v>
      </c>
      <c r="B25" s="10">
        <v>6</v>
      </c>
      <c r="C25" s="2" t="s">
        <v>59</v>
      </c>
      <c r="D25" s="2" t="s">
        <v>54</v>
      </c>
      <c r="E25" s="11">
        <v>-7</v>
      </c>
      <c r="F25" s="2" t="s">
        <v>60</v>
      </c>
    </row>
    <row r="26" spans="1:22" x14ac:dyDescent="0.2">
      <c r="A26" s="2" t="s">
        <v>64</v>
      </c>
      <c r="B26" s="10">
        <v>7</v>
      </c>
      <c r="C26" s="2" t="s">
        <v>54</v>
      </c>
      <c r="D26" s="2" t="s">
        <v>32</v>
      </c>
      <c r="E26" s="11">
        <v>-140</v>
      </c>
      <c r="F26" s="2" t="s">
        <v>62</v>
      </c>
    </row>
    <row r="27" spans="1:22" x14ac:dyDescent="0.2">
      <c r="A27" s="2" t="s">
        <v>64</v>
      </c>
      <c r="B27" s="10">
        <v>8</v>
      </c>
      <c r="C27" s="2" t="s">
        <v>32</v>
      </c>
      <c r="D27" s="2" t="s">
        <v>65</v>
      </c>
      <c r="E27" s="11">
        <v>-45</v>
      </c>
      <c r="F27" s="2" t="s">
        <v>66</v>
      </c>
    </row>
    <row r="28" spans="1:22" x14ac:dyDescent="0.2">
      <c r="A28" s="2" t="s">
        <v>64</v>
      </c>
      <c r="B28" s="10">
        <v>9</v>
      </c>
      <c r="C28" s="2" t="s">
        <v>65</v>
      </c>
      <c r="D28" s="2" t="s">
        <v>70</v>
      </c>
      <c r="E28" s="11">
        <v>-3</v>
      </c>
      <c r="F28" s="2" t="s">
        <v>71</v>
      </c>
    </row>
    <row r="29" spans="1:22" x14ac:dyDescent="0.2">
      <c r="A29" s="2" t="s">
        <v>64</v>
      </c>
      <c r="B29" s="10">
        <v>10</v>
      </c>
      <c r="C29" s="2" t="s">
        <v>74</v>
      </c>
      <c r="D29" s="2" t="s">
        <v>75</v>
      </c>
      <c r="E29" s="11">
        <v>-28</v>
      </c>
      <c r="F29" s="2" t="s">
        <v>76</v>
      </c>
    </row>
    <row r="30" spans="1:22" ht="27.5" customHeight="1" x14ac:dyDescent="0.2">
      <c r="A30" s="2" t="s">
        <v>64</v>
      </c>
      <c r="B30" s="10">
        <v>11</v>
      </c>
      <c r="C30" s="2" t="s">
        <v>70</v>
      </c>
      <c r="D30" s="2" t="s">
        <v>78</v>
      </c>
      <c r="E30" s="11">
        <v>-3</v>
      </c>
      <c r="F30" s="2" t="s">
        <v>79</v>
      </c>
    </row>
    <row r="31" spans="1:22" x14ac:dyDescent="0.2">
      <c r="A31" s="2" t="s">
        <v>64</v>
      </c>
      <c r="B31" s="10">
        <v>12</v>
      </c>
      <c r="C31" s="2" t="s">
        <v>78</v>
      </c>
      <c r="D31" s="2" t="s">
        <v>75</v>
      </c>
      <c r="E31" s="11">
        <v>-2</v>
      </c>
      <c r="F31" s="2" t="s">
        <v>81</v>
      </c>
    </row>
    <row r="32" spans="1:22" x14ac:dyDescent="0.2">
      <c r="A32" s="2" t="s">
        <v>64</v>
      </c>
      <c r="B32" s="10">
        <v>13</v>
      </c>
      <c r="C32" s="2" t="s">
        <v>75</v>
      </c>
      <c r="D32" s="2" t="s">
        <v>83</v>
      </c>
      <c r="E32" s="11">
        <v>-15</v>
      </c>
      <c r="F32" s="2" t="s">
        <v>84</v>
      </c>
    </row>
    <row r="33" spans="1:6" x14ac:dyDescent="0.2">
      <c r="A33" s="2" t="s">
        <v>64</v>
      </c>
      <c r="B33" s="10">
        <v>14</v>
      </c>
      <c r="C33" s="2" t="s">
        <v>86</v>
      </c>
      <c r="D33" s="2" t="s">
        <v>75</v>
      </c>
      <c r="E33" s="11">
        <v>7</v>
      </c>
      <c r="F33" s="2" t="s">
        <v>87</v>
      </c>
    </row>
    <row r="34" spans="1:6" x14ac:dyDescent="0.2">
      <c r="A34" s="2" t="s">
        <v>64</v>
      </c>
      <c r="B34" s="10">
        <v>15</v>
      </c>
      <c r="C34" s="2" t="s">
        <v>83</v>
      </c>
      <c r="D34" s="2" t="s">
        <v>20</v>
      </c>
      <c r="E34" s="11">
        <v>-3</v>
      </c>
      <c r="F34" s="2" t="s">
        <v>90</v>
      </c>
    </row>
    <row r="35" spans="1:6" x14ac:dyDescent="0.2">
      <c r="A35" s="2" t="s">
        <v>64</v>
      </c>
      <c r="B35" s="10">
        <v>16</v>
      </c>
      <c r="C35" s="2" t="s">
        <v>20</v>
      </c>
      <c r="D35" s="2" t="s">
        <v>24</v>
      </c>
      <c r="E35" s="11" t="s">
        <v>25</v>
      </c>
      <c r="F35" s="2" t="s">
        <v>26</v>
      </c>
    </row>
    <row r="36" spans="1:6" x14ac:dyDescent="0.2">
      <c r="A36" s="2"/>
      <c r="B36" s="10"/>
      <c r="C36" s="2"/>
      <c r="D36" s="2"/>
      <c r="E36" s="11"/>
      <c r="F36" s="2"/>
    </row>
    <row r="37" spans="1:6" x14ac:dyDescent="0.2">
      <c r="A37" s="2"/>
      <c r="B37" s="10"/>
      <c r="C37" s="2"/>
      <c r="D37" s="2"/>
      <c r="E37" s="11"/>
      <c r="F37" s="2"/>
    </row>
    <row r="38" spans="1:6" x14ac:dyDescent="0.2">
      <c r="A38" s="2"/>
      <c r="B38" s="10"/>
      <c r="C38" s="2"/>
      <c r="D38" s="2"/>
      <c r="E38" s="11"/>
      <c r="F38" s="2"/>
    </row>
    <row r="39" spans="1:6" x14ac:dyDescent="0.2">
      <c r="A39" s="2"/>
      <c r="B39" s="10"/>
      <c r="C39" s="2"/>
      <c r="D39" s="2"/>
      <c r="E39" s="11"/>
      <c r="F39" s="2"/>
    </row>
    <row r="40" spans="1:6" x14ac:dyDescent="0.2">
      <c r="A40" s="2"/>
      <c r="B40" s="10"/>
      <c r="C40" s="2"/>
      <c r="D40" s="2"/>
      <c r="E40" s="11"/>
      <c r="F40" s="2"/>
    </row>
    <row r="41" spans="1:6" x14ac:dyDescent="0.2">
      <c r="A41" s="2"/>
      <c r="B41" s="10"/>
      <c r="C41" s="2"/>
      <c r="D41" s="2"/>
      <c r="E41" s="11"/>
      <c r="F41" s="2"/>
    </row>
    <row r="42" spans="1:6" x14ac:dyDescent="0.2">
      <c r="A42" s="2"/>
      <c r="B42" s="10"/>
      <c r="C42" s="2"/>
      <c r="D42" s="2"/>
      <c r="E42" s="11"/>
      <c r="F42" s="2"/>
    </row>
    <row r="43" spans="1:6" x14ac:dyDescent="0.2">
      <c r="A43" s="2"/>
      <c r="B43" s="10"/>
      <c r="C43" s="2"/>
      <c r="D43" s="2"/>
      <c r="E43" s="11"/>
      <c r="F43" s="2"/>
    </row>
    <row r="44" spans="1:6" x14ac:dyDescent="0.2">
      <c r="A44" s="2"/>
      <c r="B44" s="10"/>
      <c r="C44" s="2"/>
      <c r="D44" s="2"/>
      <c r="E44" s="11"/>
      <c r="F44" s="2"/>
    </row>
    <row r="45" spans="1:6" x14ac:dyDescent="0.2">
      <c r="A45" s="2"/>
      <c r="B45" s="10"/>
      <c r="C45" s="2"/>
      <c r="D45" s="2"/>
      <c r="E45" s="11"/>
      <c r="F45" s="2"/>
    </row>
    <row r="46" spans="1:6" ht="27.5" customHeight="1" x14ac:dyDescent="0.2">
      <c r="A46" s="2"/>
      <c r="B46" s="10"/>
      <c r="C46" s="2"/>
      <c r="D46" s="2"/>
      <c r="E46" s="11"/>
      <c r="F46" s="2"/>
    </row>
    <row r="47" spans="1:6" x14ac:dyDescent="0.2">
      <c r="A47" s="2"/>
      <c r="B47" s="10"/>
      <c r="C47" s="2"/>
      <c r="D47" s="2"/>
      <c r="E47" s="11"/>
      <c r="F47" s="2"/>
    </row>
    <row r="48" spans="1:6" x14ac:dyDescent="0.2">
      <c r="A48" s="2"/>
      <c r="B48" s="10"/>
      <c r="C48" s="2"/>
      <c r="D48" s="2"/>
      <c r="E48" s="11"/>
      <c r="F48" s="2"/>
    </row>
    <row r="49" spans="1:6" x14ac:dyDescent="0.2">
      <c r="A49" s="2"/>
      <c r="B49" s="10"/>
      <c r="C49" s="2"/>
      <c r="D49" s="2"/>
      <c r="E49" s="11"/>
      <c r="F49" s="2"/>
    </row>
    <row r="50" spans="1:6" x14ac:dyDescent="0.2">
      <c r="A50" s="2"/>
      <c r="B50" s="10"/>
      <c r="C50" s="2"/>
      <c r="D50" s="2"/>
      <c r="E50" s="11"/>
      <c r="F50" s="2"/>
    </row>
    <row r="51" spans="1:6" x14ac:dyDescent="0.2">
      <c r="A51" s="2"/>
      <c r="B51" s="10"/>
      <c r="C51" s="2"/>
      <c r="D51" s="2"/>
      <c r="E51" s="11"/>
      <c r="F51" s="2"/>
    </row>
    <row r="52" spans="1:6" x14ac:dyDescent="0.2">
      <c r="A52" s="2"/>
      <c r="B52" s="10"/>
      <c r="C52" s="2"/>
      <c r="D52" s="2"/>
      <c r="E52" s="11"/>
      <c r="F52" s="2"/>
    </row>
    <row r="53" spans="1:6" x14ac:dyDescent="0.2">
      <c r="A53" s="2"/>
      <c r="B53" s="10"/>
      <c r="C53" s="2"/>
      <c r="D53" s="2"/>
      <c r="E53" s="11"/>
      <c r="F53" s="2"/>
    </row>
    <row r="54" spans="1:6" x14ac:dyDescent="0.2">
      <c r="A54" s="2"/>
      <c r="B54" s="10"/>
      <c r="C54" s="2"/>
      <c r="D54" s="2"/>
      <c r="E54" s="11"/>
      <c r="F54" s="2"/>
    </row>
    <row r="55" spans="1:6" x14ac:dyDescent="0.2">
      <c r="A55" s="2"/>
      <c r="B55" s="10"/>
      <c r="C55" s="2"/>
      <c r="D55" s="2"/>
      <c r="E55" s="11"/>
      <c r="F55" s="2"/>
    </row>
    <row r="56" spans="1:6" x14ac:dyDescent="0.2">
      <c r="A56" s="2"/>
      <c r="B56" s="10"/>
      <c r="C56" s="2"/>
      <c r="D56" s="2"/>
      <c r="E56" s="11"/>
      <c r="F56" s="2"/>
    </row>
    <row r="57" spans="1:6" x14ac:dyDescent="0.2">
      <c r="A57" s="2"/>
      <c r="B57" s="10"/>
      <c r="C57" s="2"/>
      <c r="D57" s="2"/>
      <c r="E57" s="11"/>
      <c r="F57" s="2"/>
    </row>
    <row r="58" spans="1:6" x14ac:dyDescent="0.2">
      <c r="A58" s="2"/>
      <c r="B58" s="10"/>
      <c r="C58" s="2"/>
      <c r="D58" s="2"/>
      <c r="E58" s="11"/>
      <c r="F58" s="2"/>
    </row>
    <row r="59" spans="1:6" x14ac:dyDescent="0.2">
      <c r="A59" s="2"/>
      <c r="B59" s="10"/>
      <c r="C59" s="2"/>
      <c r="D59" s="2"/>
      <c r="E59" s="11"/>
      <c r="F59" s="2"/>
    </row>
    <row r="60" spans="1:6" x14ac:dyDescent="0.2">
      <c r="A60" s="2"/>
      <c r="B60" s="10"/>
      <c r="C60" s="2"/>
      <c r="D60" s="2"/>
      <c r="E60" s="11"/>
      <c r="F60" s="2"/>
    </row>
    <row r="61" spans="1:6" x14ac:dyDescent="0.2">
      <c r="A61" s="2"/>
      <c r="B61" s="10"/>
      <c r="C61" s="2"/>
      <c r="D61" s="2"/>
      <c r="E61" s="11"/>
      <c r="F61" s="2"/>
    </row>
    <row r="62" spans="1:6" ht="27.5" customHeight="1" x14ac:dyDescent="0.2">
      <c r="A62" s="2"/>
      <c r="B62" s="10"/>
      <c r="C62" s="2"/>
      <c r="D62" s="2"/>
      <c r="E62" s="11"/>
      <c r="F62" s="2"/>
    </row>
    <row r="63" spans="1:6" x14ac:dyDescent="0.2">
      <c r="A63" s="2"/>
      <c r="B63" s="10"/>
      <c r="C63" s="2"/>
      <c r="D63" s="2"/>
      <c r="E63" s="11"/>
      <c r="F63" s="2"/>
    </row>
    <row r="64" spans="1:6" x14ac:dyDescent="0.2">
      <c r="A64" s="2"/>
      <c r="B64" s="10"/>
      <c r="C64" s="2"/>
      <c r="D64" s="2"/>
      <c r="E64" s="11"/>
      <c r="F64" s="2"/>
    </row>
    <row r="65" spans="1:6" x14ac:dyDescent="0.2">
      <c r="A65" s="2"/>
      <c r="B65" s="10"/>
      <c r="C65" s="2"/>
      <c r="D65" s="2"/>
      <c r="E65" s="11"/>
      <c r="F65" s="2"/>
    </row>
    <row r="66" spans="1:6" x14ac:dyDescent="0.2">
      <c r="A66" s="2"/>
      <c r="B66" s="10"/>
      <c r="C66" s="2"/>
      <c r="D66" s="2"/>
      <c r="E66" s="11"/>
      <c r="F66" s="2"/>
    </row>
    <row r="67" spans="1:6" x14ac:dyDescent="0.2">
      <c r="A67" s="2"/>
      <c r="B67" s="10"/>
      <c r="C67" s="2"/>
      <c r="D67" s="2"/>
      <c r="E67" s="11"/>
      <c r="F67" s="2"/>
    </row>
  </sheetData>
  <mergeCells count="4">
    <mergeCell ref="H1:K1"/>
    <mergeCell ref="A1:F1"/>
    <mergeCell ref="Q1:V1"/>
    <mergeCell ref="M1: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3"/>
  <sheetViews>
    <sheetView workbookViewId="0">
      <selection activeCell="F4" sqref="F4"/>
    </sheetView>
  </sheetViews>
  <sheetFormatPr baseColWidth="10" defaultColWidth="8.83203125" defaultRowHeight="15" x14ac:dyDescent="0.2"/>
  <cols>
    <col min="1" max="1" width="14" customWidth="1"/>
    <col min="2" max="2" width="12" customWidth="1"/>
    <col min="3" max="3" width="16" customWidth="1"/>
    <col min="4" max="4" width="14" customWidth="1"/>
    <col min="5" max="5" width="16" customWidth="1"/>
    <col min="6" max="6" width="34" customWidth="1"/>
    <col min="7" max="7" width="24" customWidth="1"/>
    <col min="8" max="8" width="14" customWidth="1"/>
  </cols>
  <sheetData>
    <row r="1" spans="1:8" x14ac:dyDescent="0.2">
      <c r="A1" s="58" t="s">
        <v>191</v>
      </c>
      <c r="B1" s="52"/>
      <c r="C1" s="52"/>
      <c r="D1" s="52"/>
      <c r="E1" s="52"/>
      <c r="F1" s="52"/>
      <c r="G1" s="52"/>
      <c r="H1" s="49"/>
    </row>
    <row r="3" spans="1:8" x14ac:dyDescent="0.2">
      <c r="A3" s="26" t="s">
        <v>192</v>
      </c>
      <c r="B3" s="26" t="s">
        <v>193</v>
      </c>
      <c r="C3" s="26" t="s">
        <v>194</v>
      </c>
      <c r="D3" s="26" t="s">
        <v>195</v>
      </c>
      <c r="E3" s="26" t="s">
        <v>196</v>
      </c>
      <c r="F3" s="26" t="s">
        <v>197</v>
      </c>
      <c r="G3" s="26" t="s">
        <v>198</v>
      </c>
      <c r="H3" s="26" t="s">
        <v>199</v>
      </c>
    </row>
    <row r="4" spans="1:8" ht="22" customHeight="1" x14ac:dyDescent="0.2">
      <c r="A4" s="25">
        <f ca="1">TODAY()</f>
        <v>46252</v>
      </c>
      <c r="B4" s="8">
        <v>123456</v>
      </c>
      <c r="C4" s="8" t="s">
        <v>116</v>
      </c>
      <c r="D4" s="8" t="s">
        <v>7</v>
      </c>
      <c r="E4" s="2" t="s">
        <v>200</v>
      </c>
      <c r="F4" s="2" t="s">
        <v>201</v>
      </c>
      <c r="G4" s="2" t="s">
        <v>202</v>
      </c>
      <c r="H4" s="25">
        <f ca="1">TODAY()+7</f>
        <v>46259</v>
      </c>
    </row>
    <row r="5" spans="1:8" x14ac:dyDescent="0.2">
      <c r="A5" s="25"/>
      <c r="B5" s="8"/>
      <c r="C5" s="8"/>
      <c r="D5" s="8"/>
      <c r="E5" s="2"/>
      <c r="F5" s="2"/>
      <c r="G5" s="2"/>
      <c r="H5" s="25"/>
    </row>
    <row r="6" spans="1:8" x14ac:dyDescent="0.2">
      <c r="A6" s="25"/>
      <c r="B6" s="8"/>
      <c r="C6" s="8"/>
      <c r="D6" s="8"/>
      <c r="E6" s="2"/>
      <c r="F6" s="2"/>
      <c r="G6" s="2"/>
      <c r="H6" s="25"/>
    </row>
    <row r="7" spans="1:8" x14ac:dyDescent="0.2">
      <c r="A7" s="25"/>
      <c r="B7" s="8"/>
      <c r="C7" s="8"/>
      <c r="D7" s="8"/>
      <c r="E7" s="2"/>
      <c r="F7" s="2"/>
      <c r="G7" s="2"/>
      <c r="H7" s="25"/>
    </row>
    <row r="8" spans="1:8" x14ac:dyDescent="0.2">
      <c r="A8" s="25"/>
      <c r="B8" s="8"/>
      <c r="C8" s="8"/>
      <c r="D8" s="8"/>
      <c r="E8" s="2"/>
      <c r="F8" s="2"/>
      <c r="G8" s="2"/>
      <c r="H8" s="25"/>
    </row>
    <row r="9" spans="1:8" x14ac:dyDescent="0.2">
      <c r="A9" s="25"/>
      <c r="B9" s="8"/>
      <c r="C9" s="8"/>
      <c r="D9" s="8"/>
      <c r="E9" s="2"/>
      <c r="F9" s="2"/>
      <c r="G9" s="2"/>
      <c r="H9" s="25"/>
    </row>
    <row r="10" spans="1:8" x14ac:dyDescent="0.2">
      <c r="A10" s="25"/>
      <c r="B10" s="8"/>
      <c r="C10" s="8"/>
      <c r="D10" s="8"/>
      <c r="E10" s="2"/>
      <c r="F10" s="2"/>
      <c r="G10" s="2"/>
      <c r="H10" s="25"/>
    </row>
    <row r="11" spans="1:8" x14ac:dyDescent="0.2">
      <c r="A11" s="25"/>
      <c r="B11" s="8"/>
      <c r="C11" s="8"/>
      <c r="D11" s="8"/>
      <c r="E11" s="2"/>
      <c r="F11" s="2"/>
      <c r="G11" s="2"/>
      <c r="H11" s="25"/>
    </row>
    <row r="12" spans="1:8" x14ac:dyDescent="0.2">
      <c r="A12" s="25"/>
      <c r="B12" s="8"/>
      <c r="C12" s="8"/>
      <c r="D12" s="8"/>
      <c r="E12" s="2"/>
      <c r="F12" s="2"/>
      <c r="G12" s="2"/>
      <c r="H12" s="25"/>
    </row>
    <row r="13" spans="1:8" x14ac:dyDescent="0.2">
      <c r="A13" s="25"/>
      <c r="B13" s="8"/>
      <c r="C13" s="8"/>
      <c r="D13" s="8"/>
      <c r="E13" s="2"/>
      <c r="F13" s="2"/>
      <c r="G13" s="2"/>
      <c r="H13" s="25"/>
    </row>
    <row r="14" spans="1:8" x14ac:dyDescent="0.2">
      <c r="A14" s="25"/>
      <c r="B14" s="8"/>
      <c r="C14" s="8"/>
      <c r="D14" s="8"/>
      <c r="E14" s="2"/>
      <c r="F14" s="2"/>
      <c r="G14" s="2"/>
      <c r="H14" s="25"/>
    </row>
    <row r="15" spans="1:8" x14ac:dyDescent="0.2">
      <c r="A15" s="25"/>
      <c r="B15" s="8"/>
      <c r="C15" s="8"/>
      <c r="D15" s="8"/>
      <c r="E15" s="2"/>
      <c r="F15" s="2"/>
      <c r="G15" s="2"/>
      <c r="H15" s="25"/>
    </row>
    <row r="16" spans="1:8" x14ac:dyDescent="0.2">
      <c r="A16" s="25"/>
      <c r="B16" s="8"/>
      <c r="C16" s="8"/>
      <c r="D16" s="8"/>
      <c r="E16" s="2"/>
      <c r="F16" s="2"/>
      <c r="G16" s="2"/>
      <c r="H16" s="25"/>
    </row>
    <row r="17" spans="1:8" x14ac:dyDescent="0.2">
      <c r="A17" s="25"/>
      <c r="B17" s="8"/>
      <c r="C17" s="8"/>
      <c r="D17" s="8"/>
      <c r="E17" s="2"/>
      <c r="F17" s="2"/>
      <c r="G17" s="2"/>
      <c r="H17" s="25"/>
    </row>
    <row r="18" spans="1:8" x14ac:dyDescent="0.2">
      <c r="A18" s="25"/>
      <c r="B18" s="8"/>
      <c r="C18" s="8"/>
      <c r="D18" s="8"/>
      <c r="E18" s="2"/>
      <c r="F18" s="2"/>
      <c r="G18" s="2"/>
      <c r="H18" s="25"/>
    </row>
    <row r="19" spans="1:8" x14ac:dyDescent="0.2">
      <c r="A19" s="25"/>
      <c r="B19" s="8"/>
      <c r="C19" s="8"/>
      <c r="D19" s="8"/>
      <c r="E19" s="2"/>
      <c r="F19" s="2"/>
      <c r="G19" s="2"/>
      <c r="H19" s="25"/>
    </row>
    <row r="20" spans="1:8" x14ac:dyDescent="0.2">
      <c r="A20" s="25"/>
      <c r="B20" s="8"/>
      <c r="C20" s="8"/>
      <c r="D20" s="8"/>
      <c r="E20" s="2"/>
      <c r="F20" s="2"/>
      <c r="G20" s="2"/>
      <c r="H20" s="25"/>
    </row>
    <row r="21" spans="1:8" x14ac:dyDescent="0.2">
      <c r="A21" s="25"/>
      <c r="B21" s="8"/>
      <c r="C21" s="8"/>
      <c r="D21" s="8"/>
      <c r="E21" s="2"/>
      <c r="F21" s="2"/>
      <c r="G21" s="2"/>
      <c r="H21" s="25"/>
    </row>
    <row r="22" spans="1:8" x14ac:dyDescent="0.2">
      <c r="A22" s="25"/>
      <c r="B22" s="8"/>
      <c r="C22" s="8"/>
      <c r="D22" s="8"/>
      <c r="E22" s="2"/>
      <c r="F22" s="2"/>
      <c r="G22" s="2"/>
      <c r="H22" s="25"/>
    </row>
    <row r="23" spans="1:8" x14ac:dyDescent="0.2">
      <c r="A23" s="25"/>
      <c r="B23" s="8"/>
      <c r="C23" s="8"/>
      <c r="D23" s="8"/>
      <c r="E23" s="2"/>
      <c r="F23" s="2"/>
      <c r="G23" s="2"/>
      <c r="H23" s="25"/>
    </row>
    <row r="24" spans="1:8" x14ac:dyDescent="0.2">
      <c r="A24" s="25"/>
      <c r="B24" s="8"/>
      <c r="C24" s="8"/>
      <c r="D24" s="8"/>
      <c r="E24" s="2"/>
      <c r="F24" s="2"/>
      <c r="G24" s="2"/>
      <c r="H24" s="25"/>
    </row>
    <row r="25" spans="1:8" x14ac:dyDescent="0.2">
      <c r="A25" s="25"/>
      <c r="B25" s="8"/>
      <c r="C25" s="8"/>
      <c r="D25" s="8"/>
      <c r="E25" s="2"/>
      <c r="F25" s="2"/>
      <c r="G25" s="2"/>
      <c r="H25" s="25"/>
    </row>
    <row r="26" spans="1:8" x14ac:dyDescent="0.2">
      <c r="A26" s="25"/>
      <c r="B26" s="8"/>
      <c r="C26" s="8"/>
      <c r="D26" s="8"/>
      <c r="E26" s="2"/>
      <c r="F26" s="2"/>
      <c r="G26" s="2"/>
      <c r="H26" s="25"/>
    </row>
    <row r="27" spans="1:8" x14ac:dyDescent="0.2">
      <c r="A27" s="25"/>
      <c r="B27" s="8"/>
      <c r="C27" s="8"/>
      <c r="D27" s="8"/>
      <c r="E27" s="2"/>
      <c r="F27" s="2"/>
      <c r="G27" s="2"/>
      <c r="H27" s="25"/>
    </row>
    <row r="28" spans="1:8" x14ac:dyDescent="0.2">
      <c r="A28" s="25"/>
      <c r="B28" s="8"/>
      <c r="C28" s="8"/>
      <c r="D28" s="8"/>
      <c r="E28" s="2"/>
      <c r="F28" s="2"/>
      <c r="G28" s="2"/>
      <c r="H28" s="25"/>
    </row>
    <row r="29" spans="1:8" x14ac:dyDescent="0.2">
      <c r="A29" s="25"/>
      <c r="B29" s="8"/>
      <c r="C29" s="8"/>
      <c r="D29" s="8"/>
      <c r="E29" s="2"/>
      <c r="F29" s="2"/>
      <c r="G29" s="2"/>
      <c r="H29" s="25"/>
    </row>
    <row r="30" spans="1:8" x14ac:dyDescent="0.2">
      <c r="A30" s="25"/>
      <c r="B30" s="8"/>
      <c r="C30" s="8"/>
      <c r="D30" s="8"/>
      <c r="E30" s="2"/>
      <c r="F30" s="2"/>
      <c r="G30" s="2"/>
      <c r="H30" s="25"/>
    </row>
    <row r="31" spans="1:8" x14ac:dyDescent="0.2">
      <c r="A31" s="25"/>
      <c r="B31" s="8"/>
      <c r="C31" s="8"/>
      <c r="D31" s="8"/>
      <c r="E31" s="2"/>
      <c r="F31" s="2"/>
      <c r="G31" s="2"/>
      <c r="H31" s="25"/>
    </row>
    <row r="32" spans="1:8" x14ac:dyDescent="0.2">
      <c r="A32" s="25"/>
      <c r="B32" s="8"/>
      <c r="C32" s="8"/>
      <c r="D32" s="8"/>
      <c r="E32" s="2"/>
      <c r="F32" s="2"/>
      <c r="G32" s="2"/>
      <c r="H32" s="25"/>
    </row>
    <row r="33" spans="1:8" x14ac:dyDescent="0.2">
      <c r="A33" s="25"/>
      <c r="B33" s="8"/>
      <c r="C33" s="8"/>
      <c r="D33" s="8"/>
      <c r="E33" s="2"/>
      <c r="F33" s="2"/>
      <c r="G33" s="2"/>
      <c r="H33" s="25"/>
    </row>
    <row r="34" spans="1:8" x14ac:dyDescent="0.2">
      <c r="A34" s="25"/>
      <c r="B34" s="8"/>
      <c r="C34" s="8"/>
      <c r="D34" s="8"/>
      <c r="E34" s="2"/>
      <c r="F34" s="2"/>
      <c r="G34" s="2"/>
      <c r="H34" s="25"/>
    </row>
    <row r="35" spans="1:8" x14ac:dyDescent="0.2">
      <c r="A35" s="25"/>
      <c r="B35" s="8"/>
      <c r="C35" s="8"/>
      <c r="D35" s="8"/>
      <c r="E35" s="2"/>
      <c r="F35" s="2"/>
      <c r="G35" s="2"/>
      <c r="H35" s="25"/>
    </row>
    <row r="36" spans="1:8" x14ac:dyDescent="0.2">
      <c r="A36" s="25"/>
      <c r="B36" s="8"/>
      <c r="C36" s="8"/>
      <c r="D36" s="8"/>
      <c r="E36" s="2"/>
      <c r="F36" s="2"/>
      <c r="G36" s="2"/>
      <c r="H36" s="25"/>
    </row>
    <row r="37" spans="1:8" x14ac:dyDescent="0.2">
      <c r="A37" s="25"/>
      <c r="B37" s="8"/>
      <c r="C37" s="8"/>
      <c r="D37" s="8"/>
      <c r="E37" s="2"/>
      <c r="F37" s="2"/>
      <c r="G37" s="2"/>
      <c r="H37" s="25"/>
    </row>
    <row r="38" spans="1:8" x14ac:dyDescent="0.2">
      <c r="A38" s="25"/>
      <c r="B38" s="8"/>
      <c r="C38" s="8"/>
      <c r="D38" s="8"/>
      <c r="E38" s="2"/>
      <c r="F38" s="2"/>
      <c r="G38" s="2"/>
      <c r="H38" s="25"/>
    </row>
    <row r="39" spans="1:8" x14ac:dyDescent="0.2">
      <c r="A39" s="25"/>
      <c r="B39" s="8"/>
      <c r="C39" s="8"/>
      <c r="D39" s="8"/>
      <c r="E39" s="2"/>
      <c r="F39" s="2"/>
      <c r="G39" s="2"/>
      <c r="H39" s="25"/>
    </row>
    <row r="40" spans="1:8" x14ac:dyDescent="0.2">
      <c r="A40" s="25"/>
      <c r="B40" s="8"/>
      <c r="C40" s="8"/>
      <c r="D40" s="8"/>
      <c r="E40" s="2"/>
      <c r="F40" s="2"/>
      <c r="G40" s="2"/>
      <c r="H40" s="25"/>
    </row>
    <row r="41" spans="1:8" x14ac:dyDescent="0.2">
      <c r="A41" s="25"/>
      <c r="B41" s="8"/>
      <c r="C41" s="8"/>
      <c r="D41" s="8"/>
      <c r="E41" s="2"/>
      <c r="F41" s="2"/>
      <c r="G41" s="2"/>
      <c r="H41" s="25"/>
    </row>
    <row r="42" spans="1:8" x14ac:dyDescent="0.2">
      <c r="A42" s="25"/>
      <c r="B42" s="8"/>
      <c r="C42" s="8"/>
      <c r="D42" s="8"/>
      <c r="E42" s="2"/>
      <c r="F42" s="2"/>
      <c r="G42" s="2"/>
      <c r="H42" s="25"/>
    </row>
    <row r="43" spans="1:8" x14ac:dyDescent="0.2">
      <c r="A43" s="25"/>
      <c r="B43" s="8"/>
      <c r="C43" s="8"/>
      <c r="D43" s="8"/>
      <c r="E43" s="2"/>
      <c r="F43" s="2"/>
      <c r="G43" s="2"/>
      <c r="H43" s="25"/>
    </row>
    <row r="44" spans="1:8" x14ac:dyDescent="0.2">
      <c r="A44" s="25"/>
      <c r="B44" s="8"/>
      <c r="C44" s="8"/>
      <c r="D44" s="8"/>
      <c r="E44" s="2"/>
      <c r="F44" s="2"/>
      <c r="G44" s="2"/>
      <c r="H44" s="25"/>
    </row>
    <row r="45" spans="1:8" x14ac:dyDescent="0.2">
      <c r="A45" s="25"/>
      <c r="B45" s="8"/>
      <c r="C45" s="8"/>
      <c r="D45" s="8"/>
      <c r="E45" s="2"/>
      <c r="F45" s="2"/>
      <c r="G45" s="2"/>
      <c r="H45" s="25"/>
    </row>
    <row r="46" spans="1:8" x14ac:dyDescent="0.2">
      <c r="A46" s="25"/>
      <c r="B46" s="8"/>
      <c r="C46" s="8"/>
      <c r="D46" s="8"/>
      <c r="E46" s="2"/>
      <c r="F46" s="2"/>
      <c r="G46" s="2"/>
      <c r="H46" s="25"/>
    </row>
    <row r="47" spans="1:8" x14ac:dyDescent="0.2">
      <c r="A47" s="25"/>
      <c r="B47" s="8"/>
      <c r="C47" s="8"/>
      <c r="D47" s="8"/>
      <c r="E47" s="2"/>
      <c r="F47" s="2"/>
      <c r="G47" s="2"/>
      <c r="H47" s="25"/>
    </row>
    <row r="48" spans="1:8" x14ac:dyDescent="0.2">
      <c r="A48" s="25"/>
      <c r="B48" s="8"/>
      <c r="C48" s="8"/>
      <c r="D48" s="8"/>
      <c r="E48" s="2"/>
      <c r="F48" s="2"/>
      <c r="G48" s="2"/>
      <c r="H48" s="25"/>
    </row>
    <row r="49" spans="1:8" x14ac:dyDescent="0.2">
      <c r="A49" s="25"/>
      <c r="B49" s="8"/>
      <c r="C49" s="8"/>
      <c r="D49" s="8"/>
      <c r="E49" s="2"/>
      <c r="F49" s="2"/>
      <c r="G49" s="2"/>
      <c r="H49" s="25"/>
    </row>
    <row r="50" spans="1:8" x14ac:dyDescent="0.2">
      <c r="A50" s="25"/>
      <c r="B50" s="8"/>
      <c r="C50" s="8"/>
      <c r="D50" s="8"/>
      <c r="E50" s="2"/>
      <c r="F50" s="2"/>
      <c r="G50" s="2"/>
      <c r="H50" s="25"/>
    </row>
    <row r="51" spans="1:8" x14ac:dyDescent="0.2">
      <c r="A51" s="25"/>
      <c r="B51" s="8"/>
      <c r="C51" s="8"/>
      <c r="D51" s="8"/>
      <c r="E51" s="2"/>
      <c r="F51" s="2"/>
      <c r="G51" s="2"/>
      <c r="H51" s="25"/>
    </row>
    <row r="52" spans="1:8" x14ac:dyDescent="0.2">
      <c r="A52" s="25"/>
      <c r="B52" s="8"/>
      <c r="C52" s="8"/>
      <c r="D52" s="8"/>
      <c r="E52" s="2"/>
      <c r="F52" s="2"/>
      <c r="G52" s="2"/>
      <c r="H52" s="25"/>
    </row>
    <row r="53" spans="1:8" x14ac:dyDescent="0.2">
      <c r="A53" s="25"/>
      <c r="B53" s="8"/>
      <c r="C53" s="8"/>
      <c r="D53" s="8"/>
      <c r="E53" s="2"/>
      <c r="F53" s="2"/>
      <c r="G53" s="2"/>
      <c r="H53" s="25"/>
    </row>
    <row r="54" spans="1:8" x14ac:dyDescent="0.2">
      <c r="A54" s="25"/>
      <c r="B54" s="8"/>
      <c r="C54" s="8"/>
      <c r="D54" s="8"/>
      <c r="E54" s="2"/>
      <c r="F54" s="2"/>
      <c r="G54" s="2"/>
      <c r="H54" s="25"/>
    </row>
    <row r="55" spans="1:8" x14ac:dyDescent="0.2">
      <c r="A55" s="25"/>
      <c r="B55" s="8"/>
      <c r="C55" s="8"/>
      <c r="D55" s="8"/>
      <c r="E55" s="2"/>
      <c r="F55" s="2"/>
      <c r="G55" s="2"/>
      <c r="H55" s="25"/>
    </row>
    <row r="56" spans="1:8" x14ac:dyDescent="0.2">
      <c r="A56" s="25"/>
      <c r="B56" s="8"/>
      <c r="C56" s="8"/>
      <c r="D56" s="8"/>
      <c r="E56" s="2"/>
      <c r="F56" s="2"/>
      <c r="G56" s="2"/>
      <c r="H56" s="25"/>
    </row>
    <row r="57" spans="1:8" x14ac:dyDescent="0.2">
      <c r="A57" s="25"/>
      <c r="B57" s="8"/>
      <c r="C57" s="8"/>
      <c r="D57" s="8"/>
      <c r="E57" s="2"/>
      <c r="F57" s="2"/>
      <c r="G57" s="2"/>
      <c r="H57" s="25"/>
    </row>
    <row r="58" spans="1:8" x14ac:dyDescent="0.2">
      <c r="A58" s="25"/>
      <c r="B58" s="8"/>
      <c r="C58" s="8"/>
      <c r="D58" s="8"/>
      <c r="E58" s="2"/>
      <c r="F58" s="2"/>
      <c r="G58" s="2"/>
      <c r="H58" s="25"/>
    </row>
    <row r="59" spans="1:8" x14ac:dyDescent="0.2">
      <c r="A59" s="25"/>
      <c r="B59" s="8"/>
      <c r="C59" s="8"/>
      <c r="D59" s="8"/>
      <c r="E59" s="2"/>
      <c r="F59" s="2"/>
      <c r="G59" s="2"/>
      <c r="H59" s="25"/>
    </row>
    <row r="60" spans="1:8" x14ac:dyDescent="0.2">
      <c r="A60" s="25"/>
      <c r="B60" s="8"/>
      <c r="C60" s="8"/>
      <c r="D60" s="8"/>
      <c r="E60" s="2"/>
      <c r="F60" s="2"/>
      <c r="G60" s="2"/>
      <c r="H60" s="25"/>
    </row>
    <row r="61" spans="1:8" x14ac:dyDescent="0.2">
      <c r="A61" s="25"/>
      <c r="B61" s="8"/>
      <c r="C61" s="8"/>
      <c r="D61" s="8"/>
      <c r="E61" s="2"/>
      <c r="F61" s="2"/>
      <c r="G61" s="2"/>
      <c r="H61" s="25"/>
    </row>
    <row r="62" spans="1:8" x14ac:dyDescent="0.2">
      <c r="A62" s="25"/>
      <c r="B62" s="8"/>
      <c r="C62" s="8"/>
      <c r="D62" s="8"/>
      <c r="E62" s="2"/>
      <c r="F62" s="2"/>
      <c r="G62" s="2"/>
      <c r="H62" s="25"/>
    </row>
    <row r="63" spans="1:8" x14ac:dyDescent="0.2">
      <c r="A63" s="25"/>
      <c r="B63" s="8"/>
      <c r="C63" s="8"/>
      <c r="D63" s="8"/>
      <c r="E63" s="2"/>
      <c r="F63" s="2"/>
      <c r="G63" s="2"/>
      <c r="H63" s="25"/>
    </row>
    <row r="64" spans="1:8" x14ac:dyDescent="0.2">
      <c r="A64" s="25"/>
      <c r="B64" s="8"/>
      <c r="C64" s="8"/>
      <c r="D64" s="8"/>
      <c r="E64" s="2"/>
      <c r="F64" s="2"/>
      <c r="G64" s="2"/>
      <c r="H64" s="25"/>
    </row>
    <row r="65" spans="1:8" x14ac:dyDescent="0.2">
      <c r="A65" s="25"/>
      <c r="B65" s="8"/>
      <c r="C65" s="8"/>
      <c r="D65" s="8"/>
      <c r="E65" s="2"/>
      <c r="F65" s="2"/>
      <c r="G65" s="2"/>
      <c r="H65" s="25"/>
    </row>
    <row r="66" spans="1:8" x14ac:dyDescent="0.2">
      <c r="A66" s="25"/>
      <c r="B66" s="8"/>
      <c r="C66" s="8"/>
      <c r="D66" s="8"/>
      <c r="E66" s="2"/>
      <c r="F66" s="2"/>
      <c r="G66" s="2"/>
      <c r="H66" s="25"/>
    </row>
    <row r="67" spans="1:8" x14ac:dyDescent="0.2">
      <c r="A67" s="25"/>
      <c r="B67" s="8"/>
      <c r="C67" s="8"/>
      <c r="D67" s="8"/>
      <c r="E67" s="2"/>
      <c r="F67" s="2"/>
      <c r="G67" s="2"/>
      <c r="H67" s="25"/>
    </row>
    <row r="68" spans="1:8" x14ac:dyDescent="0.2">
      <c r="A68" s="25"/>
      <c r="B68" s="8"/>
      <c r="C68" s="8"/>
      <c r="D68" s="8"/>
      <c r="E68" s="2"/>
      <c r="F68" s="2"/>
      <c r="G68" s="2"/>
      <c r="H68" s="25"/>
    </row>
    <row r="69" spans="1:8" x14ac:dyDescent="0.2">
      <c r="A69" s="25"/>
      <c r="B69" s="8"/>
      <c r="C69" s="8"/>
      <c r="D69" s="8"/>
      <c r="E69" s="2"/>
      <c r="F69" s="2"/>
      <c r="G69" s="2"/>
      <c r="H69" s="25"/>
    </row>
    <row r="70" spans="1:8" x14ac:dyDescent="0.2">
      <c r="A70" s="25"/>
      <c r="B70" s="8"/>
      <c r="C70" s="8"/>
      <c r="D70" s="8"/>
      <c r="E70" s="2"/>
      <c r="F70" s="2"/>
      <c r="G70" s="2"/>
      <c r="H70" s="25"/>
    </row>
    <row r="71" spans="1:8" x14ac:dyDescent="0.2">
      <c r="A71" s="25"/>
      <c r="B71" s="8"/>
      <c r="C71" s="8"/>
      <c r="D71" s="8"/>
      <c r="E71" s="2"/>
      <c r="F71" s="2"/>
      <c r="G71" s="2"/>
      <c r="H71" s="25"/>
    </row>
    <row r="72" spans="1:8" x14ac:dyDescent="0.2">
      <c r="A72" s="25"/>
      <c r="B72" s="8"/>
      <c r="C72" s="8"/>
      <c r="D72" s="8"/>
      <c r="E72" s="2"/>
      <c r="F72" s="2"/>
      <c r="G72" s="2"/>
      <c r="H72" s="25"/>
    </row>
    <row r="73" spans="1:8" x14ac:dyDescent="0.2">
      <c r="A73" s="25"/>
      <c r="B73" s="8"/>
      <c r="C73" s="8"/>
      <c r="D73" s="8"/>
      <c r="E73" s="2"/>
      <c r="F73" s="2"/>
      <c r="G73" s="2"/>
      <c r="H73" s="25"/>
    </row>
    <row r="74" spans="1:8" x14ac:dyDescent="0.2">
      <c r="A74" s="25"/>
      <c r="B74" s="8"/>
      <c r="C74" s="8"/>
      <c r="D74" s="8"/>
      <c r="E74" s="2"/>
      <c r="F74" s="2"/>
      <c r="G74" s="2"/>
      <c r="H74" s="25"/>
    </row>
    <row r="75" spans="1:8" x14ac:dyDescent="0.2">
      <c r="A75" s="25"/>
      <c r="B75" s="8"/>
      <c r="C75" s="8"/>
      <c r="D75" s="8"/>
      <c r="E75" s="2"/>
      <c r="F75" s="2"/>
      <c r="G75" s="2"/>
      <c r="H75" s="25"/>
    </row>
    <row r="76" spans="1:8" x14ac:dyDescent="0.2">
      <c r="A76" s="25"/>
      <c r="B76" s="8"/>
      <c r="C76" s="8"/>
      <c r="D76" s="8"/>
      <c r="E76" s="2"/>
      <c r="F76" s="2"/>
      <c r="G76" s="2"/>
      <c r="H76" s="25"/>
    </row>
    <row r="77" spans="1:8" x14ac:dyDescent="0.2">
      <c r="A77" s="25"/>
      <c r="B77" s="8"/>
      <c r="C77" s="8"/>
      <c r="D77" s="8"/>
      <c r="E77" s="2"/>
      <c r="F77" s="2"/>
      <c r="G77" s="2"/>
      <c r="H77" s="25"/>
    </row>
    <row r="78" spans="1:8" x14ac:dyDescent="0.2">
      <c r="A78" s="25"/>
      <c r="B78" s="8"/>
      <c r="C78" s="8"/>
      <c r="D78" s="8"/>
      <c r="E78" s="2"/>
      <c r="F78" s="2"/>
      <c r="G78" s="2"/>
      <c r="H78" s="25"/>
    </row>
    <row r="79" spans="1:8" x14ac:dyDescent="0.2">
      <c r="A79" s="25"/>
      <c r="B79" s="8"/>
      <c r="C79" s="8"/>
      <c r="D79" s="8"/>
      <c r="E79" s="2"/>
      <c r="F79" s="2"/>
      <c r="G79" s="2"/>
      <c r="H79" s="25"/>
    </row>
    <row r="80" spans="1:8" x14ac:dyDescent="0.2">
      <c r="A80" s="25"/>
      <c r="B80" s="8"/>
      <c r="C80" s="8"/>
      <c r="D80" s="8"/>
      <c r="E80" s="2"/>
      <c r="F80" s="2"/>
      <c r="G80" s="2"/>
      <c r="H80" s="25"/>
    </row>
    <row r="81" spans="1:8" x14ac:dyDescent="0.2">
      <c r="A81" s="25"/>
      <c r="B81" s="8"/>
      <c r="C81" s="8"/>
      <c r="D81" s="8"/>
      <c r="E81" s="2"/>
      <c r="F81" s="2"/>
      <c r="G81" s="2"/>
      <c r="H81" s="25"/>
    </row>
    <row r="82" spans="1:8" x14ac:dyDescent="0.2">
      <c r="A82" s="25"/>
      <c r="B82" s="8"/>
      <c r="C82" s="8"/>
      <c r="D82" s="8"/>
      <c r="E82" s="2"/>
      <c r="F82" s="2"/>
      <c r="G82" s="2"/>
      <c r="H82" s="25"/>
    </row>
    <row r="83" spans="1:8" x14ac:dyDescent="0.2">
      <c r="A83" s="25"/>
      <c r="B83" s="8"/>
      <c r="C83" s="8"/>
      <c r="D83" s="8"/>
      <c r="E83" s="2"/>
      <c r="F83" s="2"/>
      <c r="G83" s="2"/>
      <c r="H83" s="25"/>
    </row>
    <row r="84" spans="1:8" x14ac:dyDescent="0.2">
      <c r="A84" s="25"/>
      <c r="B84" s="8"/>
      <c r="C84" s="8"/>
      <c r="D84" s="8"/>
      <c r="E84" s="2"/>
      <c r="F84" s="2"/>
      <c r="G84" s="2"/>
      <c r="H84" s="25"/>
    </row>
    <row r="85" spans="1:8" x14ac:dyDescent="0.2">
      <c r="A85" s="25"/>
      <c r="B85" s="8"/>
      <c r="C85" s="8"/>
      <c r="D85" s="8"/>
      <c r="E85" s="2"/>
      <c r="F85" s="2"/>
      <c r="G85" s="2"/>
      <c r="H85" s="25"/>
    </row>
    <row r="86" spans="1:8" x14ac:dyDescent="0.2">
      <c r="A86" s="25"/>
      <c r="B86" s="8"/>
      <c r="C86" s="8"/>
      <c r="D86" s="8"/>
      <c r="E86" s="2"/>
      <c r="F86" s="2"/>
      <c r="G86" s="2"/>
      <c r="H86" s="25"/>
    </row>
    <row r="87" spans="1:8" x14ac:dyDescent="0.2">
      <c r="A87" s="25"/>
      <c r="B87" s="8"/>
      <c r="C87" s="8"/>
      <c r="D87" s="8"/>
      <c r="E87" s="2"/>
      <c r="F87" s="2"/>
      <c r="G87" s="2"/>
      <c r="H87" s="25"/>
    </row>
    <row r="88" spans="1:8" x14ac:dyDescent="0.2">
      <c r="A88" s="25"/>
      <c r="B88" s="8"/>
      <c r="C88" s="8"/>
      <c r="D88" s="8"/>
      <c r="E88" s="2"/>
      <c r="F88" s="2"/>
      <c r="G88" s="2"/>
      <c r="H88" s="25"/>
    </row>
    <row r="89" spans="1:8" x14ac:dyDescent="0.2">
      <c r="A89" s="25"/>
      <c r="B89" s="8"/>
      <c r="C89" s="8"/>
      <c r="D89" s="8"/>
      <c r="E89" s="2"/>
      <c r="F89" s="2"/>
      <c r="G89" s="2"/>
      <c r="H89" s="25"/>
    </row>
    <row r="90" spans="1:8" x14ac:dyDescent="0.2">
      <c r="A90" s="25"/>
      <c r="B90" s="8"/>
      <c r="C90" s="8"/>
      <c r="D90" s="8"/>
      <c r="E90" s="2"/>
      <c r="F90" s="2"/>
      <c r="G90" s="2"/>
      <c r="H90" s="25"/>
    </row>
    <row r="91" spans="1:8" x14ac:dyDescent="0.2">
      <c r="A91" s="25"/>
      <c r="B91" s="8"/>
      <c r="C91" s="8"/>
      <c r="D91" s="8"/>
      <c r="E91" s="2"/>
      <c r="F91" s="2"/>
      <c r="G91" s="2"/>
      <c r="H91" s="25"/>
    </row>
    <row r="92" spans="1:8" x14ac:dyDescent="0.2">
      <c r="A92" s="25"/>
      <c r="B92" s="8"/>
      <c r="C92" s="8"/>
      <c r="D92" s="8"/>
      <c r="E92" s="2"/>
      <c r="F92" s="2"/>
      <c r="G92" s="2"/>
      <c r="H92" s="25"/>
    </row>
    <row r="93" spans="1:8" x14ac:dyDescent="0.2">
      <c r="A93" s="25"/>
      <c r="B93" s="8"/>
      <c r="C93" s="8"/>
      <c r="D93" s="8"/>
      <c r="E93" s="2"/>
      <c r="F93" s="2"/>
      <c r="G93" s="2"/>
      <c r="H93" s="25"/>
    </row>
    <row r="94" spans="1:8" x14ac:dyDescent="0.2">
      <c r="A94" s="25"/>
      <c r="B94" s="8"/>
      <c r="C94" s="8"/>
      <c r="D94" s="8"/>
      <c r="E94" s="2"/>
      <c r="F94" s="2"/>
      <c r="G94" s="2"/>
      <c r="H94" s="25"/>
    </row>
    <row r="95" spans="1:8" x14ac:dyDescent="0.2">
      <c r="A95" s="25"/>
      <c r="B95" s="8"/>
      <c r="C95" s="8"/>
      <c r="D95" s="8"/>
      <c r="E95" s="2"/>
      <c r="F95" s="2"/>
      <c r="G95" s="2"/>
      <c r="H95" s="25"/>
    </row>
    <row r="96" spans="1:8" x14ac:dyDescent="0.2">
      <c r="A96" s="25"/>
      <c r="B96" s="8"/>
      <c r="C96" s="8"/>
      <c r="D96" s="8"/>
      <c r="E96" s="2"/>
      <c r="F96" s="2"/>
      <c r="G96" s="2"/>
      <c r="H96" s="25"/>
    </row>
    <row r="97" spans="1:8" x14ac:dyDescent="0.2">
      <c r="A97" s="25"/>
      <c r="B97" s="8"/>
      <c r="C97" s="8"/>
      <c r="D97" s="8"/>
      <c r="E97" s="2"/>
      <c r="F97" s="2"/>
      <c r="G97" s="2"/>
      <c r="H97" s="25"/>
    </row>
    <row r="98" spans="1:8" x14ac:dyDescent="0.2">
      <c r="A98" s="25"/>
      <c r="B98" s="8"/>
      <c r="C98" s="8"/>
      <c r="D98" s="8"/>
      <c r="E98" s="2"/>
      <c r="F98" s="2"/>
      <c r="G98" s="2"/>
      <c r="H98" s="25"/>
    </row>
    <row r="99" spans="1:8" x14ac:dyDescent="0.2">
      <c r="A99" s="25"/>
      <c r="B99" s="8"/>
      <c r="C99" s="8"/>
      <c r="D99" s="8"/>
      <c r="E99" s="2"/>
      <c r="F99" s="2"/>
      <c r="G99" s="2"/>
      <c r="H99" s="25"/>
    </row>
    <row r="100" spans="1:8" x14ac:dyDescent="0.2">
      <c r="A100" s="25"/>
      <c r="B100" s="8"/>
      <c r="C100" s="8"/>
      <c r="D100" s="8"/>
      <c r="E100" s="2"/>
      <c r="F100" s="2"/>
      <c r="G100" s="2"/>
      <c r="H100" s="25"/>
    </row>
    <row r="101" spans="1:8" x14ac:dyDescent="0.2">
      <c r="A101" s="25"/>
      <c r="B101" s="8"/>
      <c r="C101" s="8"/>
      <c r="D101" s="8"/>
      <c r="E101" s="2"/>
      <c r="F101" s="2"/>
      <c r="G101" s="2"/>
      <c r="H101" s="25"/>
    </row>
    <row r="102" spans="1:8" x14ac:dyDescent="0.2">
      <c r="A102" s="25"/>
      <c r="B102" s="8"/>
      <c r="C102" s="8"/>
      <c r="D102" s="8"/>
      <c r="E102" s="2"/>
      <c r="F102" s="2"/>
      <c r="G102" s="2"/>
      <c r="H102" s="25"/>
    </row>
    <row r="103" spans="1:8" x14ac:dyDescent="0.2">
      <c r="A103" s="25"/>
      <c r="B103" s="8"/>
      <c r="C103" s="8"/>
      <c r="D103" s="8"/>
      <c r="E103" s="2"/>
      <c r="F103" s="2"/>
      <c r="G103" s="2"/>
      <c r="H103" s="25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Dashboard</vt:lpstr>
      <vt:lpstr>Project_Tracker</vt:lpstr>
      <vt:lpstr>Product_Registry</vt:lpstr>
      <vt:lpstr>BOM_Tracker</vt:lpstr>
      <vt:lpstr>Logic &amp; Lists</vt:lpstr>
      <vt:lpstr>Comments_Log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 Mei Jia</dc:creator>
  <cp:lastModifiedBy>Yan Zhi Le</cp:lastModifiedBy>
  <dcterms:created xsi:type="dcterms:W3CDTF">2026-04-06T08:22:48Z</dcterms:created>
  <dcterms:modified xsi:type="dcterms:W3CDTF">2026-08-18T14:49:12Z</dcterms:modified>
</cp:coreProperties>
</file>